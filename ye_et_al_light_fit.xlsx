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defaultThemeVersion="124226"/>
  <mc:AlternateContent xmlns:mc="http://schemas.openxmlformats.org/markup-compatibility/2006">
    <mc:Choice Requires="x15">
      <x15ac:absPath xmlns:x15ac="http://schemas.microsoft.com/office/spreadsheetml/2010/11/ac" url="https://d.docs.live.net/EEB3F394D2FD07EC/Documents/GitHub/Dryland-Bryo-BSC-Model/"/>
    </mc:Choice>
  </mc:AlternateContent>
  <xr:revisionPtr revIDLastSave="293" documentId="8_{E9827173-6F78-0C49-81D8-C815DD1A4C4C}" xr6:coauthVersionLast="47" xr6:coauthVersionMax="47" xr10:uidLastSave="{FECC9F8C-8875-C24C-9FBC-AC08A1FD88F3}"/>
  <bookViews>
    <workbookView xWindow="12040" yWindow="500" windowWidth="22920" windowHeight="16240" xr2:uid="{00000000-000D-0000-FFFF-FFFF00000000}"/>
  </bookViews>
  <sheets>
    <sheet name="Fitting Equation 11" sheetId="1" r:id="rId1"/>
    <sheet name="General Instructions" sheetId="2" r:id="rId2"/>
  </sheets>
  <definedNames>
    <definedName name="solver_adj" localSheetId="0" hidden="1">'Fitting Equation 11'!$F$39,'Fitting Equation 11'!$F$40,'Fitting Equation 11'!$F$41,'Fitting Equation 11'!$F$42</definedName>
    <definedName name="solver_cvg" localSheetId="0" hidden="1">0.0000001</definedName>
    <definedName name="solver_drv" localSheetId="0" hidden="1">2</definedName>
    <definedName name="solver_eng" localSheetId="0" hidden="1">1</definedName>
    <definedName name="solver_est" localSheetId="0" hidden="1">1</definedName>
    <definedName name="solver_itr" localSheetId="0" hidden="1">100</definedName>
    <definedName name="solver_lhs1" localSheetId="0" hidden="1">'Fitting Equation 11'!$F$39</definedName>
    <definedName name="solver_lhs2" localSheetId="0" hidden="1">'Fitting Equation 11'!$F$39</definedName>
    <definedName name="solver_lhs3" localSheetId="0" hidden="1">'Fitting Equation 11'!$F$40</definedName>
    <definedName name="solver_lhs4" localSheetId="0" hidden="1">'Fitting Equation 11'!$F$40</definedName>
    <definedName name="solver_lhs5" localSheetId="0" hidden="1">'Fitting Equation 11'!$F$41</definedName>
    <definedName name="solver_lhs6" localSheetId="0" hidden="1">'Fitting Equation 11'!$F$41</definedName>
    <definedName name="solver_lhs7" localSheetId="0" hidden="1">'Fitting Equation 11'!$F$42</definedName>
    <definedName name="solver_lhs8" localSheetId="0" hidden="1">'Fitting Equation 11'!$F$42</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2</definedName>
    <definedName name="solver_nod" localSheetId="0" hidden="1">2147483647</definedName>
    <definedName name="solver_num" localSheetId="0" hidden="1">8</definedName>
    <definedName name="solver_nwt" localSheetId="0" hidden="1">1</definedName>
    <definedName name="solver_opt" localSheetId="0" hidden="1">'Fitting Equation 11'!$D$35</definedName>
    <definedName name="solver_pre" localSheetId="0" hidden="1">0.000001</definedName>
    <definedName name="solver_rbv" localSheetId="0" hidden="1">1</definedName>
    <definedName name="solver_rel1" localSheetId="0" hidden="1">1</definedName>
    <definedName name="solver_rel2" localSheetId="0" hidden="1">3</definedName>
    <definedName name="solver_rel3" localSheetId="0" hidden="1">1</definedName>
    <definedName name="solver_rel4" localSheetId="0" hidden="1">3</definedName>
    <definedName name="solver_rel5" localSheetId="0" hidden="1">1</definedName>
    <definedName name="solver_rel6" localSheetId="0" hidden="1">3</definedName>
    <definedName name="solver_rel7" localSheetId="0" hidden="1">1</definedName>
    <definedName name="solver_rel8" localSheetId="0" hidden="1">3</definedName>
    <definedName name="solver_rhs1" localSheetId="0" hidden="1">'Fitting Equation 11'!$B$39</definedName>
    <definedName name="solver_rhs2" localSheetId="0" hidden="1">'Fitting Equation 11'!$C$39</definedName>
    <definedName name="solver_rhs3" localSheetId="0" hidden="1">'Fitting Equation 11'!$B$40</definedName>
    <definedName name="solver_rhs4" localSheetId="0" hidden="1">'Fitting Equation 11'!$C$40</definedName>
    <definedName name="solver_rhs5" localSheetId="0" hidden="1">'Fitting Equation 11'!$B$41</definedName>
    <definedName name="solver_rhs6" localSheetId="0" hidden="1">'Fitting Equation 11'!$C$41</definedName>
    <definedName name="solver_rhs7" localSheetId="0" hidden="1">'Fitting Equation 11'!$B$42</definedName>
    <definedName name="solver_rhs8" localSheetId="0" hidden="1">'Fitting Equation 11'!$C$42</definedName>
    <definedName name="solver_rlx" localSheetId="0" hidden="1">1</definedName>
    <definedName name="solver_rsd" localSheetId="0" hidden="1">0</definedName>
    <definedName name="solver_scl" localSheetId="0" hidden="1">1</definedName>
    <definedName name="solver_sho" localSheetId="0" hidden="1">2</definedName>
    <definedName name="solver_ssz" localSheetId="0" hidden="1">0</definedName>
    <definedName name="solver_tim" localSheetId="0" hidden="1">100</definedName>
    <definedName name="solver_tol" localSheetId="0" hidden="1">0.05</definedName>
    <definedName name="solver_typ" localSheetId="0" hidden="1">2</definedName>
    <definedName name="solver_val" localSheetId="0" hidden="1">0</definedName>
    <definedName name="solver_ver" localSheetId="0" hidden="1">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1" l="1"/>
  <c r="K2009" i="1" l="1"/>
  <c r="K1809" i="1"/>
  <c r="K1409" i="1"/>
  <c r="K1009" i="1"/>
  <c r="K809" i="1"/>
  <c r="K509" i="1"/>
  <c r="K309" i="1"/>
  <c r="K209" i="1"/>
  <c r="K109" i="1"/>
  <c r="K59" i="1"/>
  <c r="K9" i="1"/>
  <c r="F54" i="1"/>
  <c r="P10" i="1"/>
  <c r="R10" i="1"/>
  <c r="S10" i="1"/>
  <c r="P11" i="1"/>
  <c r="R11" i="1"/>
  <c r="S11" i="1"/>
  <c r="P12" i="1"/>
  <c r="R12" i="1"/>
  <c r="S12" i="1"/>
  <c r="P13" i="1"/>
  <c r="R13" i="1"/>
  <c r="S13" i="1"/>
  <c r="P14" i="1"/>
  <c r="R14" i="1"/>
  <c r="P15" i="1"/>
  <c r="R15" i="1"/>
  <c r="P16" i="1"/>
  <c r="R16" i="1"/>
  <c r="P17" i="1"/>
  <c r="R17" i="1"/>
  <c r="P18" i="1"/>
  <c r="R18" i="1"/>
  <c r="P19" i="1"/>
  <c r="R19" i="1"/>
  <c r="P20" i="1"/>
  <c r="R20" i="1"/>
  <c r="P21" i="1"/>
  <c r="R21" i="1"/>
  <c r="P22" i="1"/>
  <c r="R22" i="1"/>
  <c r="P23" i="1"/>
  <c r="R23" i="1"/>
  <c r="P24" i="1"/>
  <c r="R24" i="1"/>
  <c r="P25" i="1"/>
  <c r="R25" i="1"/>
  <c r="P26" i="1"/>
  <c r="R26" i="1"/>
  <c r="P27" i="1"/>
  <c r="R27" i="1"/>
  <c r="P28" i="1"/>
  <c r="R28" i="1"/>
  <c r="P29" i="1"/>
  <c r="R29" i="1"/>
  <c r="P30" i="1"/>
  <c r="R30" i="1"/>
  <c r="P31" i="1"/>
  <c r="R31" i="1"/>
  <c r="P32" i="1"/>
  <c r="R32" i="1"/>
  <c r="P33" i="1"/>
  <c r="R33" i="1"/>
  <c r="P34" i="1"/>
  <c r="R34" i="1"/>
  <c r="P35" i="1"/>
  <c r="R35" i="1"/>
  <c r="P36" i="1"/>
  <c r="R36" i="1"/>
  <c r="P37" i="1"/>
  <c r="R37" i="1"/>
  <c r="P38" i="1"/>
  <c r="R38" i="1"/>
  <c r="P39" i="1"/>
  <c r="R39" i="1"/>
  <c r="P40" i="1"/>
  <c r="R40" i="1"/>
  <c r="P41" i="1"/>
  <c r="R41" i="1"/>
  <c r="P42" i="1"/>
  <c r="R42" i="1"/>
  <c r="P43" i="1"/>
  <c r="R43" i="1"/>
  <c r="P44" i="1"/>
  <c r="R44" i="1"/>
  <c r="P45" i="1"/>
  <c r="R45" i="1"/>
  <c r="P46" i="1"/>
  <c r="R46" i="1"/>
  <c r="P47" i="1"/>
  <c r="R47" i="1"/>
  <c r="P48" i="1"/>
  <c r="R48" i="1"/>
  <c r="P49" i="1"/>
  <c r="R49" i="1"/>
  <c r="P50" i="1"/>
  <c r="R50" i="1"/>
  <c r="P51" i="1"/>
  <c r="R51" i="1"/>
  <c r="P52" i="1"/>
  <c r="R52" i="1"/>
  <c r="P53" i="1"/>
  <c r="R53" i="1"/>
  <c r="P54" i="1"/>
  <c r="R54" i="1"/>
  <c r="P55" i="1"/>
  <c r="R55" i="1"/>
  <c r="P56" i="1"/>
  <c r="R56" i="1"/>
  <c r="P57" i="1"/>
  <c r="R57" i="1"/>
  <c r="P58" i="1"/>
  <c r="R58" i="1"/>
  <c r="P59" i="1"/>
  <c r="R59" i="1"/>
  <c r="P60" i="1"/>
  <c r="R60" i="1"/>
  <c r="P61" i="1"/>
  <c r="R61" i="1"/>
  <c r="P62" i="1"/>
  <c r="R62" i="1"/>
  <c r="P63" i="1"/>
  <c r="R63" i="1"/>
  <c r="P64" i="1"/>
  <c r="R64" i="1"/>
  <c r="P65" i="1"/>
  <c r="R65" i="1"/>
  <c r="P66" i="1"/>
  <c r="R66" i="1"/>
  <c r="P67" i="1"/>
  <c r="R67" i="1"/>
  <c r="P68" i="1"/>
  <c r="R68" i="1"/>
  <c r="P69" i="1"/>
  <c r="R69" i="1"/>
  <c r="P70" i="1"/>
  <c r="R70" i="1"/>
  <c r="P71" i="1"/>
  <c r="R71" i="1"/>
  <c r="P72" i="1"/>
  <c r="R72" i="1"/>
  <c r="P73" i="1"/>
  <c r="R73" i="1"/>
  <c r="P74" i="1"/>
  <c r="R74" i="1"/>
  <c r="P75" i="1"/>
  <c r="R75" i="1"/>
  <c r="P76" i="1"/>
  <c r="R76" i="1"/>
  <c r="P77" i="1"/>
  <c r="R77" i="1"/>
  <c r="P78" i="1"/>
  <c r="R78" i="1"/>
  <c r="P79" i="1"/>
  <c r="R79" i="1"/>
  <c r="P80" i="1"/>
  <c r="R80" i="1"/>
  <c r="P81" i="1"/>
  <c r="R81" i="1"/>
  <c r="P82" i="1"/>
  <c r="R82" i="1"/>
  <c r="P83" i="1"/>
  <c r="R83" i="1"/>
  <c r="P84" i="1"/>
  <c r="R84" i="1"/>
  <c r="P85" i="1"/>
  <c r="R85" i="1"/>
  <c r="P86" i="1"/>
  <c r="R86" i="1"/>
  <c r="P87" i="1"/>
  <c r="R87" i="1"/>
  <c r="P88" i="1"/>
  <c r="R88" i="1"/>
  <c r="P89" i="1"/>
  <c r="R89" i="1"/>
  <c r="P90" i="1"/>
  <c r="R90" i="1"/>
  <c r="P91" i="1"/>
  <c r="R91" i="1"/>
  <c r="P92" i="1"/>
  <c r="R92" i="1"/>
  <c r="P93" i="1"/>
  <c r="R93" i="1"/>
  <c r="P94" i="1"/>
  <c r="R94" i="1"/>
  <c r="P95" i="1"/>
  <c r="R95" i="1"/>
  <c r="P96" i="1"/>
  <c r="R96" i="1"/>
  <c r="P97" i="1"/>
  <c r="R97" i="1"/>
  <c r="P98" i="1"/>
  <c r="R98" i="1"/>
  <c r="P99" i="1"/>
  <c r="R99" i="1"/>
  <c r="P100" i="1"/>
  <c r="R100" i="1"/>
  <c r="P101" i="1"/>
  <c r="R101" i="1"/>
  <c r="P102" i="1"/>
  <c r="R102" i="1"/>
  <c r="P103" i="1"/>
  <c r="R103" i="1"/>
  <c r="P104" i="1"/>
  <c r="R104" i="1"/>
  <c r="P105" i="1"/>
  <c r="R105" i="1"/>
  <c r="P106" i="1"/>
  <c r="R106" i="1"/>
  <c r="P107" i="1"/>
  <c r="R107" i="1"/>
  <c r="P108" i="1"/>
  <c r="R108" i="1"/>
  <c r="P109" i="1"/>
  <c r="R109" i="1"/>
  <c r="P110" i="1"/>
  <c r="R110" i="1"/>
  <c r="P111" i="1"/>
  <c r="R111" i="1"/>
  <c r="P112" i="1"/>
  <c r="R112" i="1"/>
  <c r="P113" i="1"/>
  <c r="R113" i="1"/>
  <c r="P114" i="1"/>
  <c r="R114" i="1"/>
  <c r="P115" i="1"/>
  <c r="R115" i="1"/>
  <c r="P116" i="1"/>
  <c r="R116" i="1"/>
  <c r="P117" i="1"/>
  <c r="R117" i="1"/>
  <c r="P118" i="1"/>
  <c r="R118" i="1"/>
  <c r="P119" i="1"/>
  <c r="R119" i="1"/>
  <c r="P120" i="1"/>
  <c r="R120" i="1"/>
  <c r="P121" i="1"/>
  <c r="R121" i="1"/>
  <c r="P122" i="1"/>
  <c r="R122" i="1"/>
  <c r="P123" i="1"/>
  <c r="R123" i="1"/>
  <c r="P124" i="1"/>
  <c r="R124" i="1"/>
  <c r="P125" i="1"/>
  <c r="R125" i="1"/>
  <c r="P126" i="1"/>
  <c r="R126" i="1"/>
  <c r="P127" i="1"/>
  <c r="R127" i="1"/>
  <c r="P128" i="1"/>
  <c r="R128" i="1"/>
  <c r="P129" i="1"/>
  <c r="R129" i="1"/>
  <c r="P130" i="1"/>
  <c r="R130" i="1"/>
  <c r="P131" i="1"/>
  <c r="R131" i="1"/>
  <c r="P132" i="1"/>
  <c r="R132" i="1"/>
  <c r="P133" i="1"/>
  <c r="R133" i="1"/>
  <c r="P134" i="1"/>
  <c r="R134" i="1"/>
  <c r="P135" i="1"/>
  <c r="R135" i="1"/>
  <c r="P136" i="1"/>
  <c r="R136" i="1"/>
  <c r="P137" i="1"/>
  <c r="R137" i="1"/>
  <c r="P138" i="1"/>
  <c r="R138" i="1"/>
  <c r="P139" i="1"/>
  <c r="R139" i="1"/>
  <c r="P140" i="1"/>
  <c r="R140" i="1"/>
  <c r="P141" i="1"/>
  <c r="R141" i="1"/>
  <c r="P142" i="1"/>
  <c r="R142" i="1"/>
  <c r="P143" i="1"/>
  <c r="R143" i="1"/>
  <c r="P144" i="1"/>
  <c r="R144" i="1"/>
  <c r="P145" i="1"/>
  <c r="R145" i="1"/>
  <c r="P146" i="1"/>
  <c r="R146" i="1"/>
  <c r="P147" i="1"/>
  <c r="R147" i="1"/>
  <c r="P148" i="1"/>
  <c r="R148" i="1"/>
  <c r="P149" i="1"/>
  <c r="R149" i="1"/>
  <c r="P150" i="1"/>
  <c r="R150" i="1"/>
  <c r="P151" i="1"/>
  <c r="R151" i="1"/>
  <c r="P152" i="1"/>
  <c r="R152" i="1"/>
  <c r="P153" i="1"/>
  <c r="R153" i="1"/>
  <c r="P154" i="1"/>
  <c r="R154" i="1"/>
  <c r="P155" i="1"/>
  <c r="R155" i="1"/>
  <c r="P156" i="1"/>
  <c r="R156" i="1"/>
  <c r="P157" i="1"/>
  <c r="R157" i="1"/>
  <c r="P158" i="1"/>
  <c r="R158" i="1"/>
  <c r="P159" i="1"/>
  <c r="R159" i="1"/>
  <c r="P160" i="1"/>
  <c r="R160" i="1"/>
  <c r="P161" i="1"/>
  <c r="R161" i="1"/>
  <c r="P162" i="1"/>
  <c r="R162" i="1"/>
  <c r="P163" i="1"/>
  <c r="R163" i="1"/>
  <c r="P164" i="1"/>
  <c r="R164" i="1"/>
  <c r="P165" i="1"/>
  <c r="R165" i="1"/>
  <c r="P166" i="1"/>
  <c r="R166" i="1"/>
  <c r="P167" i="1"/>
  <c r="R167" i="1"/>
  <c r="P168" i="1"/>
  <c r="R168" i="1"/>
  <c r="P169" i="1"/>
  <c r="R169" i="1"/>
  <c r="P170" i="1"/>
  <c r="R170" i="1"/>
  <c r="P171" i="1"/>
  <c r="R171" i="1"/>
  <c r="P172" i="1"/>
  <c r="R172" i="1"/>
  <c r="P173" i="1"/>
  <c r="R173" i="1"/>
  <c r="P174" i="1"/>
  <c r="R174" i="1"/>
  <c r="P175" i="1"/>
  <c r="R175" i="1"/>
  <c r="P176" i="1"/>
  <c r="R176" i="1"/>
  <c r="P177" i="1"/>
  <c r="R177" i="1"/>
  <c r="P178" i="1"/>
  <c r="R178" i="1"/>
  <c r="P179" i="1"/>
  <c r="R179" i="1"/>
  <c r="P180" i="1"/>
  <c r="R180" i="1"/>
  <c r="P181" i="1"/>
  <c r="R181" i="1"/>
  <c r="P182" i="1"/>
  <c r="R182" i="1"/>
  <c r="P183" i="1"/>
  <c r="R183" i="1"/>
  <c r="P184" i="1"/>
  <c r="R184" i="1"/>
  <c r="P185" i="1"/>
  <c r="R185" i="1"/>
  <c r="P186" i="1"/>
  <c r="R186" i="1"/>
  <c r="P187" i="1"/>
  <c r="R187" i="1"/>
  <c r="P188" i="1"/>
  <c r="R188" i="1"/>
  <c r="P189" i="1"/>
  <c r="R189" i="1"/>
  <c r="P190" i="1"/>
  <c r="R190" i="1"/>
  <c r="P191" i="1"/>
  <c r="R191" i="1"/>
  <c r="P192" i="1"/>
  <c r="R192" i="1"/>
  <c r="P193" i="1"/>
  <c r="R193" i="1"/>
  <c r="P194" i="1"/>
  <c r="R194" i="1"/>
  <c r="P195" i="1"/>
  <c r="R195" i="1"/>
  <c r="P196" i="1"/>
  <c r="R196" i="1"/>
  <c r="P197" i="1"/>
  <c r="R197" i="1"/>
  <c r="P198" i="1"/>
  <c r="R198" i="1"/>
  <c r="P199" i="1"/>
  <c r="R199" i="1"/>
  <c r="P200" i="1"/>
  <c r="R200" i="1"/>
  <c r="P201" i="1"/>
  <c r="R201" i="1"/>
  <c r="P202" i="1"/>
  <c r="R202" i="1"/>
  <c r="P203" i="1"/>
  <c r="R203" i="1"/>
  <c r="P204" i="1"/>
  <c r="R204" i="1"/>
  <c r="P205" i="1"/>
  <c r="R205" i="1"/>
  <c r="P206" i="1"/>
  <c r="R206" i="1"/>
  <c r="P207" i="1"/>
  <c r="R207" i="1"/>
  <c r="P208" i="1"/>
  <c r="R208" i="1"/>
  <c r="P209" i="1"/>
  <c r="R209" i="1"/>
  <c r="P210" i="1"/>
  <c r="R210" i="1"/>
  <c r="S210" i="1"/>
  <c r="P211" i="1"/>
  <c r="R211" i="1"/>
  <c r="S211" i="1"/>
  <c r="P212" i="1"/>
  <c r="R212" i="1"/>
  <c r="S212" i="1"/>
  <c r="P213" i="1"/>
  <c r="R213" i="1"/>
  <c r="S213" i="1"/>
  <c r="P214" i="1"/>
  <c r="R214" i="1"/>
  <c r="S214" i="1"/>
  <c r="P215" i="1"/>
  <c r="R215" i="1"/>
  <c r="S215" i="1"/>
  <c r="P216" i="1"/>
  <c r="R216" i="1"/>
  <c r="S216" i="1"/>
  <c r="P217" i="1"/>
  <c r="R217" i="1"/>
  <c r="S217" i="1"/>
  <c r="P218" i="1"/>
  <c r="R218" i="1"/>
  <c r="S218" i="1"/>
  <c r="P219" i="1"/>
  <c r="R219" i="1"/>
  <c r="S219" i="1"/>
  <c r="P220" i="1"/>
  <c r="R220" i="1"/>
  <c r="S220" i="1"/>
  <c r="P221" i="1"/>
  <c r="R221" i="1"/>
  <c r="S221" i="1"/>
  <c r="P222" i="1"/>
  <c r="R222" i="1"/>
  <c r="S222" i="1"/>
  <c r="P223" i="1"/>
  <c r="R223" i="1"/>
  <c r="S223" i="1"/>
  <c r="P224" i="1"/>
  <c r="R224" i="1"/>
  <c r="S224" i="1"/>
  <c r="P225" i="1"/>
  <c r="R225" i="1"/>
  <c r="S225" i="1"/>
  <c r="P226" i="1"/>
  <c r="R226" i="1"/>
  <c r="S226" i="1"/>
  <c r="P227" i="1"/>
  <c r="R227" i="1"/>
  <c r="S227" i="1"/>
  <c r="P228" i="1"/>
  <c r="R228" i="1"/>
  <c r="S228" i="1"/>
  <c r="P229" i="1"/>
  <c r="R229" i="1"/>
  <c r="S229" i="1"/>
  <c r="P230" i="1"/>
  <c r="R230" i="1"/>
  <c r="S230" i="1"/>
  <c r="P231" i="1"/>
  <c r="R231" i="1"/>
  <c r="S231" i="1"/>
  <c r="P232" i="1"/>
  <c r="R232" i="1"/>
  <c r="S232" i="1"/>
  <c r="P233" i="1"/>
  <c r="R233" i="1"/>
  <c r="S233" i="1"/>
  <c r="P234" i="1"/>
  <c r="R234" i="1"/>
  <c r="S234" i="1"/>
  <c r="P235" i="1"/>
  <c r="R235" i="1"/>
  <c r="S235" i="1"/>
  <c r="P236" i="1"/>
  <c r="R236" i="1"/>
  <c r="S236" i="1"/>
  <c r="P237" i="1"/>
  <c r="R237" i="1"/>
  <c r="S237" i="1"/>
  <c r="P238" i="1"/>
  <c r="R238" i="1"/>
  <c r="S238" i="1"/>
  <c r="P239" i="1"/>
  <c r="R239" i="1"/>
  <c r="S239" i="1"/>
  <c r="P240" i="1"/>
  <c r="R240" i="1"/>
  <c r="S240" i="1"/>
  <c r="P241" i="1"/>
  <c r="R241" i="1"/>
  <c r="S241" i="1"/>
  <c r="P242" i="1"/>
  <c r="R242" i="1"/>
  <c r="S242" i="1"/>
  <c r="P243" i="1"/>
  <c r="R243" i="1"/>
  <c r="S243" i="1"/>
  <c r="P244" i="1"/>
  <c r="R244" i="1"/>
  <c r="S244" i="1"/>
  <c r="P245" i="1"/>
  <c r="R245" i="1"/>
  <c r="S245" i="1"/>
  <c r="P246" i="1"/>
  <c r="R246" i="1"/>
  <c r="S246" i="1"/>
  <c r="P247" i="1"/>
  <c r="R247" i="1"/>
  <c r="S247" i="1"/>
  <c r="P248" i="1"/>
  <c r="R248" i="1"/>
  <c r="S248" i="1"/>
  <c r="P249" i="1"/>
  <c r="R249" i="1"/>
  <c r="S249" i="1"/>
  <c r="P250" i="1"/>
  <c r="R250" i="1"/>
  <c r="S250" i="1"/>
  <c r="P251" i="1"/>
  <c r="R251" i="1"/>
  <c r="S251" i="1"/>
  <c r="P252" i="1"/>
  <c r="R252" i="1"/>
  <c r="S252" i="1"/>
  <c r="P253" i="1"/>
  <c r="R253" i="1"/>
  <c r="S253" i="1"/>
  <c r="P254" i="1"/>
  <c r="R254" i="1"/>
  <c r="S254" i="1"/>
  <c r="P255" i="1"/>
  <c r="R255" i="1"/>
  <c r="S255" i="1"/>
  <c r="P256" i="1"/>
  <c r="R256" i="1"/>
  <c r="S256" i="1"/>
  <c r="P257" i="1"/>
  <c r="R257" i="1"/>
  <c r="S257" i="1"/>
  <c r="P258" i="1"/>
  <c r="R258" i="1"/>
  <c r="S258" i="1"/>
  <c r="P259" i="1"/>
  <c r="R259" i="1"/>
  <c r="S259" i="1"/>
  <c r="P260" i="1"/>
  <c r="R260" i="1"/>
  <c r="S260" i="1"/>
  <c r="P261" i="1"/>
  <c r="R261" i="1"/>
  <c r="S261" i="1"/>
  <c r="P262" i="1"/>
  <c r="R262" i="1"/>
  <c r="S262" i="1"/>
  <c r="P263" i="1"/>
  <c r="R263" i="1"/>
  <c r="S263" i="1"/>
  <c r="P264" i="1"/>
  <c r="R264" i="1"/>
  <c r="S264" i="1"/>
  <c r="P265" i="1"/>
  <c r="R265" i="1"/>
  <c r="S265" i="1"/>
  <c r="P266" i="1"/>
  <c r="R266" i="1"/>
  <c r="S266" i="1"/>
  <c r="P267" i="1"/>
  <c r="R267" i="1"/>
  <c r="S267" i="1"/>
  <c r="P268" i="1"/>
  <c r="R268" i="1"/>
  <c r="S268" i="1"/>
  <c r="P269" i="1"/>
  <c r="R269" i="1"/>
  <c r="S269" i="1"/>
  <c r="P270" i="1"/>
  <c r="R270" i="1"/>
  <c r="S270" i="1"/>
  <c r="P271" i="1"/>
  <c r="R271" i="1"/>
  <c r="S271" i="1"/>
  <c r="P272" i="1"/>
  <c r="R272" i="1"/>
  <c r="S272" i="1"/>
  <c r="P273" i="1"/>
  <c r="R273" i="1"/>
  <c r="S273" i="1"/>
  <c r="P274" i="1"/>
  <c r="R274" i="1"/>
  <c r="S274" i="1"/>
  <c r="P275" i="1"/>
  <c r="R275" i="1"/>
  <c r="S275" i="1"/>
  <c r="P276" i="1"/>
  <c r="R276" i="1"/>
  <c r="S276" i="1"/>
  <c r="P277" i="1"/>
  <c r="R277" i="1"/>
  <c r="S277" i="1"/>
  <c r="P278" i="1"/>
  <c r="R278" i="1"/>
  <c r="S278" i="1"/>
  <c r="P279" i="1"/>
  <c r="R279" i="1"/>
  <c r="S279" i="1"/>
  <c r="P280" i="1"/>
  <c r="R280" i="1"/>
  <c r="S280" i="1"/>
  <c r="P281" i="1"/>
  <c r="R281" i="1"/>
  <c r="S281" i="1"/>
  <c r="P282" i="1"/>
  <c r="R282" i="1"/>
  <c r="S282" i="1"/>
  <c r="P283" i="1"/>
  <c r="R283" i="1"/>
  <c r="S283" i="1"/>
  <c r="P284" i="1"/>
  <c r="R284" i="1"/>
  <c r="S284" i="1"/>
  <c r="P285" i="1"/>
  <c r="R285" i="1"/>
  <c r="S285" i="1"/>
  <c r="P286" i="1"/>
  <c r="R286" i="1"/>
  <c r="S286" i="1"/>
  <c r="P287" i="1"/>
  <c r="R287" i="1"/>
  <c r="S287" i="1"/>
  <c r="P288" i="1"/>
  <c r="R288" i="1"/>
  <c r="S288" i="1"/>
  <c r="P289" i="1"/>
  <c r="R289" i="1"/>
  <c r="S289" i="1"/>
  <c r="P290" i="1"/>
  <c r="R290" i="1"/>
  <c r="S290" i="1"/>
  <c r="P291" i="1"/>
  <c r="R291" i="1"/>
  <c r="S291" i="1"/>
  <c r="P292" i="1"/>
  <c r="R292" i="1"/>
  <c r="S292" i="1"/>
  <c r="P293" i="1"/>
  <c r="R293" i="1"/>
  <c r="S293" i="1"/>
  <c r="P294" i="1"/>
  <c r="R294" i="1"/>
  <c r="S294" i="1"/>
  <c r="P295" i="1"/>
  <c r="R295" i="1"/>
  <c r="S295" i="1"/>
  <c r="P296" i="1"/>
  <c r="R296" i="1"/>
  <c r="S296" i="1"/>
  <c r="P297" i="1"/>
  <c r="R297" i="1"/>
  <c r="S297" i="1"/>
  <c r="P298" i="1"/>
  <c r="R298" i="1"/>
  <c r="S298" i="1"/>
  <c r="P299" i="1"/>
  <c r="R299" i="1"/>
  <c r="S299" i="1"/>
  <c r="P300" i="1"/>
  <c r="R300" i="1"/>
  <c r="S300" i="1"/>
  <c r="P301" i="1"/>
  <c r="R301" i="1"/>
  <c r="S301" i="1"/>
  <c r="P302" i="1"/>
  <c r="R302" i="1"/>
  <c r="S302" i="1"/>
  <c r="P303" i="1"/>
  <c r="R303" i="1"/>
  <c r="S303" i="1"/>
  <c r="P304" i="1"/>
  <c r="R304" i="1"/>
  <c r="S304" i="1"/>
  <c r="P305" i="1"/>
  <c r="R305" i="1"/>
  <c r="S305" i="1"/>
  <c r="P306" i="1"/>
  <c r="R306" i="1"/>
  <c r="S306" i="1"/>
  <c r="P307" i="1"/>
  <c r="R307" i="1"/>
  <c r="S307" i="1"/>
  <c r="P308" i="1"/>
  <c r="R308" i="1"/>
  <c r="S308" i="1"/>
  <c r="P309" i="1"/>
  <c r="R309" i="1"/>
  <c r="S309" i="1"/>
  <c r="P310" i="1"/>
  <c r="R310" i="1"/>
  <c r="S310" i="1"/>
  <c r="P311" i="1"/>
  <c r="R311" i="1"/>
  <c r="S311" i="1"/>
  <c r="P312" i="1"/>
  <c r="R312" i="1"/>
  <c r="S312" i="1"/>
  <c r="P313" i="1"/>
  <c r="R313" i="1"/>
  <c r="S313" i="1"/>
  <c r="P314" i="1"/>
  <c r="R314" i="1"/>
  <c r="S314" i="1"/>
  <c r="P315" i="1"/>
  <c r="R315" i="1"/>
  <c r="S315" i="1"/>
  <c r="P316" i="1"/>
  <c r="R316" i="1"/>
  <c r="S316" i="1"/>
  <c r="P317" i="1"/>
  <c r="R317" i="1"/>
  <c r="S317" i="1"/>
  <c r="P318" i="1"/>
  <c r="R318" i="1"/>
  <c r="S318" i="1"/>
  <c r="P319" i="1"/>
  <c r="R319" i="1"/>
  <c r="S319" i="1"/>
  <c r="P320" i="1"/>
  <c r="R320" i="1"/>
  <c r="S320" i="1"/>
  <c r="P321" i="1"/>
  <c r="R321" i="1"/>
  <c r="S321" i="1"/>
  <c r="P322" i="1"/>
  <c r="R322" i="1"/>
  <c r="S322" i="1"/>
  <c r="P323" i="1"/>
  <c r="R323" i="1"/>
  <c r="S323" i="1"/>
  <c r="P324" i="1"/>
  <c r="R324" i="1"/>
  <c r="S324" i="1"/>
  <c r="P325" i="1"/>
  <c r="R325" i="1"/>
  <c r="S325" i="1"/>
  <c r="P326" i="1"/>
  <c r="R326" i="1"/>
  <c r="S326" i="1"/>
  <c r="P327" i="1"/>
  <c r="R327" i="1"/>
  <c r="S327" i="1"/>
  <c r="P328" i="1"/>
  <c r="R328" i="1"/>
  <c r="S328" i="1"/>
  <c r="P329" i="1"/>
  <c r="R329" i="1"/>
  <c r="S329" i="1"/>
  <c r="P330" i="1"/>
  <c r="R330" i="1"/>
  <c r="S330" i="1"/>
  <c r="P331" i="1"/>
  <c r="R331" i="1"/>
  <c r="S331" i="1"/>
  <c r="P332" i="1"/>
  <c r="R332" i="1"/>
  <c r="S332" i="1"/>
  <c r="P333" i="1"/>
  <c r="R333" i="1"/>
  <c r="S333" i="1"/>
  <c r="P334" i="1"/>
  <c r="R334" i="1"/>
  <c r="S334" i="1"/>
  <c r="P335" i="1"/>
  <c r="R335" i="1"/>
  <c r="S335" i="1"/>
  <c r="P336" i="1"/>
  <c r="R336" i="1"/>
  <c r="S336" i="1"/>
  <c r="P337" i="1"/>
  <c r="R337" i="1"/>
  <c r="S337" i="1"/>
  <c r="P338" i="1"/>
  <c r="R338" i="1"/>
  <c r="S338" i="1"/>
  <c r="P339" i="1"/>
  <c r="R339" i="1"/>
  <c r="S339" i="1"/>
  <c r="P340" i="1"/>
  <c r="R340" i="1"/>
  <c r="S340" i="1"/>
  <c r="P341" i="1"/>
  <c r="R341" i="1"/>
  <c r="S341" i="1"/>
  <c r="P342" i="1"/>
  <c r="R342" i="1"/>
  <c r="S342" i="1"/>
  <c r="P343" i="1"/>
  <c r="R343" i="1"/>
  <c r="S343" i="1"/>
  <c r="P344" i="1"/>
  <c r="R344" i="1"/>
  <c r="S344" i="1"/>
  <c r="P345" i="1"/>
  <c r="R345" i="1"/>
  <c r="S345" i="1"/>
  <c r="P346" i="1"/>
  <c r="R346" i="1"/>
  <c r="S346" i="1"/>
  <c r="P347" i="1"/>
  <c r="R347" i="1"/>
  <c r="S347" i="1"/>
  <c r="P348" i="1"/>
  <c r="R348" i="1"/>
  <c r="S348" i="1"/>
  <c r="P349" i="1"/>
  <c r="R349" i="1"/>
  <c r="S349" i="1"/>
  <c r="P350" i="1"/>
  <c r="R350" i="1"/>
  <c r="S350" i="1"/>
  <c r="P351" i="1"/>
  <c r="R351" i="1"/>
  <c r="S351" i="1"/>
  <c r="P352" i="1"/>
  <c r="R352" i="1"/>
  <c r="S352" i="1"/>
  <c r="P353" i="1"/>
  <c r="R353" i="1"/>
  <c r="S353" i="1"/>
  <c r="P354" i="1"/>
  <c r="R354" i="1"/>
  <c r="S354" i="1"/>
  <c r="P355" i="1"/>
  <c r="R355" i="1"/>
  <c r="S355" i="1"/>
  <c r="P356" i="1"/>
  <c r="R356" i="1"/>
  <c r="S356" i="1"/>
  <c r="P357" i="1"/>
  <c r="R357" i="1"/>
  <c r="S357" i="1"/>
  <c r="P358" i="1"/>
  <c r="R358" i="1"/>
  <c r="S358" i="1"/>
  <c r="P359" i="1"/>
  <c r="R359" i="1"/>
  <c r="S359" i="1"/>
  <c r="P360" i="1"/>
  <c r="R360" i="1"/>
  <c r="S360" i="1"/>
  <c r="P361" i="1"/>
  <c r="R361" i="1"/>
  <c r="S361" i="1"/>
  <c r="P362" i="1"/>
  <c r="R362" i="1"/>
  <c r="S362" i="1"/>
  <c r="P363" i="1"/>
  <c r="R363" i="1"/>
  <c r="S363" i="1"/>
  <c r="P364" i="1"/>
  <c r="R364" i="1"/>
  <c r="S364" i="1"/>
  <c r="P365" i="1"/>
  <c r="R365" i="1"/>
  <c r="S365" i="1"/>
  <c r="P366" i="1"/>
  <c r="R366" i="1"/>
  <c r="S366" i="1"/>
  <c r="P367" i="1"/>
  <c r="R367" i="1"/>
  <c r="S367" i="1"/>
  <c r="P368" i="1"/>
  <c r="R368" i="1"/>
  <c r="S368" i="1"/>
  <c r="P369" i="1"/>
  <c r="R369" i="1"/>
  <c r="S369" i="1"/>
  <c r="P370" i="1"/>
  <c r="R370" i="1"/>
  <c r="S370" i="1"/>
  <c r="P371" i="1"/>
  <c r="R371" i="1"/>
  <c r="S371" i="1"/>
  <c r="P372" i="1"/>
  <c r="R372" i="1"/>
  <c r="S372" i="1"/>
  <c r="P373" i="1"/>
  <c r="R373" i="1"/>
  <c r="S373" i="1"/>
  <c r="P374" i="1"/>
  <c r="R374" i="1"/>
  <c r="S374" i="1"/>
  <c r="P375" i="1"/>
  <c r="R375" i="1"/>
  <c r="S375" i="1"/>
  <c r="P376" i="1"/>
  <c r="R376" i="1"/>
  <c r="S376" i="1"/>
  <c r="P377" i="1"/>
  <c r="R377" i="1"/>
  <c r="S377" i="1"/>
  <c r="P378" i="1"/>
  <c r="R378" i="1"/>
  <c r="S378" i="1"/>
  <c r="P379" i="1"/>
  <c r="R379" i="1"/>
  <c r="S379" i="1"/>
  <c r="P380" i="1"/>
  <c r="R380" i="1"/>
  <c r="S380" i="1"/>
  <c r="P381" i="1"/>
  <c r="R381" i="1"/>
  <c r="S381" i="1"/>
  <c r="P382" i="1"/>
  <c r="R382" i="1"/>
  <c r="S382" i="1"/>
  <c r="P383" i="1"/>
  <c r="R383" i="1"/>
  <c r="S383" i="1"/>
  <c r="P384" i="1"/>
  <c r="R384" i="1"/>
  <c r="S384" i="1"/>
  <c r="P385" i="1"/>
  <c r="R385" i="1"/>
  <c r="S385" i="1"/>
  <c r="P386" i="1"/>
  <c r="R386" i="1"/>
  <c r="S386" i="1"/>
  <c r="P387" i="1"/>
  <c r="R387" i="1"/>
  <c r="S387" i="1"/>
  <c r="P388" i="1"/>
  <c r="R388" i="1"/>
  <c r="S388" i="1"/>
  <c r="P389" i="1"/>
  <c r="R389" i="1"/>
  <c r="S389" i="1"/>
  <c r="P390" i="1"/>
  <c r="R390" i="1"/>
  <c r="S390" i="1"/>
  <c r="P391" i="1"/>
  <c r="R391" i="1"/>
  <c r="S391" i="1"/>
  <c r="P392" i="1"/>
  <c r="R392" i="1"/>
  <c r="S392" i="1"/>
  <c r="P393" i="1"/>
  <c r="R393" i="1"/>
  <c r="S393" i="1"/>
  <c r="P394" i="1"/>
  <c r="R394" i="1"/>
  <c r="S394" i="1"/>
  <c r="P395" i="1"/>
  <c r="R395" i="1"/>
  <c r="S395" i="1"/>
  <c r="P396" i="1"/>
  <c r="R396" i="1"/>
  <c r="S396" i="1"/>
  <c r="P397" i="1"/>
  <c r="R397" i="1"/>
  <c r="S397" i="1"/>
  <c r="P398" i="1"/>
  <c r="R398" i="1"/>
  <c r="S398" i="1"/>
  <c r="P399" i="1"/>
  <c r="R399" i="1"/>
  <c r="S399" i="1"/>
  <c r="P400" i="1"/>
  <c r="R400" i="1"/>
  <c r="S400" i="1"/>
  <c r="P401" i="1"/>
  <c r="R401" i="1"/>
  <c r="S401" i="1"/>
  <c r="P402" i="1"/>
  <c r="R402" i="1"/>
  <c r="S402" i="1"/>
  <c r="P403" i="1"/>
  <c r="R403" i="1"/>
  <c r="S403" i="1"/>
  <c r="P404" i="1"/>
  <c r="R404" i="1"/>
  <c r="S404" i="1"/>
  <c r="P405" i="1"/>
  <c r="R405" i="1"/>
  <c r="S405" i="1"/>
  <c r="P406" i="1"/>
  <c r="R406" i="1"/>
  <c r="S406" i="1"/>
  <c r="P407" i="1"/>
  <c r="R407" i="1"/>
  <c r="S407" i="1"/>
  <c r="P408" i="1"/>
  <c r="R408" i="1"/>
  <c r="S408" i="1"/>
  <c r="P409" i="1"/>
  <c r="R409" i="1"/>
  <c r="S409" i="1"/>
  <c r="P410" i="1"/>
  <c r="Q410" i="1"/>
  <c r="R410" i="1"/>
  <c r="S410" i="1"/>
  <c r="P411" i="1"/>
  <c r="Q411" i="1"/>
  <c r="R411" i="1"/>
  <c r="S411" i="1"/>
  <c r="P412" i="1"/>
  <c r="Q412" i="1"/>
  <c r="R412" i="1"/>
  <c r="S412" i="1"/>
  <c r="P413" i="1"/>
  <c r="Q413" i="1"/>
  <c r="R413" i="1"/>
  <c r="S413" i="1"/>
  <c r="P414" i="1"/>
  <c r="Q414" i="1"/>
  <c r="R414" i="1"/>
  <c r="S414" i="1"/>
  <c r="P415" i="1"/>
  <c r="Q415" i="1"/>
  <c r="R415" i="1"/>
  <c r="S415" i="1"/>
  <c r="P416" i="1"/>
  <c r="Q416" i="1"/>
  <c r="R416" i="1"/>
  <c r="S416" i="1"/>
  <c r="P417" i="1"/>
  <c r="Q417" i="1"/>
  <c r="R417" i="1"/>
  <c r="S417" i="1"/>
  <c r="P418" i="1"/>
  <c r="Q418" i="1"/>
  <c r="R418" i="1"/>
  <c r="S418" i="1"/>
  <c r="P419" i="1"/>
  <c r="Q419" i="1"/>
  <c r="R419" i="1"/>
  <c r="S419" i="1"/>
  <c r="P420" i="1"/>
  <c r="Q420" i="1"/>
  <c r="R420" i="1"/>
  <c r="S420" i="1"/>
  <c r="P421" i="1"/>
  <c r="Q421" i="1"/>
  <c r="R421" i="1"/>
  <c r="S421" i="1"/>
  <c r="P422" i="1"/>
  <c r="Q422" i="1"/>
  <c r="R422" i="1"/>
  <c r="S422" i="1"/>
  <c r="P423" i="1"/>
  <c r="Q423" i="1"/>
  <c r="R423" i="1"/>
  <c r="S423" i="1"/>
  <c r="P424" i="1"/>
  <c r="Q424" i="1"/>
  <c r="R424" i="1"/>
  <c r="S424" i="1"/>
  <c r="P425" i="1"/>
  <c r="Q425" i="1"/>
  <c r="R425" i="1"/>
  <c r="S425" i="1"/>
  <c r="P426" i="1"/>
  <c r="Q426" i="1"/>
  <c r="R426" i="1"/>
  <c r="S426" i="1"/>
  <c r="P427" i="1"/>
  <c r="Q427" i="1"/>
  <c r="R427" i="1"/>
  <c r="S427" i="1"/>
  <c r="P428" i="1"/>
  <c r="Q428" i="1"/>
  <c r="R428" i="1"/>
  <c r="S428" i="1"/>
  <c r="P429" i="1"/>
  <c r="Q429" i="1"/>
  <c r="R429" i="1"/>
  <c r="S429" i="1"/>
  <c r="P430" i="1"/>
  <c r="Q430" i="1"/>
  <c r="R430" i="1"/>
  <c r="S430" i="1"/>
  <c r="P431" i="1"/>
  <c r="Q431" i="1"/>
  <c r="R431" i="1"/>
  <c r="S431" i="1"/>
  <c r="P432" i="1"/>
  <c r="Q432" i="1"/>
  <c r="R432" i="1"/>
  <c r="S432" i="1"/>
  <c r="P433" i="1"/>
  <c r="Q433" i="1"/>
  <c r="R433" i="1"/>
  <c r="S433" i="1"/>
  <c r="P434" i="1"/>
  <c r="Q434" i="1"/>
  <c r="R434" i="1"/>
  <c r="S434" i="1"/>
  <c r="P435" i="1"/>
  <c r="Q435" i="1"/>
  <c r="R435" i="1"/>
  <c r="S435" i="1"/>
  <c r="P436" i="1"/>
  <c r="Q436" i="1"/>
  <c r="R436" i="1"/>
  <c r="S436" i="1"/>
  <c r="P437" i="1"/>
  <c r="Q437" i="1"/>
  <c r="R437" i="1"/>
  <c r="S437" i="1"/>
  <c r="P438" i="1"/>
  <c r="Q438" i="1"/>
  <c r="R438" i="1"/>
  <c r="S438" i="1"/>
  <c r="P439" i="1"/>
  <c r="Q439" i="1"/>
  <c r="R439" i="1"/>
  <c r="S439" i="1"/>
  <c r="P440" i="1"/>
  <c r="Q440" i="1"/>
  <c r="R440" i="1"/>
  <c r="S440" i="1"/>
  <c r="P441" i="1"/>
  <c r="Q441" i="1"/>
  <c r="R441" i="1"/>
  <c r="S441" i="1"/>
  <c r="P442" i="1"/>
  <c r="Q442" i="1"/>
  <c r="R442" i="1"/>
  <c r="S442" i="1"/>
  <c r="P443" i="1"/>
  <c r="Q443" i="1"/>
  <c r="R443" i="1"/>
  <c r="S443" i="1"/>
  <c r="P444" i="1"/>
  <c r="Q444" i="1"/>
  <c r="R444" i="1"/>
  <c r="S444" i="1"/>
  <c r="P445" i="1"/>
  <c r="Q445" i="1"/>
  <c r="R445" i="1"/>
  <c r="S445" i="1"/>
  <c r="P446" i="1"/>
  <c r="Q446" i="1"/>
  <c r="R446" i="1"/>
  <c r="S446" i="1"/>
  <c r="P447" i="1"/>
  <c r="Q447" i="1"/>
  <c r="R447" i="1"/>
  <c r="S447" i="1"/>
  <c r="P448" i="1"/>
  <c r="Q448" i="1"/>
  <c r="R448" i="1"/>
  <c r="S448" i="1"/>
  <c r="P449" i="1"/>
  <c r="Q449" i="1"/>
  <c r="R449" i="1"/>
  <c r="S449" i="1"/>
  <c r="P450" i="1"/>
  <c r="Q450" i="1"/>
  <c r="R450" i="1"/>
  <c r="S450" i="1"/>
  <c r="P451" i="1"/>
  <c r="Q451" i="1"/>
  <c r="R451" i="1"/>
  <c r="S451" i="1"/>
  <c r="P452" i="1"/>
  <c r="Q452" i="1"/>
  <c r="R452" i="1"/>
  <c r="S452" i="1"/>
  <c r="P453" i="1"/>
  <c r="Q453" i="1"/>
  <c r="R453" i="1"/>
  <c r="S453" i="1"/>
  <c r="P454" i="1"/>
  <c r="Q454" i="1"/>
  <c r="R454" i="1"/>
  <c r="S454" i="1"/>
  <c r="P455" i="1"/>
  <c r="Q455" i="1"/>
  <c r="R455" i="1"/>
  <c r="S455" i="1"/>
  <c r="P456" i="1"/>
  <c r="Q456" i="1"/>
  <c r="R456" i="1"/>
  <c r="S456" i="1"/>
  <c r="P457" i="1"/>
  <c r="Q457" i="1"/>
  <c r="R457" i="1"/>
  <c r="S457" i="1"/>
  <c r="P458" i="1"/>
  <c r="Q458" i="1"/>
  <c r="R458" i="1"/>
  <c r="S458" i="1"/>
  <c r="P459" i="1"/>
  <c r="Q459" i="1"/>
  <c r="R459" i="1"/>
  <c r="S459" i="1"/>
  <c r="P460" i="1"/>
  <c r="Q460" i="1"/>
  <c r="R460" i="1"/>
  <c r="S460" i="1"/>
  <c r="P461" i="1"/>
  <c r="Q461" i="1"/>
  <c r="R461" i="1"/>
  <c r="S461" i="1"/>
  <c r="P462" i="1"/>
  <c r="Q462" i="1"/>
  <c r="R462" i="1"/>
  <c r="S462" i="1"/>
  <c r="P463" i="1"/>
  <c r="Q463" i="1"/>
  <c r="R463" i="1"/>
  <c r="S463" i="1"/>
  <c r="P464" i="1"/>
  <c r="Q464" i="1"/>
  <c r="R464" i="1"/>
  <c r="S464" i="1"/>
  <c r="P465" i="1"/>
  <c r="Q465" i="1"/>
  <c r="R465" i="1"/>
  <c r="S465" i="1"/>
  <c r="P466" i="1"/>
  <c r="Q466" i="1"/>
  <c r="R466" i="1"/>
  <c r="S466" i="1"/>
  <c r="P467" i="1"/>
  <c r="Q467" i="1"/>
  <c r="R467" i="1"/>
  <c r="S467" i="1"/>
  <c r="P468" i="1"/>
  <c r="Q468" i="1"/>
  <c r="R468" i="1"/>
  <c r="S468" i="1"/>
  <c r="P469" i="1"/>
  <c r="Q469" i="1"/>
  <c r="R469" i="1"/>
  <c r="S469" i="1"/>
  <c r="P470" i="1"/>
  <c r="Q470" i="1"/>
  <c r="R470" i="1"/>
  <c r="S470" i="1"/>
  <c r="P471" i="1"/>
  <c r="Q471" i="1"/>
  <c r="R471" i="1"/>
  <c r="S471" i="1"/>
  <c r="P472" i="1"/>
  <c r="Q472" i="1"/>
  <c r="R472" i="1"/>
  <c r="S472" i="1"/>
  <c r="P473" i="1"/>
  <c r="Q473" i="1"/>
  <c r="R473" i="1"/>
  <c r="S473" i="1"/>
  <c r="P474" i="1"/>
  <c r="Q474" i="1"/>
  <c r="R474" i="1"/>
  <c r="S474" i="1"/>
  <c r="P475" i="1"/>
  <c r="Q475" i="1"/>
  <c r="R475" i="1"/>
  <c r="S475" i="1"/>
  <c r="P476" i="1"/>
  <c r="Q476" i="1"/>
  <c r="R476" i="1"/>
  <c r="S476" i="1"/>
  <c r="P477" i="1"/>
  <c r="Q477" i="1"/>
  <c r="R477" i="1"/>
  <c r="S477" i="1"/>
  <c r="P478" i="1"/>
  <c r="Q478" i="1"/>
  <c r="R478" i="1"/>
  <c r="S478" i="1"/>
  <c r="P479" i="1"/>
  <c r="Q479" i="1"/>
  <c r="R479" i="1"/>
  <c r="S479" i="1"/>
  <c r="P480" i="1"/>
  <c r="Q480" i="1"/>
  <c r="R480" i="1"/>
  <c r="S480" i="1"/>
  <c r="P481" i="1"/>
  <c r="Q481" i="1"/>
  <c r="R481" i="1"/>
  <c r="S481" i="1"/>
  <c r="P482" i="1"/>
  <c r="Q482" i="1"/>
  <c r="R482" i="1"/>
  <c r="S482" i="1"/>
  <c r="P483" i="1"/>
  <c r="Q483" i="1"/>
  <c r="R483" i="1"/>
  <c r="S483" i="1"/>
  <c r="P484" i="1"/>
  <c r="Q484" i="1"/>
  <c r="R484" i="1"/>
  <c r="S484" i="1"/>
  <c r="P485" i="1"/>
  <c r="Q485" i="1"/>
  <c r="R485" i="1"/>
  <c r="S485" i="1"/>
  <c r="P486" i="1"/>
  <c r="Q486" i="1"/>
  <c r="R486" i="1"/>
  <c r="S486" i="1"/>
  <c r="P487" i="1"/>
  <c r="Q487" i="1"/>
  <c r="R487" i="1"/>
  <c r="S487" i="1"/>
  <c r="P488" i="1"/>
  <c r="Q488" i="1"/>
  <c r="R488" i="1"/>
  <c r="S488" i="1"/>
  <c r="P489" i="1"/>
  <c r="Q489" i="1"/>
  <c r="R489" i="1"/>
  <c r="S489" i="1"/>
  <c r="P490" i="1"/>
  <c r="Q490" i="1"/>
  <c r="R490" i="1"/>
  <c r="S490" i="1"/>
  <c r="P491" i="1"/>
  <c r="Q491" i="1"/>
  <c r="R491" i="1"/>
  <c r="S491" i="1"/>
  <c r="P492" i="1"/>
  <c r="Q492" i="1"/>
  <c r="R492" i="1"/>
  <c r="S492" i="1"/>
  <c r="P493" i="1"/>
  <c r="Q493" i="1"/>
  <c r="R493" i="1"/>
  <c r="S493" i="1"/>
  <c r="P494" i="1"/>
  <c r="Q494" i="1"/>
  <c r="R494" i="1"/>
  <c r="S494" i="1"/>
  <c r="P495" i="1"/>
  <c r="Q495" i="1"/>
  <c r="R495" i="1"/>
  <c r="S495" i="1"/>
  <c r="P496" i="1"/>
  <c r="Q496" i="1"/>
  <c r="R496" i="1"/>
  <c r="S496" i="1"/>
  <c r="P497" i="1"/>
  <c r="Q497" i="1"/>
  <c r="R497" i="1"/>
  <c r="S497" i="1"/>
  <c r="P498" i="1"/>
  <c r="Q498" i="1"/>
  <c r="R498" i="1"/>
  <c r="S498" i="1"/>
  <c r="P499" i="1"/>
  <c r="Q499" i="1"/>
  <c r="R499" i="1"/>
  <c r="S499" i="1"/>
  <c r="P500" i="1"/>
  <c r="Q500" i="1"/>
  <c r="R500" i="1"/>
  <c r="S500" i="1"/>
  <c r="P501" i="1"/>
  <c r="Q501" i="1"/>
  <c r="R501" i="1"/>
  <c r="S501" i="1"/>
  <c r="P502" i="1"/>
  <c r="Q502" i="1"/>
  <c r="R502" i="1"/>
  <c r="S502" i="1"/>
  <c r="P503" i="1"/>
  <c r="Q503" i="1"/>
  <c r="R503" i="1"/>
  <c r="S503" i="1"/>
  <c r="P504" i="1"/>
  <c r="Q504" i="1"/>
  <c r="R504" i="1"/>
  <c r="S504" i="1"/>
  <c r="P505" i="1"/>
  <c r="Q505" i="1"/>
  <c r="R505" i="1"/>
  <c r="S505" i="1"/>
  <c r="P506" i="1"/>
  <c r="Q506" i="1"/>
  <c r="R506" i="1"/>
  <c r="S506" i="1"/>
  <c r="P507" i="1"/>
  <c r="Q507" i="1"/>
  <c r="R507" i="1"/>
  <c r="S507" i="1"/>
  <c r="P508" i="1"/>
  <c r="Q508" i="1"/>
  <c r="R508" i="1"/>
  <c r="S508" i="1"/>
  <c r="P509" i="1"/>
  <c r="Q509" i="1"/>
  <c r="R509" i="1"/>
  <c r="S509" i="1"/>
  <c r="P510" i="1"/>
  <c r="Q510" i="1"/>
  <c r="R510" i="1"/>
  <c r="S510" i="1"/>
  <c r="P511" i="1"/>
  <c r="Q511" i="1"/>
  <c r="R511" i="1"/>
  <c r="S511" i="1"/>
  <c r="P512" i="1"/>
  <c r="Q512" i="1"/>
  <c r="R512" i="1"/>
  <c r="S512" i="1"/>
  <c r="P513" i="1"/>
  <c r="Q513" i="1"/>
  <c r="R513" i="1"/>
  <c r="S513" i="1"/>
  <c r="P514" i="1"/>
  <c r="Q514" i="1"/>
  <c r="R514" i="1"/>
  <c r="S514" i="1"/>
  <c r="P515" i="1"/>
  <c r="Q515" i="1"/>
  <c r="R515" i="1"/>
  <c r="S515" i="1"/>
  <c r="P516" i="1"/>
  <c r="Q516" i="1"/>
  <c r="R516" i="1"/>
  <c r="S516" i="1"/>
  <c r="P517" i="1"/>
  <c r="Q517" i="1"/>
  <c r="R517" i="1"/>
  <c r="S517" i="1"/>
  <c r="P518" i="1"/>
  <c r="Q518" i="1"/>
  <c r="R518" i="1"/>
  <c r="S518" i="1"/>
  <c r="P519" i="1"/>
  <c r="Q519" i="1"/>
  <c r="R519" i="1"/>
  <c r="S519" i="1"/>
  <c r="P520" i="1"/>
  <c r="Q520" i="1"/>
  <c r="R520" i="1"/>
  <c r="S520" i="1"/>
  <c r="P521" i="1"/>
  <c r="Q521" i="1"/>
  <c r="R521" i="1"/>
  <c r="S521" i="1"/>
  <c r="P522" i="1"/>
  <c r="Q522" i="1"/>
  <c r="R522" i="1"/>
  <c r="S522" i="1"/>
  <c r="P523" i="1"/>
  <c r="Q523" i="1"/>
  <c r="R523" i="1"/>
  <c r="S523" i="1"/>
  <c r="P524" i="1"/>
  <c r="Q524" i="1"/>
  <c r="R524" i="1"/>
  <c r="S524" i="1"/>
  <c r="P525" i="1"/>
  <c r="Q525" i="1"/>
  <c r="R525" i="1"/>
  <c r="S525" i="1"/>
  <c r="P526" i="1"/>
  <c r="Q526" i="1"/>
  <c r="R526" i="1"/>
  <c r="S526" i="1"/>
  <c r="P527" i="1"/>
  <c r="Q527" i="1"/>
  <c r="R527" i="1"/>
  <c r="S527" i="1"/>
  <c r="P528" i="1"/>
  <c r="Q528" i="1"/>
  <c r="R528" i="1"/>
  <c r="S528" i="1"/>
  <c r="P529" i="1"/>
  <c r="Q529" i="1"/>
  <c r="R529" i="1"/>
  <c r="S529" i="1"/>
  <c r="P530" i="1"/>
  <c r="Q530" i="1"/>
  <c r="R530" i="1"/>
  <c r="S530" i="1"/>
  <c r="P531" i="1"/>
  <c r="Q531" i="1"/>
  <c r="R531" i="1"/>
  <c r="S531" i="1"/>
  <c r="P532" i="1"/>
  <c r="Q532" i="1"/>
  <c r="R532" i="1"/>
  <c r="S532" i="1"/>
  <c r="P533" i="1"/>
  <c r="Q533" i="1"/>
  <c r="R533" i="1"/>
  <c r="S533" i="1"/>
  <c r="P534" i="1"/>
  <c r="Q534" i="1"/>
  <c r="R534" i="1"/>
  <c r="S534" i="1"/>
  <c r="P535" i="1"/>
  <c r="Q535" i="1"/>
  <c r="R535" i="1"/>
  <c r="S535" i="1"/>
  <c r="P536" i="1"/>
  <c r="Q536" i="1"/>
  <c r="R536" i="1"/>
  <c r="S536" i="1"/>
  <c r="P537" i="1"/>
  <c r="Q537" i="1"/>
  <c r="R537" i="1"/>
  <c r="S537" i="1"/>
  <c r="P538" i="1"/>
  <c r="Q538" i="1"/>
  <c r="R538" i="1"/>
  <c r="S538" i="1"/>
  <c r="P539" i="1"/>
  <c r="Q539" i="1"/>
  <c r="R539" i="1"/>
  <c r="S539" i="1"/>
  <c r="P540" i="1"/>
  <c r="Q540" i="1"/>
  <c r="R540" i="1"/>
  <c r="S540" i="1"/>
  <c r="P541" i="1"/>
  <c r="Q541" i="1"/>
  <c r="R541" i="1"/>
  <c r="S541" i="1"/>
  <c r="P542" i="1"/>
  <c r="Q542" i="1"/>
  <c r="R542" i="1"/>
  <c r="S542" i="1"/>
  <c r="P543" i="1"/>
  <c r="Q543" i="1"/>
  <c r="R543" i="1"/>
  <c r="S543" i="1"/>
  <c r="P544" i="1"/>
  <c r="Q544" i="1"/>
  <c r="R544" i="1"/>
  <c r="S544" i="1"/>
  <c r="P545" i="1"/>
  <c r="Q545" i="1"/>
  <c r="R545" i="1"/>
  <c r="S545" i="1"/>
  <c r="P546" i="1"/>
  <c r="Q546" i="1"/>
  <c r="R546" i="1"/>
  <c r="S546" i="1"/>
  <c r="P547" i="1"/>
  <c r="Q547" i="1"/>
  <c r="R547" i="1"/>
  <c r="S547" i="1"/>
  <c r="P548" i="1"/>
  <c r="Q548" i="1"/>
  <c r="R548" i="1"/>
  <c r="S548" i="1"/>
  <c r="P549" i="1"/>
  <c r="Q549" i="1"/>
  <c r="R549" i="1"/>
  <c r="S549" i="1"/>
  <c r="P550" i="1"/>
  <c r="Q550" i="1"/>
  <c r="R550" i="1"/>
  <c r="S550" i="1"/>
  <c r="P551" i="1"/>
  <c r="Q551" i="1"/>
  <c r="R551" i="1"/>
  <c r="S551" i="1"/>
  <c r="P552" i="1"/>
  <c r="Q552" i="1"/>
  <c r="R552" i="1"/>
  <c r="S552" i="1"/>
  <c r="P553" i="1"/>
  <c r="Q553" i="1"/>
  <c r="R553" i="1"/>
  <c r="S553" i="1"/>
  <c r="P554" i="1"/>
  <c r="Q554" i="1"/>
  <c r="R554" i="1"/>
  <c r="S554" i="1"/>
  <c r="P555" i="1"/>
  <c r="Q555" i="1"/>
  <c r="R555" i="1"/>
  <c r="S555" i="1"/>
  <c r="P556" i="1"/>
  <c r="Q556" i="1"/>
  <c r="R556" i="1"/>
  <c r="S556" i="1"/>
  <c r="P557" i="1"/>
  <c r="Q557" i="1"/>
  <c r="R557" i="1"/>
  <c r="S557" i="1"/>
  <c r="P558" i="1"/>
  <c r="Q558" i="1"/>
  <c r="R558" i="1"/>
  <c r="S558" i="1"/>
  <c r="P559" i="1"/>
  <c r="Q559" i="1"/>
  <c r="R559" i="1"/>
  <c r="S559" i="1"/>
  <c r="P560" i="1"/>
  <c r="Q560" i="1"/>
  <c r="R560" i="1"/>
  <c r="S560" i="1"/>
  <c r="P561" i="1"/>
  <c r="Q561" i="1"/>
  <c r="R561" i="1"/>
  <c r="S561" i="1"/>
  <c r="P562" i="1"/>
  <c r="Q562" i="1"/>
  <c r="R562" i="1"/>
  <c r="S562" i="1"/>
  <c r="P563" i="1"/>
  <c r="Q563" i="1"/>
  <c r="R563" i="1"/>
  <c r="S563" i="1"/>
  <c r="P564" i="1"/>
  <c r="Q564" i="1"/>
  <c r="R564" i="1"/>
  <c r="S564" i="1"/>
  <c r="P565" i="1"/>
  <c r="Q565" i="1"/>
  <c r="R565" i="1"/>
  <c r="S565" i="1"/>
  <c r="P566" i="1"/>
  <c r="Q566" i="1"/>
  <c r="R566" i="1"/>
  <c r="S566" i="1"/>
  <c r="P567" i="1"/>
  <c r="Q567" i="1"/>
  <c r="R567" i="1"/>
  <c r="S567" i="1"/>
  <c r="P568" i="1"/>
  <c r="Q568" i="1"/>
  <c r="R568" i="1"/>
  <c r="S568" i="1"/>
  <c r="P569" i="1"/>
  <c r="Q569" i="1"/>
  <c r="R569" i="1"/>
  <c r="S569" i="1"/>
  <c r="P570" i="1"/>
  <c r="Q570" i="1"/>
  <c r="R570" i="1"/>
  <c r="S570" i="1"/>
  <c r="P571" i="1"/>
  <c r="Q571" i="1"/>
  <c r="R571" i="1"/>
  <c r="S571" i="1"/>
  <c r="P572" i="1"/>
  <c r="Q572" i="1"/>
  <c r="R572" i="1"/>
  <c r="S572" i="1"/>
  <c r="P573" i="1"/>
  <c r="Q573" i="1"/>
  <c r="R573" i="1"/>
  <c r="S573" i="1"/>
  <c r="P574" i="1"/>
  <c r="Q574" i="1"/>
  <c r="R574" i="1"/>
  <c r="S574" i="1"/>
  <c r="P575" i="1"/>
  <c r="Q575" i="1"/>
  <c r="R575" i="1"/>
  <c r="S575" i="1"/>
  <c r="P576" i="1"/>
  <c r="Q576" i="1"/>
  <c r="R576" i="1"/>
  <c r="S576" i="1"/>
  <c r="P577" i="1"/>
  <c r="Q577" i="1"/>
  <c r="R577" i="1"/>
  <c r="S577" i="1"/>
  <c r="P578" i="1"/>
  <c r="Q578" i="1"/>
  <c r="R578" i="1"/>
  <c r="S578" i="1"/>
  <c r="P579" i="1"/>
  <c r="Q579" i="1"/>
  <c r="R579" i="1"/>
  <c r="S579" i="1"/>
  <c r="P580" i="1"/>
  <c r="Q580" i="1"/>
  <c r="R580" i="1"/>
  <c r="S580" i="1"/>
  <c r="P581" i="1"/>
  <c r="Q581" i="1"/>
  <c r="R581" i="1"/>
  <c r="S581" i="1"/>
  <c r="P582" i="1"/>
  <c r="Q582" i="1"/>
  <c r="R582" i="1"/>
  <c r="S582" i="1"/>
  <c r="P583" i="1"/>
  <c r="Q583" i="1"/>
  <c r="R583" i="1"/>
  <c r="S583" i="1"/>
  <c r="P584" i="1"/>
  <c r="Q584" i="1"/>
  <c r="R584" i="1"/>
  <c r="S584" i="1"/>
  <c r="P585" i="1"/>
  <c r="Q585" i="1"/>
  <c r="R585" i="1"/>
  <c r="S585" i="1"/>
  <c r="P586" i="1"/>
  <c r="Q586" i="1"/>
  <c r="R586" i="1"/>
  <c r="S586" i="1"/>
  <c r="P587" i="1"/>
  <c r="Q587" i="1"/>
  <c r="R587" i="1"/>
  <c r="S587" i="1"/>
  <c r="P588" i="1"/>
  <c r="Q588" i="1"/>
  <c r="R588" i="1"/>
  <c r="S588" i="1"/>
  <c r="P589" i="1"/>
  <c r="Q589" i="1"/>
  <c r="R589" i="1"/>
  <c r="S589" i="1"/>
  <c r="P590" i="1"/>
  <c r="Q590" i="1"/>
  <c r="R590" i="1"/>
  <c r="S590" i="1"/>
  <c r="P591" i="1"/>
  <c r="Q591" i="1"/>
  <c r="R591" i="1"/>
  <c r="S591" i="1"/>
  <c r="P592" i="1"/>
  <c r="Q592" i="1"/>
  <c r="R592" i="1"/>
  <c r="S592" i="1"/>
  <c r="P593" i="1"/>
  <c r="Q593" i="1"/>
  <c r="R593" i="1"/>
  <c r="S593" i="1"/>
  <c r="P594" i="1"/>
  <c r="Q594" i="1"/>
  <c r="R594" i="1"/>
  <c r="S594" i="1"/>
  <c r="P595" i="1"/>
  <c r="Q595" i="1"/>
  <c r="R595" i="1"/>
  <c r="S595" i="1"/>
  <c r="P596" i="1"/>
  <c r="Q596" i="1"/>
  <c r="R596" i="1"/>
  <c r="S596" i="1"/>
  <c r="P597" i="1"/>
  <c r="Q597" i="1"/>
  <c r="R597" i="1"/>
  <c r="S597" i="1"/>
  <c r="P598" i="1"/>
  <c r="Q598" i="1"/>
  <c r="R598" i="1"/>
  <c r="S598" i="1"/>
  <c r="P599" i="1"/>
  <c r="Q599" i="1"/>
  <c r="R599" i="1"/>
  <c r="S599" i="1"/>
  <c r="P600" i="1"/>
  <c r="Q600" i="1"/>
  <c r="R600" i="1"/>
  <c r="S600" i="1"/>
  <c r="P601" i="1"/>
  <c r="Q601" i="1"/>
  <c r="R601" i="1"/>
  <c r="S601" i="1"/>
  <c r="P602" i="1"/>
  <c r="Q602" i="1"/>
  <c r="R602" i="1"/>
  <c r="S602" i="1"/>
  <c r="P603" i="1"/>
  <c r="Q603" i="1"/>
  <c r="R603" i="1"/>
  <c r="S603" i="1"/>
  <c r="P604" i="1"/>
  <c r="Q604" i="1"/>
  <c r="R604" i="1"/>
  <c r="S604" i="1"/>
  <c r="P605" i="1"/>
  <c r="Q605" i="1"/>
  <c r="R605" i="1"/>
  <c r="S605" i="1"/>
  <c r="P606" i="1"/>
  <c r="Q606" i="1"/>
  <c r="R606" i="1"/>
  <c r="S606" i="1"/>
  <c r="P607" i="1"/>
  <c r="Q607" i="1"/>
  <c r="R607" i="1"/>
  <c r="S607" i="1"/>
  <c r="P608" i="1"/>
  <c r="Q608" i="1"/>
  <c r="R608" i="1"/>
  <c r="S608" i="1"/>
  <c r="P609" i="1"/>
  <c r="Q609" i="1"/>
  <c r="R609" i="1"/>
  <c r="S609" i="1"/>
  <c r="P610" i="1"/>
  <c r="Q610" i="1"/>
  <c r="R610" i="1"/>
  <c r="S610" i="1"/>
  <c r="P611" i="1"/>
  <c r="Q611" i="1"/>
  <c r="R611" i="1"/>
  <c r="S611" i="1"/>
  <c r="P612" i="1"/>
  <c r="Q612" i="1"/>
  <c r="R612" i="1"/>
  <c r="S612" i="1"/>
  <c r="P613" i="1"/>
  <c r="Q613" i="1"/>
  <c r="R613" i="1"/>
  <c r="S613" i="1"/>
  <c r="P614" i="1"/>
  <c r="Q614" i="1"/>
  <c r="R614" i="1"/>
  <c r="S614" i="1"/>
  <c r="P615" i="1"/>
  <c r="Q615" i="1"/>
  <c r="R615" i="1"/>
  <c r="S615" i="1"/>
  <c r="P616" i="1"/>
  <c r="Q616" i="1"/>
  <c r="R616" i="1"/>
  <c r="S616" i="1"/>
  <c r="P617" i="1"/>
  <c r="Q617" i="1"/>
  <c r="R617" i="1"/>
  <c r="S617" i="1"/>
  <c r="P618" i="1"/>
  <c r="Q618" i="1"/>
  <c r="R618" i="1"/>
  <c r="S618" i="1"/>
  <c r="P619" i="1"/>
  <c r="Q619" i="1"/>
  <c r="R619" i="1"/>
  <c r="S619" i="1"/>
  <c r="P620" i="1"/>
  <c r="Q620" i="1"/>
  <c r="R620" i="1"/>
  <c r="S620" i="1"/>
  <c r="P621" i="1"/>
  <c r="Q621" i="1"/>
  <c r="R621" i="1"/>
  <c r="S621" i="1"/>
  <c r="P622" i="1"/>
  <c r="Q622" i="1"/>
  <c r="R622" i="1"/>
  <c r="S622" i="1"/>
  <c r="P623" i="1"/>
  <c r="Q623" i="1"/>
  <c r="R623" i="1"/>
  <c r="S623" i="1"/>
  <c r="P624" i="1"/>
  <c r="Q624" i="1"/>
  <c r="R624" i="1"/>
  <c r="S624" i="1"/>
  <c r="P625" i="1"/>
  <c r="Q625" i="1"/>
  <c r="R625" i="1"/>
  <c r="S625" i="1"/>
  <c r="P626" i="1"/>
  <c r="Q626" i="1"/>
  <c r="R626" i="1"/>
  <c r="S626" i="1"/>
  <c r="P627" i="1"/>
  <c r="Q627" i="1"/>
  <c r="R627" i="1"/>
  <c r="S627" i="1"/>
  <c r="P628" i="1"/>
  <c r="Q628" i="1"/>
  <c r="R628" i="1"/>
  <c r="S628" i="1"/>
  <c r="P629" i="1"/>
  <c r="Q629" i="1"/>
  <c r="R629" i="1"/>
  <c r="S629" i="1"/>
  <c r="P630" i="1"/>
  <c r="Q630" i="1"/>
  <c r="R630" i="1"/>
  <c r="S630" i="1"/>
  <c r="P631" i="1"/>
  <c r="Q631" i="1"/>
  <c r="R631" i="1"/>
  <c r="S631" i="1"/>
  <c r="P632" i="1"/>
  <c r="Q632" i="1"/>
  <c r="R632" i="1"/>
  <c r="S632" i="1"/>
  <c r="P633" i="1"/>
  <c r="Q633" i="1"/>
  <c r="R633" i="1"/>
  <c r="S633" i="1"/>
  <c r="P634" i="1"/>
  <c r="Q634" i="1"/>
  <c r="R634" i="1"/>
  <c r="S634" i="1"/>
  <c r="P635" i="1"/>
  <c r="Q635" i="1"/>
  <c r="R635" i="1"/>
  <c r="S635" i="1"/>
  <c r="P636" i="1"/>
  <c r="Q636" i="1"/>
  <c r="R636" i="1"/>
  <c r="S636" i="1"/>
  <c r="P637" i="1"/>
  <c r="Q637" i="1"/>
  <c r="R637" i="1"/>
  <c r="S637" i="1"/>
  <c r="P638" i="1"/>
  <c r="Q638" i="1"/>
  <c r="R638" i="1"/>
  <c r="S638" i="1"/>
  <c r="P639" i="1"/>
  <c r="Q639" i="1"/>
  <c r="R639" i="1"/>
  <c r="S639" i="1"/>
  <c r="P640" i="1"/>
  <c r="Q640" i="1"/>
  <c r="R640" i="1"/>
  <c r="S640" i="1"/>
  <c r="P641" i="1"/>
  <c r="Q641" i="1"/>
  <c r="R641" i="1"/>
  <c r="S641" i="1"/>
  <c r="P642" i="1"/>
  <c r="Q642" i="1"/>
  <c r="R642" i="1"/>
  <c r="S642" i="1"/>
  <c r="P643" i="1"/>
  <c r="Q643" i="1"/>
  <c r="R643" i="1"/>
  <c r="S643" i="1"/>
  <c r="P644" i="1"/>
  <c r="Q644" i="1"/>
  <c r="R644" i="1"/>
  <c r="S644" i="1"/>
  <c r="P645" i="1"/>
  <c r="Q645" i="1"/>
  <c r="R645" i="1"/>
  <c r="S645" i="1"/>
  <c r="P646" i="1"/>
  <c r="Q646" i="1"/>
  <c r="R646" i="1"/>
  <c r="S646" i="1"/>
  <c r="P647" i="1"/>
  <c r="Q647" i="1"/>
  <c r="R647" i="1"/>
  <c r="S647" i="1"/>
  <c r="P648" i="1"/>
  <c r="Q648" i="1"/>
  <c r="R648" i="1"/>
  <c r="S648" i="1"/>
  <c r="P649" i="1"/>
  <c r="Q649" i="1"/>
  <c r="R649" i="1"/>
  <c r="S649" i="1"/>
  <c r="P650" i="1"/>
  <c r="Q650" i="1"/>
  <c r="R650" i="1"/>
  <c r="S650" i="1"/>
  <c r="P651" i="1"/>
  <c r="Q651" i="1"/>
  <c r="R651" i="1"/>
  <c r="S651" i="1"/>
  <c r="P652" i="1"/>
  <c r="Q652" i="1"/>
  <c r="R652" i="1"/>
  <c r="S652" i="1"/>
  <c r="P653" i="1"/>
  <c r="Q653" i="1"/>
  <c r="R653" i="1"/>
  <c r="S653" i="1"/>
  <c r="P654" i="1"/>
  <c r="Q654" i="1"/>
  <c r="R654" i="1"/>
  <c r="S654" i="1"/>
  <c r="P655" i="1"/>
  <c r="Q655" i="1"/>
  <c r="R655" i="1"/>
  <c r="S655" i="1"/>
  <c r="P656" i="1"/>
  <c r="Q656" i="1"/>
  <c r="R656" i="1"/>
  <c r="S656" i="1"/>
  <c r="P657" i="1"/>
  <c r="Q657" i="1"/>
  <c r="R657" i="1"/>
  <c r="S657" i="1"/>
  <c r="P658" i="1"/>
  <c r="Q658" i="1"/>
  <c r="R658" i="1"/>
  <c r="S658" i="1"/>
  <c r="P659" i="1"/>
  <c r="Q659" i="1"/>
  <c r="R659" i="1"/>
  <c r="S659" i="1"/>
  <c r="P660" i="1"/>
  <c r="Q660" i="1"/>
  <c r="R660" i="1"/>
  <c r="S660" i="1"/>
  <c r="P661" i="1"/>
  <c r="Q661" i="1"/>
  <c r="R661" i="1"/>
  <c r="S661" i="1"/>
  <c r="P662" i="1"/>
  <c r="Q662" i="1"/>
  <c r="R662" i="1"/>
  <c r="S662" i="1"/>
  <c r="P663" i="1"/>
  <c r="Q663" i="1"/>
  <c r="R663" i="1"/>
  <c r="S663" i="1"/>
  <c r="P664" i="1"/>
  <c r="Q664" i="1"/>
  <c r="R664" i="1"/>
  <c r="S664" i="1"/>
  <c r="P665" i="1"/>
  <c r="Q665" i="1"/>
  <c r="R665" i="1"/>
  <c r="S665" i="1"/>
  <c r="P666" i="1"/>
  <c r="Q666" i="1"/>
  <c r="R666" i="1"/>
  <c r="S666" i="1"/>
  <c r="P667" i="1"/>
  <c r="Q667" i="1"/>
  <c r="R667" i="1"/>
  <c r="S667" i="1"/>
  <c r="P668" i="1"/>
  <c r="Q668" i="1"/>
  <c r="R668" i="1"/>
  <c r="S668" i="1"/>
  <c r="P669" i="1"/>
  <c r="Q669" i="1"/>
  <c r="R669" i="1"/>
  <c r="S669" i="1"/>
  <c r="P670" i="1"/>
  <c r="Q670" i="1"/>
  <c r="R670" i="1"/>
  <c r="S670" i="1"/>
  <c r="P671" i="1"/>
  <c r="Q671" i="1"/>
  <c r="R671" i="1"/>
  <c r="S671" i="1"/>
  <c r="P672" i="1"/>
  <c r="Q672" i="1"/>
  <c r="R672" i="1"/>
  <c r="S672" i="1"/>
  <c r="P673" i="1"/>
  <c r="Q673" i="1"/>
  <c r="R673" i="1"/>
  <c r="S673" i="1"/>
  <c r="P674" i="1"/>
  <c r="Q674" i="1"/>
  <c r="R674" i="1"/>
  <c r="S674" i="1"/>
  <c r="P675" i="1"/>
  <c r="Q675" i="1"/>
  <c r="R675" i="1"/>
  <c r="S675" i="1"/>
  <c r="P676" i="1"/>
  <c r="Q676" i="1"/>
  <c r="R676" i="1"/>
  <c r="S676" i="1"/>
  <c r="P677" i="1"/>
  <c r="Q677" i="1"/>
  <c r="R677" i="1"/>
  <c r="S677" i="1"/>
  <c r="P678" i="1"/>
  <c r="Q678" i="1"/>
  <c r="R678" i="1"/>
  <c r="S678" i="1"/>
  <c r="P679" i="1"/>
  <c r="Q679" i="1"/>
  <c r="R679" i="1"/>
  <c r="S679" i="1"/>
  <c r="P680" i="1"/>
  <c r="Q680" i="1"/>
  <c r="R680" i="1"/>
  <c r="S680" i="1"/>
  <c r="P681" i="1"/>
  <c r="Q681" i="1"/>
  <c r="R681" i="1"/>
  <c r="S681" i="1"/>
  <c r="P682" i="1"/>
  <c r="Q682" i="1"/>
  <c r="R682" i="1"/>
  <c r="S682" i="1"/>
  <c r="P683" i="1"/>
  <c r="Q683" i="1"/>
  <c r="R683" i="1"/>
  <c r="S683" i="1"/>
  <c r="P684" i="1"/>
  <c r="Q684" i="1"/>
  <c r="R684" i="1"/>
  <c r="S684" i="1"/>
  <c r="P685" i="1"/>
  <c r="Q685" i="1"/>
  <c r="R685" i="1"/>
  <c r="S685" i="1"/>
  <c r="P686" i="1"/>
  <c r="Q686" i="1"/>
  <c r="R686" i="1"/>
  <c r="S686" i="1"/>
  <c r="P687" i="1"/>
  <c r="Q687" i="1"/>
  <c r="R687" i="1"/>
  <c r="S687" i="1"/>
  <c r="P688" i="1"/>
  <c r="Q688" i="1"/>
  <c r="R688" i="1"/>
  <c r="S688" i="1"/>
  <c r="P689" i="1"/>
  <c r="Q689" i="1"/>
  <c r="R689" i="1"/>
  <c r="S689" i="1"/>
  <c r="P690" i="1"/>
  <c r="Q690" i="1"/>
  <c r="R690" i="1"/>
  <c r="S690" i="1"/>
  <c r="P691" i="1"/>
  <c r="Q691" i="1"/>
  <c r="R691" i="1"/>
  <c r="S691" i="1"/>
  <c r="P692" i="1"/>
  <c r="Q692" i="1"/>
  <c r="R692" i="1"/>
  <c r="S692" i="1"/>
  <c r="P693" i="1"/>
  <c r="Q693" i="1"/>
  <c r="R693" i="1"/>
  <c r="S693" i="1"/>
  <c r="P694" i="1"/>
  <c r="Q694" i="1"/>
  <c r="R694" i="1"/>
  <c r="S694" i="1"/>
  <c r="P695" i="1"/>
  <c r="Q695" i="1"/>
  <c r="R695" i="1"/>
  <c r="S695" i="1"/>
  <c r="P696" i="1"/>
  <c r="Q696" i="1"/>
  <c r="R696" i="1"/>
  <c r="S696" i="1"/>
  <c r="P697" i="1"/>
  <c r="Q697" i="1"/>
  <c r="R697" i="1"/>
  <c r="S697" i="1"/>
  <c r="P698" i="1"/>
  <c r="Q698" i="1"/>
  <c r="R698" i="1"/>
  <c r="S698" i="1"/>
  <c r="P699" i="1"/>
  <c r="Q699" i="1"/>
  <c r="R699" i="1"/>
  <c r="S699" i="1"/>
  <c r="P700" i="1"/>
  <c r="Q700" i="1"/>
  <c r="R700" i="1"/>
  <c r="S700" i="1"/>
  <c r="P701" i="1"/>
  <c r="Q701" i="1"/>
  <c r="R701" i="1"/>
  <c r="S701" i="1"/>
  <c r="P702" i="1"/>
  <c r="Q702" i="1"/>
  <c r="R702" i="1"/>
  <c r="S702" i="1"/>
  <c r="P703" i="1"/>
  <c r="Q703" i="1"/>
  <c r="R703" i="1"/>
  <c r="S703" i="1"/>
  <c r="P704" i="1"/>
  <c r="Q704" i="1"/>
  <c r="R704" i="1"/>
  <c r="S704" i="1"/>
  <c r="P705" i="1"/>
  <c r="Q705" i="1"/>
  <c r="R705" i="1"/>
  <c r="S705" i="1"/>
  <c r="P706" i="1"/>
  <c r="Q706" i="1"/>
  <c r="R706" i="1"/>
  <c r="S706" i="1"/>
  <c r="P707" i="1"/>
  <c r="Q707" i="1"/>
  <c r="R707" i="1"/>
  <c r="S707" i="1"/>
  <c r="P708" i="1"/>
  <c r="Q708" i="1"/>
  <c r="R708" i="1"/>
  <c r="S708" i="1"/>
  <c r="P709" i="1"/>
  <c r="Q709" i="1"/>
  <c r="R709" i="1"/>
  <c r="S709" i="1"/>
  <c r="P710" i="1"/>
  <c r="Q710" i="1"/>
  <c r="R710" i="1"/>
  <c r="S710" i="1"/>
  <c r="P711" i="1"/>
  <c r="Q711" i="1"/>
  <c r="R711" i="1"/>
  <c r="S711" i="1"/>
  <c r="P712" i="1"/>
  <c r="Q712" i="1"/>
  <c r="R712" i="1"/>
  <c r="S712" i="1"/>
  <c r="P713" i="1"/>
  <c r="Q713" i="1"/>
  <c r="R713" i="1"/>
  <c r="S713" i="1"/>
  <c r="P714" i="1"/>
  <c r="Q714" i="1"/>
  <c r="R714" i="1"/>
  <c r="S714" i="1"/>
  <c r="P715" i="1"/>
  <c r="Q715" i="1"/>
  <c r="R715" i="1"/>
  <c r="S715" i="1"/>
  <c r="P716" i="1"/>
  <c r="Q716" i="1"/>
  <c r="R716" i="1"/>
  <c r="S716" i="1"/>
  <c r="P717" i="1"/>
  <c r="Q717" i="1"/>
  <c r="R717" i="1"/>
  <c r="S717" i="1"/>
  <c r="P718" i="1"/>
  <c r="Q718" i="1"/>
  <c r="R718" i="1"/>
  <c r="S718" i="1"/>
  <c r="P719" i="1"/>
  <c r="Q719" i="1"/>
  <c r="R719" i="1"/>
  <c r="S719" i="1"/>
  <c r="P720" i="1"/>
  <c r="Q720" i="1"/>
  <c r="R720" i="1"/>
  <c r="S720" i="1"/>
  <c r="P721" i="1"/>
  <c r="Q721" i="1"/>
  <c r="R721" i="1"/>
  <c r="S721" i="1"/>
  <c r="P722" i="1"/>
  <c r="Q722" i="1"/>
  <c r="R722" i="1"/>
  <c r="S722" i="1"/>
  <c r="P723" i="1"/>
  <c r="Q723" i="1"/>
  <c r="R723" i="1"/>
  <c r="S723" i="1"/>
  <c r="P724" i="1"/>
  <c r="Q724" i="1"/>
  <c r="R724" i="1"/>
  <c r="S724" i="1"/>
  <c r="P725" i="1"/>
  <c r="Q725" i="1"/>
  <c r="R725" i="1"/>
  <c r="S725" i="1"/>
  <c r="P726" i="1"/>
  <c r="Q726" i="1"/>
  <c r="R726" i="1"/>
  <c r="S726" i="1"/>
  <c r="P727" i="1"/>
  <c r="Q727" i="1"/>
  <c r="R727" i="1"/>
  <c r="S727" i="1"/>
  <c r="P728" i="1"/>
  <c r="Q728" i="1"/>
  <c r="R728" i="1"/>
  <c r="S728" i="1"/>
  <c r="P729" i="1"/>
  <c r="Q729" i="1"/>
  <c r="R729" i="1"/>
  <c r="S729" i="1"/>
  <c r="P730" i="1"/>
  <c r="Q730" i="1"/>
  <c r="R730" i="1"/>
  <c r="S730" i="1"/>
  <c r="P731" i="1"/>
  <c r="Q731" i="1"/>
  <c r="R731" i="1"/>
  <c r="S731" i="1"/>
  <c r="P732" i="1"/>
  <c r="Q732" i="1"/>
  <c r="R732" i="1"/>
  <c r="S732" i="1"/>
  <c r="P733" i="1"/>
  <c r="Q733" i="1"/>
  <c r="R733" i="1"/>
  <c r="S733" i="1"/>
  <c r="P734" i="1"/>
  <c r="Q734" i="1"/>
  <c r="R734" i="1"/>
  <c r="S734" i="1"/>
  <c r="P735" i="1"/>
  <c r="Q735" i="1"/>
  <c r="R735" i="1"/>
  <c r="S735" i="1"/>
  <c r="P736" i="1"/>
  <c r="Q736" i="1"/>
  <c r="R736" i="1"/>
  <c r="S736" i="1"/>
  <c r="P737" i="1"/>
  <c r="Q737" i="1"/>
  <c r="R737" i="1"/>
  <c r="S737" i="1"/>
  <c r="P738" i="1"/>
  <c r="Q738" i="1"/>
  <c r="R738" i="1"/>
  <c r="S738" i="1"/>
  <c r="P739" i="1"/>
  <c r="Q739" i="1"/>
  <c r="R739" i="1"/>
  <c r="S739" i="1"/>
  <c r="P740" i="1"/>
  <c r="Q740" i="1"/>
  <c r="R740" i="1"/>
  <c r="S740" i="1"/>
  <c r="P741" i="1"/>
  <c r="Q741" i="1"/>
  <c r="R741" i="1"/>
  <c r="S741" i="1"/>
  <c r="P742" i="1"/>
  <c r="Q742" i="1"/>
  <c r="R742" i="1"/>
  <c r="S742" i="1"/>
  <c r="P743" i="1"/>
  <c r="Q743" i="1"/>
  <c r="R743" i="1"/>
  <c r="S743" i="1"/>
  <c r="P744" i="1"/>
  <c r="Q744" i="1"/>
  <c r="R744" i="1"/>
  <c r="S744" i="1"/>
  <c r="P745" i="1"/>
  <c r="Q745" i="1"/>
  <c r="R745" i="1"/>
  <c r="S745" i="1"/>
  <c r="P746" i="1"/>
  <c r="Q746" i="1"/>
  <c r="R746" i="1"/>
  <c r="S746" i="1"/>
  <c r="P747" i="1"/>
  <c r="Q747" i="1"/>
  <c r="R747" i="1"/>
  <c r="S747" i="1"/>
  <c r="P748" i="1"/>
  <c r="Q748" i="1"/>
  <c r="R748" i="1"/>
  <c r="S748" i="1"/>
  <c r="P749" i="1"/>
  <c r="Q749" i="1"/>
  <c r="R749" i="1"/>
  <c r="S749" i="1"/>
  <c r="P750" i="1"/>
  <c r="Q750" i="1"/>
  <c r="R750" i="1"/>
  <c r="S750" i="1"/>
  <c r="P751" i="1"/>
  <c r="Q751" i="1"/>
  <c r="R751" i="1"/>
  <c r="S751" i="1"/>
  <c r="P752" i="1"/>
  <c r="Q752" i="1"/>
  <c r="R752" i="1"/>
  <c r="S752" i="1"/>
  <c r="P753" i="1"/>
  <c r="Q753" i="1"/>
  <c r="R753" i="1"/>
  <c r="S753" i="1"/>
  <c r="P754" i="1"/>
  <c r="Q754" i="1"/>
  <c r="R754" i="1"/>
  <c r="S754" i="1"/>
  <c r="P755" i="1"/>
  <c r="Q755" i="1"/>
  <c r="R755" i="1"/>
  <c r="S755" i="1"/>
  <c r="P756" i="1"/>
  <c r="Q756" i="1"/>
  <c r="R756" i="1"/>
  <c r="S756" i="1"/>
  <c r="P757" i="1"/>
  <c r="Q757" i="1"/>
  <c r="R757" i="1"/>
  <c r="S757" i="1"/>
  <c r="P758" i="1"/>
  <c r="Q758" i="1"/>
  <c r="R758" i="1"/>
  <c r="S758" i="1"/>
  <c r="P759" i="1"/>
  <c r="Q759" i="1"/>
  <c r="R759" i="1"/>
  <c r="S759" i="1"/>
  <c r="P760" i="1"/>
  <c r="Q760" i="1"/>
  <c r="R760" i="1"/>
  <c r="S760" i="1"/>
  <c r="P761" i="1"/>
  <c r="Q761" i="1"/>
  <c r="R761" i="1"/>
  <c r="S761" i="1"/>
  <c r="P762" i="1"/>
  <c r="Q762" i="1"/>
  <c r="R762" i="1"/>
  <c r="S762" i="1"/>
  <c r="P763" i="1"/>
  <c r="Q763" i="1"/>
  <c r="R763" i="1"/>
  <c r="S763" i="1"/>
  <c r="P764" i="1"/>
  <c r="Q764" i="1"/>
  <c r="R764" i="1"/>
  <c r="S764" i="1"/>
  <c r="P765" i="1"/>
  <c r="Q765" i="1"/>
  <c r="R765" i="1"/>
  <c r="S765" i="1"/>
  <c r="P766" i="1"/>
  <c r="Q766" i="1"/>
  <c r="R766" i="1"/>
  <c r="S766" i="1"/>
  <c r="P767" i="1"/>
  <c r="Q767" i="1"/>
  <c r="R767" i="1"/>
  <c r="S767" i="1"/>
  <c r="P768" i="1"/>
  <c r="Q768" i="1"/>
  <c r="R768" i="1"/>
  <c r="S768" i="1"/>
  <c r="P769" i="1"/>
  <c r="Q769" i="1"/>
  <c r="R769" i="1"/>
  <c r="S769" i="1"/>
  <c r="P770" i="1"/>
  <c r="Q770" i="1"/>
  <c r="R770" i="1"/>
  <c r="S770" i="1"/>
  <c r="P771" i="1"/>
  <c r="Q771" i="1"/>
  <c r="R771" i="1"/>
  <c r="S771" i="1"/>
  <c r="P772" i="1"/>
  <c r="Q772" i="1"/>
  <c r="R772" i="1"/>
  <c r="S772" i="1"/>
  <c r="P773" i="1"/>
  <c r="Q773" i="1"/>
  <c r="R773" i="1"/>
  <c r="S773" i="1"/>
  <c r="P774" i="1"/>
  <c r="Q774" i="1"/>
  <c r="R774" i="1"/>
  <c r="S774" i="1"/>
  <c r="P775" i="1"/>
  <c r="Q775" i="1"/>
  <c r="R775" i="1"/>
  <c r="S775" i="1"/>
  <c r="P776" i="1"/>
  <c r="Q776" i="1"/>
  <c r="R776" i="1"/>
  <c r="S776" i="1"/>
  <c r="P777" i="1"/>
  <c r="Q777" i="1"/>
  <c r="R777" i="1"/>
  <c r="S777" i="1"/>
  <c r="P778" i="1"/>
  <c r="Q778" i="1"/>
  <c r="R778" i="1"/>
  <c r="S778" i="1"/>
  <c r="P779" i="1"/>
  <c r="Q779" i="1"/>
  <c r="R779" i="1"/>
  <c r="S779" i="1"/>
  <c r="P780" i="1"/>
  <c r="Q780" i="1"/>
  <c r="R780" i="1"/>
  <c r="S780" i="1"/>
  <c r="P781" i="1"/>
  <c r="Q781" i="1"/>
  <c r="R781" i="1"/>
  <c r="S781" i="1"/>
  <c r="P782" i="1"/>
  <c r="Q782" i="1"/>
  <c r="R782" i="1"/>
  <c r="S782" i="1"/>
  <c r="P783" i="1"/>
  <c r="Q783" i="1"/>
  <c r="R783" i="1"/>
  <c r="S783" i="1"/>
  <c r="P784" i="1"/>
  <c r="Q784" i="1"/>
  <c r="R784" i="1"/>
  <c r="S784" i="1"/>
  <c r="P785" i="1"/>
  <c r="Q785" i="1"/>
  <c r="R785" i="1"/>
  <c r="S785" i="1"/>
  <c r="P786" i="1"/>
  <c r="Q786" i="1"/>
  <c r="R786" i="1"/>
  <c r="S786" i="1"/>
  <c r="P787" i="1"/>
  <c r="Q787" i="1"/>
  <c r="R787" i="1"/>
  <c r="S787" i="1"/>
  <c r="P788" i="1"/>
  <c r="Q788" i="1"/>
  <c r="R788" i="1"/>
  <c r="S788" i="1"/>
  <c r="P789" i="1"/>
  <c r="Q789" i="1"/>
  <c r="R789" i="1"/>
  <c r="S789" i="1"/>
  <c r="P790" i="1"/>
  <c r="Q790" i="1"/>
  <c r="R790" i="1"/>
  <c r="S790" i="1"/>
  <c r="P791" i="1"/>
  <c r="Q791" i="1"/>
  <c r="R791" i="1"/>
  <c r="S791" i="1"/>
  <c r="P792" i="1"/>
  <c r="Q792" i="1"/>
  <c r="R792" i="1"/>
  <c r="S792" i="1"/>
  <c r="P793" i="1"/>
  <c r="Q793" i="1"/>
  <c r="R793" i="1"/>
  <c r="S793" i="1"/>
  <c r="P794" i="1"/>
  <c r="Q794" i="1"/>
  <c r="R794" i="1"/>
  <c r="S794" i="1"/>
  <c r="P795" i="1"/>
  <c r="Q795" i="1"/>
  <c r="R795" i="1"/>
  <c r="S795" i="1"/>
  <c r="P796" i="1"/>
  <c r="Q796" i="1"/>
  <c r="R796" i="1"/>
  <c r="S796" i="1"/>
  <c r="P797" i="1"/>
  <c r="Q797" i="1"/>
  <c r="R797" i="1"/>
  <c r="S797" i="1"/>
  <c r="P798" i="1"/>
  <c r="Q798" i="1"/>
  <c r="R798" i="1"/>
  <c r="S798" i="1"/>
  <c r="P799" i="1"/>
  <c r="Q799" i="1"/>
  <c r="R799" i="1"/>
  <c r="S799" i="1"/>
  <c r="P800" i="1"/>
  <c r="Q800" i="1"/>
  <c r="R800" i="1"/>
  <c r="S800" i="1"/>
  <c r="P801" i="1"/>
  <c r="Q801" i="1"/>
  <c r="R801" i="1"/>
  <c r="S801" i="1"/>
  <c r="P802" i="1"/>
  <c r="Q802" i="1"/>
  <c r="R802" i="1"/>
  <c r="S802" i="1"/>
  <c r="P803" i="1"/>
  <c r="Q803" i="1"/>
  <c r="R803" i="1"/>
  <c r="S803" i="1"/>
  <c r="P804" i="1"/>
  <c r="Q804" i="1"/>
  <c r="R804" i="1"/>
  <c r="S804" i="1"/>
  <c r="P805" i="1"/>
  <c r="Q805" i="1"/>
  <c r="R805" i="1"/>
  <c r="S805" i="1"/>
  <c r="P806" i="1"/>
  <c r="Q806" i="1"/>
  <c r="R806" i="1"/>
  <c r="S806" i="1"/>
  <c r="P807" i="1"/>
  <c r="Q807" i="1"/>
  <c r="R807" i="1"/>
  <c r="S807" i="1"/>
  <c r="P808" i="1"/>
  <c r="Q808" i="1"/>
  <c r="R808" i="1"/>
  <c r="S808" i="1"/>
  <c r="P809" i="1"/>
  <c r="Q809" i="1"/>
  <c r="R809" i="1"/>
  <c r="S809" i="1"/>
  <c r="P810" i="1"/>
  <c r="Q810" i="1"/>
  <c r="R810" i="1"/>
  <c r="S810" i="1"/>
  <c r="P811" i="1"/>
  <c r="Q811" i="1"/>
  <c r="R811" i="1"/>
  <c r="S811" i="1"/>
  <c r="P812" i="1"/>
  <c r="Q812" i="1"/>
  <c r="R812" i="1"/>
  <c r="S812" i="1"/>
  <c r="P813" i="1"/>
  <c r="Q813" i="1"/>
  <c r="R813" i="1"/>
  <c r="S813" i="1"/>
  <c r="P814" i="1"/>
  <c r="Q814" i="1"/>
  <c r="R814" i="1"/>
  <c r="S814" i="1"/>
  <c r="P815" i="1"/>
  <c r="Q815" i="1"/>
  <c r="R815" i="1"/>
  <c r="S815" i="1"/>
  <c r="P816" i="1"/>
  <c r="Q816" i="1"/>
  <c r="R816" i="1"/>
  <c r="S816" i="1"/>
  <c r="P817" i="1"/>
  <c r="Q817" i="1"/>
  <c r="R817" i="1"/>
  <c r="S817" i="1"/>
  <c r="P818" i="1"/>
  <c r="Q818" i="1"/>
  <c r="R818" i="1"/>
  <c r="S818" i="1"/>
  <c r="P819" i="1"/>
  <c r="Q819" i="1"/>
  <c r="R819" i="1"/>
  <c r="S819" i="1"/>
  <c r="P820" i="1"/>
  <c r="Q820" i="1"/>
  <c r="R820" i="1"/>
  <c r="S820" i="1"/>
  <c r="P821" i="1"/>
  <c r="Q821" i="1"/>
  <c r="R821" i="1"/>
  <c r="S821" i="1"/>
  <c r="P822" i="1"/>
  <c r="Q822" i="1"/>
  <c r="R822" i="1"/>
  <c r="S822" i="1"/>
  <c r="P823" i="1"/>
  <c r="Q823" i="1"/>
  <c r="R823" i="1"/>
  <c r="S823" i="1"/>
  <c r="P824" i="1"/>
  <c r="Q824" i="1"/>
  <c r="R824" i="1"/>
  <c r="S824" i="1"/>
  <c r="P825" i="1"/>
  <c r="Q825" i="1"/>
  <c r="R825" i="1"/>
  <c r="S825" i="1"/>
  <c r="P826" i="1"/>
  <c r="Q826" i="1"/>
  <c r="R826" i="1"/>
  <c r="S826" i="1"/>
  <c r="P827" i="1"/>
  <c r="Q827" i="1"/>
  <c r="R827" i="1"/>
  <c r="S827" i="1"/>
  <c r="P828" i="1"/>
  <c r="Q828" i="1"/>
  <c r="R828" i="1"/>
  <c r="S828" i="1"/>
  <c r="P829" i="1"/>
  <c r="Q829" i="1"/>
  <c r="R829" i="1"/>
  <c r="S829" i="1"/>
  <c r="P830" i="1"/>
  <c r="Q830" i="1"/>
  <c r="R830" i="1"/>
  <c r="S830" i="1"/>
  <c r="P831" i="1"/>
  <c r="Q831" i="1"/>
  <c r="R831" i="1"/>
  <c r="S831" i="1"/>
  <c r="P832" i="1"/>
  <c r="Q832" i="1"/>
  <c r="R832" i="1"/>
  <c r="S832" i="1"/>
  <c r="P833" i="1"/>
  <c r="Q833" i="1"/>
  <c r="R833" i="1"/>
  <c r="S833" i="1"/>
  <c r="P834" i="1"/>
  <c r="Q834" i="1"/>
  <c r="R834" i="1"/>
  <c r="S834" i="1"/>
  <c r="P835" i="1"/>
  <c r="Q835" i="1"/>
  <c r="R835" i="1"/>
  <c r="S835" i="1"/>
  <c r="P836" i="1"/>
  <c r="Q836" i="1"/>
  <c r="R836" i="1"/>
  <c r="S836" i="1"/>
  <c r="P837" i="1"/>
  <c r="Q837" i="1"/>
  <c r="R837" i="1"/>
  <c r="S837" i="1"/>
  <c r="P838" i="1"/>
  <c r="Q838" i="1"/>
  <c r="R838" i="1"/>
  <c r="S838" i="1"/>
  <c r="P839" i="1"/>
  <c r="Q839" i="1"/>
  <c r="R839" i="1"/>
  <c r="S839" i="1"/>
  <c r="P840" i="1"/>
  <c r="Q840" i="1"/>
  <c r="R840" i="1"/>
  <c r="S840" i="1"/>
  <c r="P841" i="1"/>
  <c r="Q841" i="1"/>
  <c r="R841" i="1"/>
  <c r="S841" i="1"/>
  <c r="P842" i="1"/>
  <c r="Q842" i="1"/>
  <c r="R842" i="1"/>
  <c r="S842" i="1"/>
  <c r="P843" i="1"/>
  <c r="Q843" i="1"/>
  <c r="R843" i="1"/>
  <c r="S843" i="1"/>
  <c r="P844" i="1"/>
  <c r="Q844" i="1"/>
  <c r="R844" i="1"/>
  <c r="S844" i="1"/>
  <c r="P845" i="1"/>
  <c r="Q845" i="1"/>
  <c r="R845" i="1"/>
  <c r="S845" i="1"/>
  <c r="P846" i="1"/>
  <c r="Q846" i="1"/>
  <c r="R846" i="1"/>
  <c r="S846" i="1"/>
  <c r="P847" i="1"/>
  <c r="Q847" i="1"/>
  <c r="R847" i="1"/>
  <c r="S847" i="1"/>
  <c r="P848" i="1"/>
  <c r="Q848" i="1"/>
  <c r="R848" i="1"/>
  <c r="S848" i="1"/>
  <c r="P849" i="1"/>
  <c r="Q849" i="1"/>
  <c r="R849" i="1"/>
  <c r="S849" i="1"/>
  <c r="P850" i="1"/>
  <c r="Q850" i="1"/>
  <c r="R850" i="1"/>
  <c r="S850" i="1"/>
  <c r="P851" i="1"/>
  <c r="Q851" i="1"/>
  <c r="R851" i="1"/>
  <c r="S851" i="1"/>
  <c r="P852" i="1"/>
  <c r="Q852" i="1"/>
  <c r="R852" i="1"/>
  <c r="S852" i="1"/>
  <c r="P853" i="1"/>
  <c r="Q853" i="1"/>
  <c r="R853" i="1"/>
  <c r="S853" i="1"/>
  <c r="P854" i="1"/>
  <c r="Q854" i="1"/>
  <c r="R854" i="1"/>
  <c r="S854" i="1"/>
  <c r="P855" i="1"/>
  <c r="Q855" i="1"/>
  <c r="R855" i="1"/>
  <c r="S855" i="1"/>
  <c r="P856" i="1"/>
  <c r="Q856" i="1"/>
  <c r="R856" i="1"/>
  <c r="S856" i="1"/>
  <c r="P857" i="1"/>
  <c r="Q857" i="1"/>
  <c r="R857" i="1"/>
  <c r="S857" i="1"/>
  <c r="P858" i="1"/>
  <c r="Q858" i="1"/>
  <c r="R858" i="1"/>
  <c r="S858" i="1"/>
  <c r="P859" i="1"/>
  <c r="Q859" i="1"/>
  <c r="R859" i="1"/>
  <c r="S859" i="1"/>
  <c r="P860" i="1"/>
  <c r="Q860" i="1"/>
  <c r="R860" i="1"/>
  <c r="S860" i="1"/>
  <c r="P861" i="1"/>
  <c r="Q861" i="1"/>
  <c r="R861" i="1"/>
  <c r="S861" i="1"/>
  <c r="P862" i="1"/>
  <c r="Q862" i="1"/>
  <c r="R862" i="1"/>
  <c r="S862" i="1"/>
  <c r="P863" i="1"/>
  <c r="Q863" i="1"/>
  <c r="R863" i="1"/>
  <c r="S863" i="1"/>
  <c r="P864" i="1"/>
  <c r="Q864" i="1"/>
  <c r="R864" i="1"/>
  <c r="S864" i="1"/>
  <c r="P865" i="1"/>
  <c r="Q865" i="1"/>
  <c r="R865" i="1"/>
  <c r="S865" i="1"/>
  <c r="P866" i="1"/>
  <c r="Q866" i="1"/>
  <c r="R866" i="1"/>
  <c r="S866" i="1"/>
  <c r="P867" i="1"/>
  <c r="Q867" i="1"/>
  <c r="R867" i="1"/>
  <c r="S867" i="1"/>
  <c r="P868" i="1"/>
  <c r="Q868" i="1"/>
  <c r="R868" i="1"/>
  <c r="S868" i="1"/>
  <c r="P869" i="1"/>
  <c r="Q869" i="1"/>
  <c r="R869" i="1"/>
  <c r="S869" i="1"/>
  <c r="P870" i="1"/>
  <c r="Q870" i="1"/>
  <c r="R870" i="1"/>
  <c r="S870" i="1"/>
  <c r="P871" i="1"/>
  <c r="Q871" i="1"/>
  <c r="R871" i="1"/>
  <c r="S871" i="1"/>
  <c r="P872" i="1"/>
  <c r="Q872" i="1"/>
  <c r="R872" i="1"/>
  <c r="S872" i="1"/>
  <c r="P873" i="1"/>
  <c r="Q873" i="1"/>
  <c r="R873" i="1"/>
  <c r="S873" i="1"/>
  <c r="P874" i="1"/>
  <c r="Q874" i="1"/>
  <c r="R874" i="1"/>
  <c r="S874" i="1"/>
  <c r="P875" i="1"/>
  <c r="Q875" i="1"/>
  <c r="R875" i="1"/>
  <c r="S875" i="1"/>
  <c r="P876" i="1"/>
  <c r="Q876" i="1"/>
  <c r="R876" i="1"/>
  <c r="S876" i="1"/>
  <c r="P877" i="1"/>
  <c r="Q877" i="1"/>
  <c r="R877" i="1"/>
  <c r="S877" i="1"/>
  <c r="P878" i="1"/>
  <c r="Q878" i="1"/>
  <c r="R878" i="1"/>
  <c r="S878" i="1"/>
  <c r="P879" i="1"/>
  <c r="Q879" i="1"/>
  <c r="R879" i="1"/>
  <c r="S879" i="1"/>
  <c r="P880" i="1"/>
  <c r="Q880" i="1"/>
  <c r="R880" i="1"/>
  <c r="S880" i="1"/>
  <c r="P881" i="1"/>
  <c r="Q881" i="1"/>
  <c r="R881" i="1"/>
  <c r="S881" i="1"/>
  <c r="P882" i="1"/>
  <c r="Q882" i="1"/>
  <c r="R882" i="1"/>
  <c r="S882" i="1"/>
  <c r="P883" i="1"/>
  <c r="Q883" i="1"/>
  <c r="R883" i="1"/>
  <c r="S883" i="1"/>
  <c r="P884" i="1"/>
  <c r="Q884" i="1"/>
  <c r="R884" i="1"/>
  <c r="S884" i="1"/>
  <c r="P885" i="1"/>
  <c r="Q885" i="1"/>
  <c r="R885" i="1"/>
  <c r="S885" i="1"/>
  <c r="P886" i="1"/>
  <c r="Q886" i="1"/>
  <c r="R886" i="1"/>
  <c r="S886" i="1"/>
  <c r="P887" i="1"/>
  <c r="Q887" i="1"/>
  <c r="R887" i="1"/>
  <c r="S887" i="1"/>
  <c r="P888" i="1"/>
  <c r="Q888" i="1"/>
  <c r="R888" i="1"/>
  <c r="S888" i="1"/>
  <c r="P889" i="1"/>
  <c r="Q889" i="1"/>
  <c r="R889" i="1"/>
  <c r="S889" i="1"/>
  <c r="P890" i="1"/>
  <c r="Q890" i="1"/>
  <c r="R890" i="1"/>
  <c r="S890" i="1"/>
  <c r="P891" i="1"/>
  <c r="Q891" i="1"/>
  <c r="R891" i="1"/>
  <c r="S891" i="1"/>
  <c r="P892" i="1"/>
  <c r="Q892" i="1"/>
  <c r="R892" i="1"/>
  <c r="S892" i="1"/>
  <c r="P893" i="1"/>
  <c r="Q893" i="1"/>
  <c r="R893" i="1"/>
  <c r="S893" i="1"/>
  <c r="P894" i="1"/>
  <c r="Q894" i="1"/>
  <c r="R894" i="1"/>
  <c r="S894" i="1"/>
  <c r="P895" i="1"/>
  <c r="Q895" i="1"/>
  <c r="R895" i="1"/>
  <c r="S895" i="1"/>
  <c r="P896" i="1"/>
  <c r="Q896" i="1"/>
  <c r="R896" i="1"/>
  <c r="S896" i="1"/>
  <c r="P897" i="1"/>
  <c r="Q897" i="1"/>
  <c r="R897" i="1"/>
  <c r="S897" i="1"/>
  <c r="P898" i="1"/>
  <c r="Q898" i="1"/>
  <c r="R898" i="1"/>
  <c r="S898" i="1"/>
  <c r="P899" i="1"/>
  <c r="Q899" i="1"/>
  <c r="R899" i="1"/>
  <c r="S899" i="1"/>
  <c r="P900" i="1"/>
  <c r="Q900" i="1"/>
  <c r="R900" i="1"/>
  <c r="S900" i="1"/>
  <c r="P901" i="1"/>
  <c r="Q901" i="1"/>
  <c r="R901" i="1"/>
  <c r="S901" i="1"/>
  <c r="P902" i="1"/>
  <c r="Q902" i="1"/>
  <c r="R902" i="1"/>
  <c r="S902" i="1"/>
  <c r="P903" i="1"/>
  <c r="Q903" i="1"/>
  <c r="R903" i="1"/>
  <c r="S903" i="1"/>
  <c r="P904" i="1"/>
  <c r="Q904" i="1"/>
  <c r="R904" i="1"/>
  <c r="S904" i="1"/>
  <c r="P905" i="1"/>
  <c r="Q905" i="1"/>
  <c r="R905" i="1"/>
  <c r="S905" i="1"/>
  <c r="P906" i="1"/>
  <c r="Q906" i="1"/>
  <c r="R906" i="1"/>
  <c r="S906" i="1"/>
  <c r="P907" i="1"/>
  <c r="Q907" i="1"/>
  <c r="R907" i="1"/>
  <c r="S907" i="1"/>
  <c r="P908" i="1"/>
  <c r="Q908" i="1"/>
  <c r="R908" i="1"/>
  <c r="S908" i="1"/>
  <c r="P909" i="1"/>
  <c r="Q909" i="1"/>
  <c r="R909" i="1"/>
  <c r="S909" i="1"/>
  <c r="P910" i="1"/>
  <c r="Q910" i="1"/>
  <c r="R910" i="1"/>
  <c r="S910" i="1"/>
  <c r="P911" i="1"/>
  <c r="Q911" i="1"/>
  <c r="R911" i="1"/>
  <c r="S911" i="1"/>
  <c r="P912" i="1"/>
  <c r="Q912" i="1"/>
  <c r="R912" i="1"/>
  <c r="S912" i="1"/>
  <c r="P913" i="1"/>
  <c r="Q913" i="1"/>
  <c r="R913" i="1"/>
  <c r="S913" i="1"/>
  <c r="P914" i="1"/>
  <c r="Q914" i="1"/>
  <c r="R914" i="1"/>
  <c r="S914" i="1"/>
  <c r="P915" i="1"/>
  <c r="Q915" i="1"/>
  <c r="R915" i="1"/>
  <c r="S915" i="1"/>
  <c r="P916" i="1"/>
  <c r="Q916" i="1"/>
  <c r="R916" i="1"/>
  <c r="S916" i="1"/>
  <c r="P917" i="1"/>
  <c r="Q917" i="1"/>
  <c r="R917" i="1"/>
  <c r="S917" i="1"/>
  <c r="P918" i="1"/>
  <c r="Q918" i="1"/>
  <c r="R918" i="1"/>
  <c r="S918" i="1"/>
  <c r="P919" i="1"/>
  <c r="Q919" i="1"/>
  <c r="R919" i="1"/>
  <c r="S919" i="1"/>
  <c r="P920" i="1"/>
  <c r="Q920" i="1"/>
  <c r="R920" i="1"/>
  <c r="S920" i="1"/>
  <c r="P921" i="1"/>
  <c r="Q921" i="1"/>
  <c r="R921" i="1"/>
  <c r="S921" i="1"/>
  <c r="P922" i="1"/>
  <c r="Q922" i="1"/>
  <c r="R922" i="1"/>
  <c r="S922" i="1"/>
  <c r="P923" i="1"/>
  <c r="Q923" i="1"/>
  <c r="R923" i="1"/>
  <c r="S923" i="1"/>
  <c r="P924" i="1"/>
  <c r="Q924" i="1"/>
  <c r="R924" i="1"/>
  <c r="S924" i="1"/>
  <c r="P925" i="1"/>
  <c r="Q925" i="1"/>
  <c r="R925" i="1"/>
  <c r="S925" i="1"/>
  <c r="P926" i="1"/>
  <c r="Q926" i="1"/>
  <c r="R926" i="1"/>
  <c r="S926" i="1"/>
  <c r="P927" i="1"/>
  <c r="Q927" i="1"/>
  <c r="R927" i="1"/>
  <c r="S927" i="1"/>
  <c r="P928" i="1"/>
  <c r="Q928" i="1"/>
  <c r="R928" i="1"/>
  <c r="S928" i="1"/>
  <c r="P929" i="1"/>
  <c r="Q929" i="1"/>
  <c r="R929" i="1"/>
  <c r="S929" i="1"/>
  <c r="P930" i="1"/>
  <c r="Q930" i="1"/>
  <c r="R930" i="1"/>
  <c r="S930" i="1"/>
  <c r="P931" i="1"/>
  <c r="Q931" i="1"/>
  <c r="R931" i="1"/>
  <c r="S931" i="1"/>
  <c r="P932" i="1"/>
  <c r="Q932" i="1"/>
  <c r="R932" i="1"/>
  <c r="S932" i="1"/>
  <c r="P933" i="1"/>
  <c r="Q933" i="1"/>
  <c r="R933" i="1"/>
  <c r="S933" i="1"/>
  <c r="P934" i="1"/>
  <c r="Q934" i="1"/>
  <c r="R934" i="1"/>
  <c r="S934" i="1"/>
  <c r="P935" i="1"/>
  <c r="Q935" i="1"/>
  <c r="R935" i="1"/>
  <c r="S935" i="1"/>
  <c r="P936" i="1"/>
  <c r="Q936" i="1"/>
  <c r="R936" i="1"/>
  <c r="S936" i="1"/>
  <c r="P937" i="1"/>
  <c r="Q937" i="1"/>
  <c r="R937" i="1"/>
  <c r="S937" i="1"/>
  <c r="P938" i="1"/>
  <c r="Q938" i="1"/>
  <c r="R938" i="1"/>
  <c r="S938" i="1"/>
  <c r="P939" i="1"/>
  <c r="Q939" i="1"/>
  <c r="R939" i="1"/>
  <c r="S939" i="1"/>
  <c r="P940" i="1"/>
  <c r="Q940" i="1"/>
  <c r="R940" i="1"/>
  <c r="S940" i="1"/>
  <c r="P941" i="1"/>
  <c r="Q941" i="1"/>
  <c r="R941" i="1"/>
  <c r="S941" i="1"/>
  <c r="P942" i="1"/>
  <c r="Q942" i="1"/>
  <c r="R942" i="1"/>
  <c r="S942" i="1"/>
  <c r="P943" i="1"/>
  <c r="Q943" i="1"/>
  <c r="R943" i="1"/>
  <c r="S943" i="1"/>
  <c r="P944" i="1"/>
  <c r="Q944" i="1"/>
  <c r="R944" i="1"/>
  <c r="S944" i="1"/>
  <c r="P945" i="1"/>
  <c r="Q945" i="1"/>
  <c r="R945" i="1"/>
  <c r="S945" i="1"/>
  <c r="P946" i="1"/>
  <c r="Q946" i="1"/>
  <c r="R946" i="1"/>
  <c r="S946" i="1"/>
  <c r="P947" i="1"/>
  <c r="Q947" i="1"/>
  <c r="R947" i="1"/>
  <c r="S947" i="1"/>
  <c r="P948" i="1"/>
  <c r="Q948" i="1"/>
  <c r="R948" i="1"/>
  <c r="S948" i="1"/>
  <c r="P949" i="1"/>
  <c r="Q949" i="1"/>
  <c r="R949" i="1"/>
  <c r="S949" i="1"/>
  <c r="P950" i="1"/>
  <c r="Q950" i="1"/>
  <c r="R950" i="1"/>
  <c r="S950" i="1"/>
  <c r="P951" i="1"/>
  <c r="Q951" i="1"/>
  <c r="R951" i="1"/>
  <c r="S951" i="1"/>
  <c r="P952" i="1"/>
  <c r="Q952" i="1"/>
  <c r="R952" i="1"/>
  <c r="S952" i="1"/>
  <c r="P953" i="1"/>
  <c r="Q953" i="1"/>
  <c r="R953" i="1"/>
  <c r="S953" i="1"/>
  <c r="P954" i="1"/>
  <c r="Q954" i="1"/>
  <c r="R954" i="1"/>
  <c r="S954" i="1"/>
  <c r="P955" i="1"/>
  <c r="Q955" i="1"/>
  <c r="R955" i="1"/>
  <c r="S955" i="1"/>
  <c r="P956" i="1"/>
  <c r="Q956" i="1"/>
  <c r="R956" i="1"/>
  <c r="S956" i="1"/>
  <c r="P957" i="1"/>
  <c r="Q957" i="1"/>
  <c r="R957" i="1"/>
  <c r="S957" i="1"/>
  <c r="P958" i="1"/>
  <c r="Q958" i="1"/>
  <c r="R958" i="1"/>
  <c r="S958" i="1"/>
  <c r="P959" i="1"/>
  <c r="Q959" i="1"/>
  <c r="R959" i="1"/>
  <c r="S959" i="1"/>
  <c r="P960" i="1"/>
  <c r="Q960" i="1"/>
  <c r="R960" i="1"/>
  <c r="S960" i="1"/>
  <c r="P961" i="1"/>
  <c r="Q961" i="1"/>
  <c r="R961" i="1"/>
  <c r="S961" i="1"/>
  <c r="P962" i="1"/>
  <c r="Q962" i="1"/>
  <c r="R962" i="1"/>
  <c r="S962" i="1"/>
  <c r="P963" i="1"/>
  <c r="Q963" i="1"/>
  <c r="R963" i="1"/>
  <c r="S963" i="1"/>
  <c r="P964" i="1"/>
  <c r="Q964" i="1"/>
  <c r="R964" i="1"/>
  <c r="S964" i="1"/>
  <c r="P965" i="1"/>
  <c r="Q965" i="1"/>
  <c r="R965" i="1"/>
  <c r="S965" i="1"/>
  <c r="P966" i="1"/>
  <c r="Q966" i="1"/>
  <c r="R966" i="1"/>
  <c r="S966" i="1"/>
  <c r="P967" i="1"/>
  <c r="Q967" i="1"/>
  <c r="R967" i="1"/>
  <c r="S967" i="1"/>
  <c r="P968" i="1"/>
  <c r="Q968" i="1"/>
  <c r="R968" i="1"/>
  <c r="S968" i="1"/>
  <c r="P969" i="1"/>
  <c r="Q969" i="1"/>
  <c r="R969" i="1"/>
  <c r="S969" i="1"/>
  <c r="P970" i="1"/>
  <c r="Q970" i="1"/>
  <c r="R970" i="1"/>
  <c r="S970" i="1"/>
  <c r="P971" i="1"/>
  <c r="Q971" i="1"/>
  <c r="R971" i="1"/>
  <c r="S971" i="1"/>
  <c r="P972" i="1"/>
  <c r="Q972" i="1"/>
  <c r="R972" i="1"/>
  <c r="S972" i="1"/>
  <c r="P973" i="1"/>
  <c r="Q973" i="1"/>
  <c r="R973" i="1"/>
  <c r="S973" i="1"/>
  <c r="P974" i="1"/>
  <c r="Q974" i="1"/>
  <c r="R974" i="1"/>
  <c r="S974" i="1"/>
  <c r="P975" i="1"/>
  <c r="Q975" i="1"/>
  <c r="R975" i="1"/>
  <c r="S975" i="1"/>
  <c r="P976" i="1"/>
  <c r="Q976" i="1"/>
  <c r="R976" i="1"/>
  <c r="S976" i="1"/>
  <c r="P977" i="1"/>
  <c r="Q977" i="1"/>
  <c r="R977" i="1"/>
  <c r="S977" i="1"/>
  <c r="P978" i="1"/>
  <c r="Q978" i="1"/>
  <c r="R978" i="1"/>
  <c r="S978" i="1"/>
  <c r="P979" i="1"/>
  <c r="Q979" i="1"/>
  <c r="R979" i="1"/>
  <c r="S979" i="1"/>
  <c r="P980" i="1"/>
  <c r="Q980" i="1"/>
  <c r="R980" i="1"/>
  <c r="S980" i="1"/>
  <c r="P981" i="1"/>
  <c r="Q981" i="1"/>
  <c r="R981" i="1"/>
  <c r="S981" i="1"/>
  <c r="P982" i="1"/>
  <c r="Q982" i="1"/>
  <c r="R982" i="1"/>
  <c r="S982" i="1"/>
  <c r="P983" i="1"/>
  <c r="Q983" i="1"/>
  <c r="R983" i="1"/>
  <c r="S983" i="1"/>
  <c r="P984" i="1"/>
  <c r="Q984" i="1"/>
  <c r="R984" i="1"/>
  <c r="S984" i="1"/>
  <c r="P985" i="1"/>
  <c r="Q985" i="1"/>
  <c r="R985" i="1"/>
  <c r="S985" i="1"/>
  <c r="P986" i="1"/>
  <c r="Q986" i="1"/>
  <c r="R986" i="1"/>
  <c r="S986" i="1"/>
  <c r="P987" i="1"/>
  <c r="Q987" i="1"/>
  <c r="R987" i="1"/>
  <c r="S987" i="1"/>
  <c r="P988" i="1"/>
  <c r="Q988" i="1"/>
  <c r="R988" i="1"/>
  <c r="S988" i="1"/>
  <c r="P989" i="1"/>
  <c r="Q989" i="1"/>
  <c r="R989" i="1"/>
  <c r="S989" i="1"/>
  <c r="P990" i="1"/>
  <c r="Q990" i="1"/>
  <c r="R990" i="1"/>
  <c r="S990" i="1"/>
  <c r="P991" i="1"/>
  <c r="Q991" i="1"/>
  <c r="R991" i="1"/>
  <c r="S991" i="1"/>
  <c r="P992" i="1"/>
  <c r="Q992" i="1"/>
  <c r="R992" i="1"/>
  <c r="S992" i="1"/>
  <c r="P993" i="1"/>
  <c r="Q993" i="1"/>
  <c r="R993" i="1"/>
  <c r="S993" i="1"/>
  <c r="P994" i="1"/>
  <c r="Q994" i="1"/>
  <c r="R994" i="1"/>
  <c r="S994" i="1"/>
  <c r="P995" i="1"/>
  <c r="Q995" i="1"/>
  <c r="R995" i="1"/>
  <c r="S995" i="1"/>
  <c r="P996" i="1"/>
  <c r="Q996" i="1"/>
  <c r="R996" i="1"/>
  <c r="S996" i="1"/>
  <c r="P997" i="1"/>
  <c r="Q997" i="1"/>
  <c r="R997" i="1"/>
  <c r="S997" i="1"/>
  <c r="P998" i="1"/>
  <c r="Q998" i="1"/>
  <c r="R998" i="1"/>
  <c r="S998" i="1"/>
  <c r="P999" i="1"/>
  <c r="Q999" i="1"/>
  <c r="R999" i="1"/>
  <c r="S999" i="1"/>
  <c r="P1000" i="1"/>
  <c r="Q1000" i="1"/>
  <c r="R1000" i="1"/>
  <c r="S1000" i="1"/>
  <c r="P1001" i="1"/>
  <c r="Q1001" i="1"/>
  <c r="R1001" i="1"/>
  <c r="S1001" i="1"/>
  <c r="P1002" i="1"/>
  <c r="Q1002" i="1"/>
  <c r="R1002" i="1"/>
  <c r="S1002" i="1"/>
  <c r="P1003" i="1"/>
  <c r="Q1003" i="1"/>
  <c r="R1003" i="1"/>
  <c r="S1003" i="1"/>
  <c r="P1004" i="1"/>
  <c r="Q1004" i="1"/>
  <c r="R1004" i="1"/>
  <c r="S1004" i="1"/>
  <c r="P1005" i="1"/>
  <c r="Q1005" i="1"/>
  <c r="R1005" i="1"/>
  <c r="S1005" i="1"/>
  <c r="P1006" i="1"/>
  <c r="Q1006" i="1"/>
  <c r="R1006" i="1"/>
  <c r="S1006" i="1"/>
  <c r="P1007" i="1"/>
  <c r="Q1007" i="1"/>
  <c r="R1007" i="1"/>
  <c r="S1007" i="1"/>
  <c r="P1008" i="1"/>
  <c r="Q1008" i="1"/>
  <c r="R1008" i="1"/>
  <c r="S1008" i="1"/>
  <c r="P1009" i="1"/>
  <c r="Q1009" i="1"/>
  <c r="R1009" i="1"/>
  <c r="S1009" i="1"/>
  <c r="P1010" i="1"/>
  <c r="Q1010" i="1"/>
  <c r="R1010" i="1"/>
  <c r="S1010" i="1"/>
  <c r="P1011" i="1"/>
  <c r="Q1011" i="1"/>
  <c r="R1011" i="1"/>
  <c r="S1011" i="1"/>
  <c r="P1012" i="1"/>
  <c r="Q1012" i="1"/>
  <c r="R1012" i="1"/>
  <c r="S1012" i="1"/>
  <c r="P1013" i="1"/>
  <c r="Q1013" i="1"/>
  <c r="R1013" i="1"/>
  <c r="S1013" i="1"/>
  <c r="P1014" i="1"/>
  <c r="Q1014" i="1"/>
  <c r="R1014" i="1"/>
  <c r="S1014" i="1"/>
  <c r="P1015" i="1"/>
  <c r="Q1015" i="1"/>
  <c r="R1015" i="1"/>
  <c r="S1015" i="1"/>
  <c r="P1016" i="1"/>
  <c r="Q1016" i="1"/>
  <c r="R1016" i="1"/>
  <c r="S1016" i="1"/>
  <c r="P1017" i="1"/>
  <c r="Q1017" i="1"/>
  <c r="R1017" i="1"/>
  <c r="S1017" i="1"/>
  <c r="P1018" i="1"/>
  <c r="Q1018" i="1"/>
  <c r="R1018" i="1"/>
  <c r="S1018" i="1"/>
  <c r="P1019" i="1"/>
  <c r="Q1019" i="1"/>
  <c r="R1019" i="1"/>
  <c r="S1019" i="1"/>
  <c r="P1020" i="1"/>
  <c r="Q1020" i="1"/>
  <c r="R1020" i="1"/>
  <c r="S1020" i="1"/>
  <c r="P1021" i="1"/>
  <c r="Q1021" i="1"/>
  <c r="R1021" i="1"/>
  <c r="S1021" i="1"/>
  <c r="P1022" i="1"/>
  <c r="Q1022" i="1"/>
  <c r="R1022" i="1"/>
  <c r="S1022" i="1"/>
  <c r="P1023" i="1"/>
  <c r="Q1023" i="1"/>
  <c r="R1023" i="1"/>
  <c r="S1023" i="1"/>
  <c r="P1024" i="1"/>
  <c r="Q1024" i="1"/>
  <c r="R1024" i="1"/>
  <c r="S1024" i="1"/>
  <c r="P1025" i="1"/>
  <c r="Q1025" i="1"/>
  <c r="R1025" i="1"/>
  <c r="S1025" i="1"/>
  <c r="P1026" i="1"/>
  <c r="Q1026" i="1"/>
  <c r="R1026" i="1"/>
  <c r="S1026" i="1"/>
  <c r="P1027" i="1"/>
  <c r="Q1027" i="1"/>
  <c r="R1027" i="1"/>
  <c r="S1027" i="1"/>
  <c r="P1028" i="1"/>
  <c r="Q1028" i="1"/>
  <c r="R1028" i="1"/>
  <c r="S1028" i="1"/>
  <c r="P1029" i="1"/>
  <c r="Q1029" i="1"/>
  <c r="R1029" i="1"/>
  <c r="S1029" i="1"/>
  <c r="P1030" i="1"/>
  <c r="Q1030" i="1"/>
  <c r="R1030" i="1"/>
  <c r="S1030" i="1"/>
  <c r="P1031" i="1"/>
  <c r="Q1031" i="1"/>
  <c r="R1031" i="1"/>
  <c r="S1031" i="1"/>
  <c r="P1032" i="1"/>
  <c r="Q1032" i="1"/>
  <c r="R1032" i="1"/>
  <c r="S1032" i="1"/>
  <c r="P1033" i="1"/>
  <c r="Q1033" i="1"/>
  <c r="R1033" i="1"/>
  <c r="S1033" i="1"/>
  <c r="P1034" i="1"/>
  <c r="Q1034" i="1"/>
  <c r="R1034" i="1"/>
  <c r="S1034" i="1"/>
  <c r="P1035" i="1"/>
  <c r="Q1035" i="1"/>
  <c r="R1035" i="1"/>
  <c r="S1035" i="1"/>
  <c r="P1036" i="1"/>
  <c r="Q1036" i="1"/>
  <c r="R1036" i="1"/>
  <c r="S1036" i="1"/>
  <c r="P1037" i="1"/>
  <c r="Q1037" i="1"/>
  <c r="R1037" i="1"/>
  <c r="S1037" i="1"/>
  <c r="P1038" i="1"/>
  <c r="Q1038" i="1"/>
  <c r="R1038" i="1"/>
  <c r="S1038" i="1"/>
  <c r="P1039" i="1"/>
  <c r="Q1039" i="1"/>
  <c r="R1039" i="1"/>
  <c r="S1039" i="1"/>
  <c r="P1040" i="1"/>
  <c r="Q1040" i="1"/>
  <c r="R1040" i="1"/>
  <c r="S1040" i="1"/>
  <c r="P1041" i="1"/>
  <c r="Q1041" i="1"/>
  <c r="R1041" i="1"/>
  <c r="S1041" i="1"/>
  <c r="P1042" i="1"/>
  <c r="Q1042" i="1"/>
  <c r="R1042" i="1"/>
  <c r="S1042" i="1"/>
  <c r="P1043" i="1"/>
  <c r="Q1043" i="1"/>
  <c r="R1043" i="1"/>
  <c r="S1043" i="1"/>
  <c r="P1044" i="1"/>
  <c r="Q1044" i="1"/>
  <c r="R1044" i="1"/>
  <c r="S1044" i="1"/>
  <c r="P1045" i="1"/>
  <c r="Q1045" i="1"/>
  <c r="R1045" i="1"/>
  <c r="S1045" i="1"/>
  <c r="P1046" i="1"/>
  <c r="Q1046" i="1"/>
  <c r="R1046" i="1"/>
  <c r="S1046" i="1"/>
  <c r="P1047" i="1"/>
  <c r="Q1047" i="1"/>
  <c r="R1047" i="1"/>
  <c r="S1047" i="1"/>
  <c r="P1048" i="1"/>
  <c r="Q1048" i="1"/>
  <c r="R1048" i="1"/>
  <c r="S1048" i="1"/>
  <c r="P1049" i="1"/>
  <c r="Q1049" i="1"/>
  <c r="R1049" i="1"/>
  <c r="S1049" i="1"/>
  <c r="P1050" i="1"/>
  <c r="Q1050" i="1"/>
  <c r="R1050" i="1"/>
  <c r="S1050" i="1"/>
  <c r="P1051" i="1"/>
  <c r="Q1051" i="1"/>
  <c r="R1051" i="1"/>
  <c r="S1051" i="1"/>
  <c r="P1052" i="1"/>
  <c r="Q1052" i="1"/>
  <c r="R1052" i="1"/>
  <c r="S1052" i="1"/>
  <c r="P1053" i="1"/>
  <c r="Q1053" i="1"/>
  <c r="R1053" i="1"/>
  <c r="S1053" i="1"/>
  <c r="P1054" i="1"/>
  <c r="Q1054" i="1"/>
  <c r="R1054" i="1"/>
  <c r="S1054" i="1"/>
  <c r="P1055" i="1"/>
  <c r="Q1055" i="1"/>
  <c r="R1055" i="1"/>
  <c r="S1055" i="1"/>
  <c r="P1056" i="1"/>
  <c r="Q1056" i="1"/>
  <c r="R1056" i="1"/>
  <c r="S1056" i="1"/>
  <c r="P1057" i="1"/>
  <c r="Q1057" i="1"/>
  <c r="R1057" i="1"/>
  <c r="S1057" i="1"/>
  <c r="P1058" i="1"/>
  <c r="Q1058" i="1"/>
  <c r="R1058" i="1"/>
  <c r="S1058" i="1"/>
  <c r="P1059" i="1"/>
  <c r="Q1059" i="1"/>
  <c r="R1059" i="1"/>
  <c r="S1059" i="1"/>
  <c r="P1060" i="1"/>
  <c r="Q1060" i="1"/>
  <c r="R1060" i="1"/>
  <c r="S1060" i="1"/>
  <c r="P1061" i="1"/>
  <c r="Q1061" i="1"/>
  <c r="R1061" i="1"/>
  <c r="S1061" i="1"/>
  <c r="P1062" i="1"/>
  <c r="Q1062" i="1"/>
  <c r="R1062" i="1"/>
  <c r="S1062" i="1"/>
  <c r="P1063" i="1"/>
  <c r="Q1063" i="1"/>
  <c r="R1063" i="1"/>
  <c r="S1063" i="1"/>
  <c r="P1064" i="1"/>
  <c r="Q1064" i="1"/>
  <c r="R1064" i="1"/>
  <c r="S1064" i="1"/>
  <c r="P1065" i="1"/>
  <c r="Q1065" i="1"/>
  <c r="R1065" i="1"/>
  <c r="S1065" i="1"/>
  <c r="P1066" i="1"/>
  <c r="Q1066" i="1"/>
  <c r="R1066" i="1"/>
  <c r="S1066" i="1"/>
  <c r="P1067" i="1"/>
  <c r="Q1067" i="1"/>
  <c r="R1067" i="1"/>
  <c r="S1067" i="1"/>
  <c r="P1068" i="1"/>
  <c r="Q1068" i="1"/>
  <c r="R1068" i="1"/>
  <c r="S1068" i="1"/>
  <c r="P1069" i="1"/>
  <c r="Q1069" i="1"/>
  <c r="R1069" i="1"/>
  <c r="S1069" i="1"/>
  <c r="P1070" i="1"/>
  <c r="Q1070" i="1"/>
  <c r="R1070" i="1"/>
  <c r="S1070" i="1"/>
  <c r="P1071" i="1"/>
  <c r="Q1071" i="1"/>
  <c r="R1071" i="1"/>
  <c r="S1071" i="1"/>
  <c r="P1072" i="1"/>
  <c r="Q1072" i="1"/>
  <c r="R1072" i="1"/>
  <c r="S1072" i="1"/>
  <c r="P1073" i="1"/>
  <c r="Q1073" i="1"/>
  <c r="R1073" i="1"/>
  <c r="S1073" i="1"/>
  <c r="P1074" i="1"/>
  <c r="Q1074" i="1"/>
  <c r="R1074" i="1"/>
  <c r="S1074" i="1"/>
  <c r="P1075" i="1"/>
  <c r="Q1075" i="1"/>
  <c r="R1075" i="1"/>
  <c r="S1075" i="1"/>
  <c r="P1076" i="1"/>
  <c r="Q1076" i="1"/>
  <c r="R1076" i="1"/>
  <c r="S1076" i="1"/>
  <c r="P1077" i="1"/>
  <c r="Q1077" i="1"/>
  <c r="R1077" i="1"/>
  <c r="S1077" i="1"/>
  <c r="P1078" i="1"/>
  <c r="Q1078" i="1"/>
  <c r="R1078" i="1"/>
  <c r="S1078" i="1"/>
  <c r="P1079" i="1"/>
  <c r="Q1079" i="1"/>
  <c r="R1079" i="1"/>
  <c r="S1079" i="1"/>
  <c r="P1080" i="1"/>
  <c r="Q1080" i="1"/>
  <c r="R1080" i="1"/>
  <c r="S1080" i="1"/>
  <c r="P1081" i="1"/>
  <c r="Q1081" i="1"/>
  <c r="R1081" i="1"/>
  <c r="S1081" i="1"/>
  <c r="P1082" i="1"/>
  <c r="Q1082" i="1"/>
  <c r="R1082" i="1"/>
  <c r="S1082" i="1"/>
  <c r="P1083" i="1"/>
  <c r="Q1083" i="1"/>
  <c r="R1083" i="1"/>
  <c r="S1083" i="1"/>
  <c r="P1084" i="1"/>
  <c r="Q1084" i="1"/>
  <c r="R1084" i="1"/>
  <c r="S1084" i="1"/>
  <c r="P1085" i="1"/>
  <c r="Q1085" i="1"/>
  <c r="R1085" i="1"/>
  <c r="S1085" i="1"/>
  <c r="P1086" i="1"/>
  <c r="Q1086" i="1"/>
  <c r="R1086" i="1"/>
  <c r="S1086" i="1"/>
  <c r="P1087" i="1"/>
  <c r="Q1087" i="1"/>
  <c r="R1087" i="1"/>
  <c r="S1087" i="1"/>
  <c r="P1088" i="1"/>
  <c r="Q1088" i="1"/>
  <c r="R1088" i="1"/>
  <c r="S1088" i="1"/>
  <c r="P1089" i="1"/>
  <c r="Q1089" i="1"/>
  <c r="R1089" i="1"/>
  <c r="S1089" i="1"/>
  <c r="P1090" i="1"/>
  <c r="Q1090" i="1"/>
  <c r="R1090" i="1"/>
  <c r="S1090" i="1"/>
  <c r="P1091" i="1"/>
  <c r="Q1091" i="1"/>
  <c r="R1091" i="1"/>
  <c r="S1091" i="1"/>
  <c r="P1092" i="1"/>
  <c r="Q1092" i="1"/>
  <c r="R1092" i="1"/>
  <c r="S1092" i="1"/>
  <c r="P1093" i="1"/>
  <c r="Q1093" i="1"/>
  <c r="R1093" i="1"/>
  <c r="S1093" i="1"/>
  <c r="P1094" i="1"/>
  <c r="Q1094" i="1"/>
  <c r="R1094" i="1"/>
  <c r="S1094" i="1"/>
  <c r="P1095" i="1"/>
  <c r="Q1095" i="1"/>
  <c r="R1095" i="1"/>
  <c r="S1095" i="1"/>
  <c r="P1096" i="1"/>
  <c r="Q1096" i="1"/>
  <c r="R1096" i="1"/>
  <c r="S1096" i="1"/>
  <c r="P1097" i="1"/>
  <c r="Q1097" i="1"/>
  <c r="R1097" i="1"/>
  <c r="S1097" i="1"/>
  <c r="P1098" i="1"/>
  <c r="Q1098" i="1"/>
  <c r="R1098" i="1"/>
  <c r="S1098" i="1"/>
  <c r="P1099" i="1"/>
  <c r="Q1099" i="1"/>
  <c r="R1099" i="1"/>
  <c r="S1099" i="1"/>
  <c r="P1100" i="1"/>
  <c r="Q1100" i="1"/>
  <c r="R1100" i="1"/>
  <c r="S1100" i="1"/>
  <c r="P1101" i="1"/>
  <c r="Q1101" i="1"/>
  <c r="R1101" i="1"/>
  <c r="S1101" i="1"/>
  <c r="P1102" i="1"/>
  <c r="Q1102" i="1"/>
  <c r="R1102" i="1"/>
  <c r="S1102" i="1"/>
  <c r="P1103" i="1"/>
  <c r="Q1103" i="1"/>
  <c r="R1103" i="1"/>
  <c r="S1103" i="1"/>
  <c r="P1104" i="1"/>
  <c r="Q1104" i="1"/>
  <c r="R1104" i="1"/>
  <c r="S1104" i="1"/>
  <c r="P1105" i="1"/>
  <c r="Q1105" i="1"/>
  <c r="R1105" i="1"/>
  <c r="S1105" i="1"/>
  <c r="P1106" i="1"/>
  <c r="Q1106" i="1"/>
  <c r="R1106" i="1"/>
  <c r="S1106" i="1"/>
  <c r="P1107" i="1"/>
  <c r="Q1107" i="1"/>
  <c r="R1107" i="1"/>
  <c r="S1107" i="1"/>
  <c r="P1108" i="1"/>
  <c r="Q1108" i="1"/>
  <c r="R1108" i="1"/>
  <c r="S1108" i="1"/>
  <c r="P1109" i="1"/>
  <c r="Q1109" i="1"/>
  <c r="R1109" i="1"/>
  <c r="S1109" i="1"/>
  <c r="P1110" i="1"/>
  <c r="Q1110" i="1"/>
  <c r="R1110" i="1"/>
  <c r="S1110" i="1"/>
  <c r="P1111" i="1"/>
  <c r="Q1111" i="1"/>
  <c r="R1111" i="1"/>
  <c r="S1111" i="1"/>
  <c r="P1112" i="1"/>
  <c r="Q1112" i="1"/>
  <c r="R1112" i="1"/>
  <c r="S1112" i="1"/>
  <c r="P1113" i="1"/>
  <c r="Q1113" i="1"/>
  <c r="R1113" i="1"/>
  <c r="S1113" i="1"/>
  <c r="P1114" i="1"/>
  <c r="Q1114" i="1"/>
  <c r="R1114" i="1"/>
  <c r="S1114" i="1"/>
  <c r="P1115" i="1"/>
  <c r="Q1115" i="1"/>
  <c r="R1115" i="1"/>
  <c r="S1115" i="1"/>
  <c r="P1116" i="1"/>
  <c r="Q1116" i="1"/>
  <c r="R1116" i="1"/>
  <c r="S1116" i="1"/>
  <c r="P1117" i="1"/>
  <c r="Q1117" i="1"/>
  <c r="R1117" i="1"/>
  <c r="S1117" i="1"/>
  <c r="P1118" i="1"/>
  <c r="Q1118" i="1"/>
  <c r="R1118" i="1"/>
  <c r="S1118" i="1"/>
  <c r="P1119" i="1"/>
  <c r="Q1119" i="1"/>
  <c r="R1119" i="1"/>
  <c r="S1119" i="1"/>
  <c r="P1120" i="1"/>
  <c r="Q1120" i="1"/>
  <c r="R1120" i="1"/>
  <c r="S1120" i="1"/>
  <c r="P1121" i="1"/>
  <c r="Q1121" i="1"/>
  <c r="R1121" i="1"/>
  <c r="S1121" i="1"/>
  <c r="P1122" i="1"/>
  <c r="Q1122" i="1"/>
  <c r="R1122" i="1"/>
  <c r="S1122" i="1"/>
  <c r="P1123" i="1"/>
  <c r="Q1123" i="1"/>
  <c r="R1123" i="1"/>
  <c r="S1123" i="1"/>
  <c r="P1124" i="1"/>
  <c r="Q1124" i="1"/>
  <c r="R1124" i="1"/>
  <c r="S1124" i="1"/>
  <c r="P1125" i="1"/>
  <c r="Q1125" i="1"/>
  <c r="R1125" i="1"/>
  <c r="S1125" i="1"/>
  <c r="P1126" i="1"/>
  <c r="Q1126" i="1"/>
  <c r="R1126" i="1"/>
  <c r="S1126" i="1"/>
  <c r="P1127" i="1"/>
  <c r="Q1127" i="1"/>
  <c r="R1127" i="1"/>
  <c r="S1127" i="1"/>
  <c r="P1128" i="1"/>
  <c r="Q1128" i="1"/>
  <c r="R1128" i="1"/>
  <c r="S1128" i="1"/>
  <c r="P1129" i="1"/>
  <c r="Q1129" i="1"/>
  <c r="R1129" i="1"/>
  <c r="S1129" i="1"/>
  <c r="P1130" i="1"/>
  <c r="Q1130" i="1"/>
  <c r="R1130" i="1"/>
  <c r="S1130" i="1"/>
  <c r="P1131" i="1"/>
  <c r="Q1131" i="1"/>
  <c r="R1131" i="1"/>
  <c r="S1131" i="1"/>
  <c r="P1132" i="1"/>
  <c r="Q1132" i="1"/>
  <c r="R1132" i="1"/>
  <c r="S1132" i="1"/>
  <c r="P1133" i="1"/>
  <c r="Q1133" i="1"/>
  <c r="R1133" i="1"/>
  <c r="S1133" i="1"/>
  <c r="P1134" i="1"/>
  <c r="Q1134" i="1"/>
  <c r="R1134" i="1"/>
  <c r="S1134" i="1"/>
  <c r="P1135" i="1"/>
  <c r="Q1135" i="1"/>
  <c r="R1135" i="1"/>
  <c r="S1135" i="1"/>
  <c r="P1136" i="1"/>
  <c r="Q1136" i="1"/>
  <c r="R1136" i="1"/>
  <c r="S1136" i="1"/>
  <c r="P1137" i="1"/>
  <c r="Q1137" i="1"/>
  <c r="R1137" i="1"/>
  <c r="S1137" i="1"/>
  <c r="P1138" i="1"/>
  <c r="Q1138" i="1"/>
  <c r="R1138" i="1"/>
  <c r="S1138" i="1"/>
  <c r="P1139" i="1"/>
  <c r="Q1139" i="1"/>
  <c r="R1139" i="1"/>
  <c r="S1139" i="1"/>
  <c r="P1140" i="1"/>
  <c r="Q1140" i="1"/>
  <c r="R1140" i="1"/>
  <c r="S1140" i="1"/>
  <c r="P1141" i="1"/>
  <c r="Q1141" i="1"/>
  <c r="R1141" i="1"/>
  <c r="S1141" i="1"/>
  <c r="P1142" i="1"/>
  <c r="Q1142" i="1"/>
  <c r="R1142" i="1"/>
  <c r="S1142" i="1"/>
  <c r="P1143" i="1"/>
  <c r="Q1143" i="1"/>
  <c r="R1143" i="1"/>
  <c r="S1143" i="1"/>
  <c r="P1144" i="1"/>
  <c r="Q1144" i="1"/>
  <c r="R1144" i="1"/>
  <c r="S1144" i="1"/>
  <c r="P1145" i="1"/>
  <c r="Q1145" i="1"/>
  <c r="R1145" i="1"/>
  <c r="S1145" i="1"/>
  <c r="P1146" i="1"/>
  <c r="Q1146" i="1"/>
  <c r="R1146" i="1"/>
  <c r="S1146" i="1"/>
  <c r="P1147" i="1"/>
  <c r="Q1147" i="1"/>
  <c r="R1147" i="1"/>
  <c r="S1147" i="1"/>
  <c r="P1148" i="1"/>
  <c r="Q1148" i="1"/>
  <c r="R1148" i="1"/>
  <c r="S1148" i="1"/>
  <c r="P1149" i="1"/>
  <c r="Q1149" i="1"/>
  <c r="R1149" i="1"/>
  <c r="S1149" i="1"/>
  <c r="P1150" i="1"/>
  <c r="Q1150" i="1"/>
  <c r="R1150" i="1"/>
  <c r="S1150" i="1"/>
  <c r="P1151" i="1"/>
  <c r="Q1151" i="1"/>
  <c r="R1151" i="1"/>
  <c r="S1151" i="1"/>
  <c r="P1152" i="1"/>
  <c r="Q1152" i="1"/>
  <c r="R1152" i="1"/>
  <c r="S1152" i="1"/>
  <c r="P1153" i="1"/>
  <c r="Q1153" i="1"/>
  <c r="R1153" i="1"/>
  <c r="S1153" i="1"/>
  <c r="P1154" i="1"/>
  <c r="Q1154" i="1"/>
  <c r="R1154" i="1"/>
  <c r="S1154" i="1"/>
  <c r="P1155" i="1"/>
  <c r="Q1155" i="1"/>
  <c r="R1155" i="1"/>
  <c r="S1155" i="1"/>
  <c r="P1156" i="1"/>
  <c r="Q1156" i="1"/>
  <c r="R1156" i="1"/>
  <c r="S1156" i="1"/>
  <c r="P1157" i="1"/>
  <c r="Q1157" i="1"/>
  <c r="R1157" i="1"/>
  <c r="S1157" i="1"/>
  <c r="P1158" i="1"/>
  <c r="Q1158" i="1"/>
  <c r="R1158" i="1"/>
  <c r="S1158" i="1"/>
  <c r="P1159" i="1"/>
  <c r="Q1159" i="1"/>
  <c r="R1159" i="1"/>
  <c r="S1159" i="1"/>
  <c r="P1160" i="1"/>
  <c r="Q1160" i="1"/>
  <c r="R1160" i="1"/>
  <c r="S1160" i="1"/>
  <c r="P1161" i="1"/>
  <c r="Q1161" i="1"/>
  <c r="R1161" i="1"/>
  <c r="S1161" i="1"/>
  <c r="P1162" i="1"/>
  <c r="Q1162" i="1"/>
  <c r="R1162" i="1"/>
  <c r="S1162" i="1"/>
  <c r="P1163" i="1"/>
  <c r="Q1163" i="1"/>
  <c r="R1163" i="1"/>
  <c r="S1163" i="1"/>
  <c r="P1164" i="1"/>
  <c r="Q1164" i="1"/>
  <c r="R1164" i="1"/>
  <c r="S1164" i="1"/>
  <c r="P1165" i="1"/>
  <c r="Q1165" i="1"/>
  <c r="R1165" i="1"/>
  <c r="S1165" i="1"/>
  <c r="P1166" i="1"/>
  <c r="Q1166" i="1"/>
  <c r="R1166" i="1"/>
  <c r="S1166" i="1"/>
  <c r="P1167" i="1"/>
  <c r="Q1167" i="1"/>
  <c r="R1167" i="1"/>
  <c r="S1167" i="1"/>
  <c r="P1168" i="1"/>
  <c r="Q1168" i="1"/>
  <c r="R1168" i="1"/>
  <c r="S1168" i="1"/>
  <c r="P1169" i="1"/>
  <c r="Q1169" i="1"/>
  <c r="R1169" i="1"/>
  <c r="S1169" i="1"/>
  <c r="P1170" i="1"/>
  <c r="Q1170" i="1"/>
  <c r="R1170" i="1"/>
  <c r="S1170" i="1"/>
  <c r="P1171" i="1"/>
  <c r="Q1171" i="1"/>
  <c r="R1171" i="1"/>
  <c r="S1171" i="1"/>
  <c r="P1172" i="1"/>
  <c r="Q1172" i="1"/>
  <c r="R1172" i="1"/>
  <c r="S1172" i="1"/>
  <c r="P1173" i="1"/>
  <c r="Q1173" i="1"/>
  <c r="R1173" i="1"/>
  <c r="S1173" i="1"/>
  <c r="P1174" i="1"/>
  <c r="Q1174" i="1"/>
  <c r="R1174" i="1"/>
  <c r="S1174" i="1"/>
  <c r="P1175" i="1"/>
  <c r="Q1175" i="1"/>
  <c r="R1175" i="1"/>
  <c r="S1175" i="1"/>
  <c r="P1176" i="1"/>
  <c r="Q1176" i="1"/>
  <c r="R1176" i="1"/>
  <c r="S1176" i="1"/>
  <c r="P1177" i="1"/>
  <c r="Q1177" i="1"/>
  <c r="R1177" i="1"/>
  <c r="S1177" i="1"/>
  <c r="P1178" i="1"/>
  <c r="Q1178" i="1"/>
  <c r="R1178" i="1"/>
  <c r="S1178" i="1"/>
  <c r="P1179" i="1"/>
  <c r="Q1179" i="1"/>
  <c r="R1179" i="1"/>
  <c r="S1179" i="1"/>
  <c r="P1180" i="1"/>
  <c r="Q1180" i="1"/>
  <c r="R1180" i="1"/>
  <c r="S1180" i="1"/>
  <c r="P1181" i="1"/>
  <c r="Q1181" i="1"/>
  <c r="R1181" i="1"/>
  <c r="S1181" i="1"/>
  <c r="P1182" i="1"/>
  <c r="Q1182" i="1"/>
  <c r="R1182" i="1"/>
  <c r="S1182" i="1"/>
  <c r="P1183" i="1"/>
  <c r="Q1183" i="1"/>
  <c r="R1183" i="1"/>
  <c r="S1183" i="1"/>
  <c r="P1184" i="1"/>
  <c r="Q1184" i="1"/>
  <c r="R1184" i="1"/>
  <c r="S1184" i="1"/>
  <c r="P1185" i="1"/>
  <c r="Q1185" i="1"/>
  <c r="R1185" i="1"/>
  <c r="S1185" i="1"/>
  <c r="P1186" i="1"/>
  <c r="Q1186" i="1"/>
  <c r="R1186" i="1"/>
  <c r="S1186" i="1"/>
  <c r="P1187" i="1"/>
  <c r="Q1187" i="1"/>
  <c r="R1187" i="1"/>
  <c r="S1187" i="1"/>
  <c r="P1188" i="1"/>
  <c r="Q1188" i="1"/>
  <c r="R1188" i="1"/>
  <c r="S1188" i="1"/>
  <c r="P1189" i="1"/>
  <c r="Q1189" i="1"/>
  <c r="R1189" i="1"/>
  <c r="S1189" i="1"/>
  <c r="P1190" i="1"/>
  <c r="Q1190" i="1"/>
  <c r="R1190" i="1"/>
  <c r="S1190" i="1"/>
  <c r="P1191" i="1"/>
  <c r="Q1191" i="1"/>
  <c r="R1191" i="1"/>
  <c r="S1191" i="1"/>
  <c r="P1192" i="1"/>
  <c r="Q1192" i="1"/>
  <c r="R1192" i="1"/>
  <c r="S1192" i="1"/>
  <c r="P1193" i="1"/>
  <c r="Q1193" i="1"/>
  <c r="R1193" i="1"/>
  <c r="S1193" i="1"/>
  <c r="P1194" i="1"/>
  <c r="Q1194" i="1"/>
  <c r="R1194" i="1"/>
  <c r="S1194" i="1"/>
  <c r="P1195" i="1"/>
  <c r="Q1195" i="1"/>
  <c r="R1195" i="1"/>
  <c r="S1195" i="1"/>
  <c r="P1196" i="1"/>
  <c r="Q1196" i="1"/>
  <c r="R1196" i="1"/>
  <c r="S1196" i="1"/>
  <c r="P1197" i="1"/>
  <c r="Q1197" i="1"/>
  <c r="R1197" i="1"/>
  <c r="S1197" i="1"/>
  <c r="P1198" i="1"/>
  <c r="Q1198" i="1"/>
  <c r="R1198" i="1"/>
  <c r="S1198" i="1"/>
  <c r="P1199" i="1"/>
  <c r="Q1199" i="1"/>
  <c r="R1199" i="1"/>
  <c r="S1199" i="1"/>
  <c r="P1200" i="1"/>
  <c r="Q1200" i="1"/>
  <c r="R1200" i="1"/>
  <c r="S1200" i="1"/>
  <c r="P1201" i="1"/>
  <c r="Q1201" i="1"/>
  <c r="R1201" i="1"/>
  <c r="S1201" i="1"/>
  <c r="P1202" i="1"/>
  <c r="Q1202" i="1"/>
  <c r="R1202" i="1"/>
  <c r="S1202" i="1"/>
  <c r="P1203" i="1"/>
  <c r="Q1203" i="1"/>
  <c r="R1203" i="1"/>
  <c r="S1203" i="1"/>
  <c r="P1204" i="1"/>
  <c r="Q1204" i="1"/>
  <c r="R1204" i="1"/>
  <c r="S1204" i="1"/>
  <c r="P1205" i="1"/>
  <c r="Q1205" i="1"/>
  <c r="R1205" i="1"/>
  <c r="S1205" i="1"/>
  <c r="P1206" i="1"/>
  <c r="Q1206" i="1"/>
  <c r="R1206" i="1"/>
  <c r="S1206" i="1"/>
  <c r="P1207" i="1"/>
  <c r="Q1207" i="1"/>
  <c r="R1207" i="1"/>
  <c r="S1207" i="1"/>
  <c r="P1208" i="1"/>
  <c r="Q1208" i="1"/>
  <c r="R1208" i="1"/>
  <c r="S1208" i="1"/>
  <c r="P1209" i="1"/>
  <c r="Q1209" i="1"/>
  <c r="R1209" i="1"/>
  <c r="S1209" i="1"/>
  <c r="P1210" i="1"/>
  <c r="Q1210" i="1"/>
  <c r="R1210" i="1"/>
  <c r="S1210" i="1"/>
  <c r="P1211" i="1"/>
  <c r="Q1211" i="1"/>
  <c r="R1211" i="1"/>
  <c r="S1211" i="1"/>
  <c r="P1212" i="1"/>
  <c r="Q1212" i="1"/>
  <c r="R1212" i="1"/>
  <c r="S1212" i="1"/>
  <c r="P1213" i="1"/>
  <c r="Q1213" i="1"/>
  <c r="R1213" i="1"/>
  <c r="S1213" i="1"/>
  <c r="P1214" i="1"/>
  <c r="Q1214" i="1"/>
  <c r="R1214" i="1"/>
  <c r="S1214" i="1"/>
  <c r="P1215" i="1"/>
  <c r="Q1215" i="1"/>
  <c r="R1215" i="1"/>
  <c r="S1215" i="1"/>
  <c r="P1216" i="1"/>
  <c r="Q1216" i="1"/>
  <c r="R1216" i="1"/>
  <c r="S1216" i="1"/>
  <c r="P1217" i="1"/>
  <c r="Q1217" i="1"/>
  <c r="R1217" i="1"/>
  <c r="S1217" i="1"/>
  <c r="P1218" i="1"/>
  <c r="Q1218" i="1"/>
  <c r="R1218" i="1"/>
  <c r="S1218" i="1"/>
  <c r="P1219" i="1"/>
  <c r="Q1219" i="1"/>
  <c r="R1219" i="1"/>
  <c r="S1219" i="1"/>
  <c r="P1220" i="1"/>
  <c r="Q1220" i="1"/>
  <c r="R1220" i="1"/>
  <c r="S1220" i="1"/>
  <c r="P1221" i="1"/>
  <c r="Q1221" i="1"/>
  <c r="R1221" i="1"/>
  <c r="S1221" i="1"/>
  <c r="P1222" i="1"/>
  <c r="Q1222" i="1"/>
  <c r="R1222" i="1"/>
  <c r="S1222" i="1"/>
  <c r="P1223" i="1"/>
  <c r="Q1223" i="1"/>
  <c r="R1223" i="1"/>
  <c r="S1223" i="1"/>
  <c r="P1224" i="1"/>
  <c r="Q1224" i="1"/>
  <c r="R1224" i="1"/>
  <c r="S1224" i="1"/>
  <c r="P1225" i="1"/>
  <c r="Q1225" i="1"/>
  <c r="R1225" i="1"/>
  <c r="S1225" i="1"/>
  <c r="P1226" i="1"/>
  <c r="Q1226" i="1"/>
  <c r="R1226" i="1"/>
  <c r="S1226" i="1"/>
  <c r="P1227" i="1"/>
  <c r="Q1227" i="1"/>
  <c r="R1227" i="1"/>
  <c r="S1227" i="1"/>
  <c r="P1228" i="1"/>
  <c r="Q1228" i="1"/>
  <c r="R1228" i="1"/>
  <c r="S1228" i="1"/>
  <c r="P1229" i="1"/>
  <c r="Q1229" i="1"/>
  <c r="R1229" i="1"/>
  <c r="S1229" i="1"/>
  <c r="P1230" i="1"/>
  <c r="Q1230" i="1"/>
  <c r="R1230" i="1"/>
  <c r="S1230" i="1"/>
  <c r="P1231" i="1"/>
  <c r="Q1231" i="1"/>
  <c r="R1231" i="1"/>
  <c r="S1231" i="1"/>
  <c r="P1232" i="1"/>
  <c r="Q1232" i="1"/>
  <c r="R1232" i="1"/>
  <c r="S1232" i="1"/>
  <c r="P1233" i="1"/>
  <c r="Q1233" i="1"/>
  <c r="R1233" i="1"/>
  <c r="S1233" i="1"/>
  <c r="P1234" i="1"/>
  <c r="Q1234" i="1"/>
  <c r="R1234" i="1"/>
  <c r="S1234" i="1"/>
  <c r="P1235" i="1"/>
  <c r="Q1235" i="1"/>
  <c r="R1235" i="1"/>
  <c r="S1235" i="1"/>
  <c r="P1236" i="1"/>
  <c r="Q1236" i="1"/>
  <c r="R1236" i="1"/>
  <c r="S1236" i="1"/>
  <c r="P1237" i="1"/>
  <c r="Q1237" i="1"/>
  <c r="R1237" i="1"/>
  <c r="S1237" i="1"/>
  <c r="P1238" i="1"/>
  <c r="Q1238" i="1"/>
  <c r="R1238" i="1"/>
  <c r="S1238" i="1"/>
  <c r="P1239" i="1"/>
  <c r="Q1239" i="1"/>
  <c r="R1239" i="1"/>
  <c r="S1239" i="1"/>
  <c r="P1240" i="1"/>
  <c r="Q1240" i="1"/>
  <c r="R1240" i="1"/>
  <c r="S1240" i="1"/>
  <c r="P1241" i="1"/>
  <c r="Q1241" i="1"/>
  <c r="R1241" i="1"/>
  <c r="S1241" i="1"/>
  <c r="P1242" i="1"/>
  <c r="Q1242" i="1"/>
  <c r="R1242" i="1"/>
  <c r="S1242" i="1"/>
  <c r="P1243" i="1"/>
  <c r="Q1243" i="1"/>
  <c r="R1243" i="1"/>
  <c r="S1243" i="1"/>
  <c r="P1244" i="1"/>
  <c r="Q1244" i="1"/>
  <c r="R1244" i="1"/>
  <c r="S1244" i="1"/>
  <c r="P1245" i="1"/>
  <c r="Q1245" i="1"/>
  <c r="R1245" i="1"/>
  <c r="S1245" i="1"/>
  <c r="P1246" i="1"/>
  <c r="Q1246" i="1"/>
  <c r="R1246" i="1"/>
  <c r="S1246" i="1"/>
  <c r="P1247" i="1"/>
  <c r="Q1247" i="1"/>
  <c r="R1247" i="1"/>
  <c r="S1247" i="1"/>
  <c r="P1248" i="1"/>
  <c r="Q1248" i="1"/>
  <c r="R1248" i="1"/>
  <c r="S1248" i="1"/>
  <c r="P1249" i="1"/>
  <c r="Q1249" i="1"/>
  <c r="R1249" i="1"/>
  <c r="S1249" i="1"/>
  <c r="P1250" i="1"/>
  <c r="Q1250" i="1"/>
  <c r="R1250" i="1"/>
  <c r="S1250" i="1"/>
  <c r="P1251" i="1"/>
  <c r="Q1251" i="1"/>
  <c r="R1251" i="1"/>
  <c r="S1251" i="1"/>
  <c r="P1252" i="1"/>
  <c r="Q1252" i="1"/>
  <c r="R1252" i="1"/>
  <c r="S1252" i="1"/>
  <c r="P1253" i="1"/>
  <c r="Q1253" i="1"/>
  <c r="R1253" i="1"/>
  <c r="S1253" i="1"/>
  <c r="P1254" i="1"/>
  <c r="Q1254" i="1"/>
  <c r="R1254" i="1"/>
  <c r="S1254" i="1"/>
  <c r="P1255" i="1"/>
  <c r="Q1255" i="1"/>
  <c r="R1255" i="1"/>
  <c r="S1255" i="1"/>
  <c r="P1256" i="1"/>
  <c r="Q1256" i="1"/>
  <c r="R1256" i="1"/>
  <c r="S1256" i="1"/>
  <c r="P1257" i="1"/>
  <c r="Q1257" i="1"/>
  <c r="R1257" i="1"/>
  <c r="S1257" i="1"/>
  <c r="P1258" i="1"/>
  <c r="Q1258" i="1"/>
  <c r="R1258" i="1"/>
  <c r="S1258" i="1"/>
  <c r="P1259" i="1"/>
  <c r="Q1259" i="1"/>
  <c r="R1259" i="1"/>
  <c r="S1259" i="1"/>
  <c r="P1260" i="1"/>
  <c r="Q1260" i="1"/>
  <c r="R1260" i="1"/>
  <c r="S1260" i="1"/>
  <c r="P1261" i="1"/>
  <c r="Q1261" i="1"/>
  <c r="R1261" i="1"/>
  <c r="S1261" i="1"/>
  <c r="P1262" i="1"/>
  <c r="Q1262" i="1"/>
  <c r="R1262" i="1"/>
  <c r="S1262" i="1"/>
  <c r="P1263" i="1"/>
  <c r="Q1263" i="1"/>
  <c r="R1263" i="1"/>
  <c r="S1263" i="1"/>
  <c r="P1264" i="1"/>
  <c r="Q1264" i="1"/>
  <c r="R1264" i="1"/>
  <c r="S1264" i="1"/>
  <c r="P1265" i="1"/>
  <c r="Q1265" i="1"/>
  <c r="R1265" i="1"/>
  <c r="S1265" i="1"/>
  <c r="P1266" i="1"/>
  <c r="Q1266" i="1"/>
  <c r="R1266" i="1"/>
  <c r="S1266" i="1"/>
  <c r="P1267" i="1"/>
  <c r="Q1267" i="1"/>
  <c r="R1267" i="1"/>
  <c r="S1267" i="1"/>
  <c r="P1268" i="1"/>
  <c r="Q1268" i="1"/>
  <c r="R1268" i="1"/>
  <c r="S1268" i="1"/>
  <c r="P1269" i="1"/>
  <c r="Q1269" i="1"/>
  <c r="R1269" i="1"/>
  <c r="S1269" i="1"/>
  <c r="P1270" i="1"/>
  <c r="Q1270" i="1"/>
  <c r="R1270" i="1"/>
  <c r="S1270" i="1"/>
  <c r="P1271" i="1"/>
  <c r="Q1271" i="1"/>
  <c r="R1271" i="1"/>
  <c r="S1271" i="1"/>
  <c r="P1272" i="1"/>
  <c r="Q1272" i="1"/>
  <c r="R1272" i="1"/>
  <c r="S1272" i="1"/>
  <c r="P1273" i="1"/>
  <c r="Q1273" i="1"/>
  <c r="R1273" i="1"/>
  <c r="S1273" i="1"/>
  <c r="P1274" i="1"/>
  <c r="Q1274" i="1"/>
  <c r="R1274" i="1"/>
  <c r="S1274" i="1"/>
  <c r="P1275" i="1"/>
  <c r="Q1275" i="1"/>
  <c r="R1275" i="1"/>
  <c r="S1275" i="1"/>
  <c r="P1276" i="1"/>
  <c r="Q1276" i="1"/>
  <c r="R1276" i="1"/>
  <c r="S1276" i="1"/>
  <c r="P1277" i="1"/>
  <c r="Q1277" i="1"/>
  <c r="R1277" i="1"/>
  <c r="S1277" i="1"/>
  <c r="P1278" i="1"/>
  <c r="Q1278" i="1"/>
  <c r="R1278" i="1"/>
  <c r="S1278" i="1"/>
  <c r="P1279" i="1"/>
  <c r="Q1279" i="1"/>
  <c r="R1279" i="1"/>
  <c r="S1279" i="1"/>
  <c r="P1280" i="1"/>
  <c r="Q1280" i="1"/>
  <c r="R1280" i="1"/>
  <c r="S1280" i="1"/>
  <c r="P1281" i="1"/>
  <c r="Q1281" i="1"/>
  <c r="R1281" i="1"/>
  <c r="S1281" i="1"/>
  <c r="P1282" i="1"/>
  <c r="Q1282" i="1"/>
  <c r="R1282" i="1"/>
  <c r="S1282" i="1"/>
  <c r="P1283" i="1"/>
  <c r="Q1283" i="1"/>
  <c r="R1283" i="1"/>
  <c r="S1283" i="1"/>
  <c r="P1284" i="1"/>
  <c r="Q1284" i="1"/>
  <c r="R1284" i="1"/>
  <c r="S1284" i="1"/>
  <c r="P1285" i="1"/>
  <c r="Q1285" i="1"/>
  <c r="R1285" i="1"/>
  <c r="S1285" i="1"/>
  <c r="P1286" i="1"/>
  <c r="Q1286" i="1"/>
  <c r="R1286" i="1"/>
  <c r="S1286" i="1"/>
  <c r="P1287" i="1"/>
  <c r="Q1287" i="1"/>
  <c r="R1287" i="1"/>
  <c r="S1287" i="1"/>
  <c r="P1288" i="1"/>
  <c r="Q1288" i="1"/>
  <c r="R1288" i="1"/>
  <c r="S1288" i="1"/>
  <c r="P1289" i="1"/>
  <c r="Q1289" i="1"/>
  <c r="R1289" i="1"/>
  <c r="S1289" i="1"/>
  <c r="P1290" i="1"/>
  <c r="Q1290" i="1"/>
  <c r="R1290" i="1"/>
  <c r="S1290" i="1"/>
  <c r="P1291" i="1"/>
  <c r="Q1291" i="1"/>
  <c r="R1291" i="1"/>
  <c r="S1291" i="1"/>
  <c r="P1292" i="1"/>
  <c r="Q1292" i="1"/>
  <c r="R1292" i="1"/>
  <c r="S1292" i="1"/>
  <c r="P1293" i="1"/>
  <c r="Q1293" i="1"/>
  <c r="R1293" i="1"/>
  <c r="S1293" i="1"/>
  <c r="P1294" i="1"/>
  <c r="Q1294" i="1"/>
  <c r="R1294" i="1"/>
  <c r="S1294" i="1"/>
  <c r="P1295" i="1"/>
  <c r="Q1295" i="1"/>
  <c r="R1295" i="1"/>
  <c r="S1295" i="1"/>
  <c r="P1296" i="1"/>
  <c r="Q1296" i="1"/>
  <c r="R1296" i="1"/>
  <c r="S1296" i="1"/>
  <c r="P1297" i="1"/>
  <c r="Q1297" i="1"/>
  <c r="R1297" i="1"/>
  <c r="S1297" i="1"/>
  <c r="P1298" i="1"/>
  <c r="Q1298" i="1"/>
  <c r="R1298" i="1"/>
  <c r="S1298" i="1"/>
  <c r="P1299" i="1"/>
  <c r="Q1299" i="1"/>
  <c r="R1299" i="1"/>
  <c r="S1299" i="1"/>
  <c r="P1300" i="1"/>
  <c r="Q1300" i="1"/>
  <c r="R1300" i="1"/>
  <c r="S1300" i="1"/>
  <c r="P1301" i="1"/>
  <c r="Q1301" i="1"/>
  <c r="R1301" i="1"/>
  <c r="S1301" i="1"/>
  <c r="P1302" i="1"/>
  <c r="Q1302" i="1"/>
  <c r="R1302" i="1"/>
  <c r="S1302" i="1"/>
  <c r="P1303" i="1"/>
  <c r="Q1303" i="1"/>
  <c r="R1303" i="1"/>
  <c r="S1303" i="1"/>
  <c r="P1304" i="1"/>
  <c r="Q1304" i="1"/>
  <c r="R1304" i="1"/>
  <c r="S1304" i="1"/>
  <c r="P1305" i="1"/>
  <c r="Q1305" i="1"/>
  <c r="R1305" i="1"/>
  <c r="S1305" i="1"/>
  <c r="P1306" i="1"/>
  <c r="Q1306" i="1"/>
  <c r="R1306" i="1"/>
  <c r="S1306" i="1"/>
  <c r="P1307" i="1"/>
  <c r="Q1307" i="1"/>
  <c r="R1307" i="1"/>
  <c r="S1307" i="1"/>
  <c r="P1308" i="1"/>
  <c r="Q1308" i="1"/>
  <c r="R1308" i="1"/>
  <c r="S1308" i="1"/>
  <c r="P1309" i="1"/>
  <c r="Q1309" i="1"/>
  <c r="R1309" i="1"/>
  <c r="S1309" i="1"/>
  <c r="P1310" i="1"/>
  <c r="Q1310" i="1"/>
  <c r="R1310" i="1"/>
  <c r="S1310" i="1"/>
  <c r="P1311" i="1"/>
  <c r="Q1311" i="1"/>
  <c r="R1311" i="1"/>
  <c r="S1311" i="1"/>
  <c r="P1312" i="1"/>
  <c r="Q1312" i="1"/>
  <c r="R1312" i="1"/>
  <c r="S1312" i="1"/>
  <c r="P1313" i="1"/>
  <c r="Q1313" i="1"/>
  <c r="R1313" i="1"/>
  <c r="S1313" i="1"/>
  <c r="P1314" i="1"/>
  <c r="Q1314" i="1"/>
  <c r="R1314" i="1"/>
  <c r="S1314" i="1"/>
  <c r="P1315" i="1"/>
  <c r="Q1315" i="1"/>
  <c r="R1315" i="1"/>
  <c r="S1315" i="1"/>
  <c r="P1316" i="1"/>
  <c r="Q1316" i="1"/>
  <c r="R1316" i="1"/>
  <c r="S1316" i="1"/>
  <c r="P1317" i="1"/>
  <c r="Q1317" i="1"/>
  <c r="R1317" i="1"/>
  <c r="S1317" i="1"/>
  <c r="P1318" i="1"/>
  <c r="Q1318" i="1"/>
  <c r="R1318" i="1"/>
  <c r="S1318" i="1"/>
  <c r="P1319" i="1"/>
  <c r="Q1319" i="1"/>
  <c r="R1319" i="1"/>
  <c r="S1319" i="1"/>
  <c r="P1320" i="1"/>
  <c r="Q1320" i="1"/>
  <c r="R1320" i="1"/>
  <c r="S1320" i="1"/>
  <c r="P1321" i="1"/>
  <c r="Q1321" i="1"/>
  <c r="R1321" i="1"/>
  <c r="S1321" i="1"/>
  <c r="P1322" i="1"/>
  <c r="Q1322" i="1"/>
  <c r="R1322" i="1"/>
  <c r="S1322" i="1"/>
  <c r="P1323" i="1"/>
  <c r="Q1323" i="1"/>
  <c r="R1323" i="1"/>
  <c r="S1323" i="1"/>
  <c r="P1324" i="1"/>
  <c r="Q1324" i="1"/>
  <c r="R1324" i="1"/>
  <c r="S1324" i="1"/>
  <c r="P1325" i="1"/>
  <c r="Q1325" i="1"/>
  <c r="R1325" i="1"/>
  <c r="S1325" i="1"/>
  <c r="P1326" i="1"/>
  <c r="Q1326" i="1"/>
  <c r="R1326" i="1"/>
  <c r="S1326" i="1"/>
  <c r="P1327" i="1"/>
  <c r="Q1327" i="1"/>
  <c r="R1327" i="1"/>
  <c r="S1327" i="1"/>
  <c r="P1328" i="1"/>
  <c r="Q1328" i="1"/>
  <c r="R1328" i="1"/>
  <c r="S1328" i="1"/>
  <c r="P1329" i="1"/>
  <c r="Q1329" i="1"/>
  <c r="R1329" i="1"/>
  <c r="S1329" i="1"/>
  <c r="P1330" i="1"/>
  <c r="Q1330" i="1"/>
  <c r="R1330" i="1"/>
  <c r="S1330" i="1"/>
  <c r="P1331" i="1"/>
  <c r="Q1331" i="1"/>
  <c r="R1331" i="1"/>
  <c r="S1331" i="1"/>
  <c r="P1332" i="1"/>
  <c r="Q1332" i="1"/>
  <c r="R1332" i="1"/>
  <c r="S1332" i="1"/>
  <c r="P1333" i="1"/>
  <c r="Q1333" i="1"/>
  <c r="R1333" i="1"/>
  <c r="S1333" i="1"/>
  <c r="P1334" i="1"/>
  <c r="Q1334" i="1"/>
  <c r="R1334" i="1"/>
  <c r="S1334" i="1"/>
  <c r="P1335" i="1"/>
  <c r="Q1335" i="1"/>
  <c r="R1335" i="1"/>
  <c r="S1335" i="1"/>
  <c r="P1336" i="1"/>
  <c r="Q1336" i="1"/>
  <c r="R1336" i="1"/>
  <c r="S1336" i="1"/>
  <c r="P1337" i="1"/>
  <c r="Q1337" i="1"/>
  <c r="R1337" i="1"/>
  <c r="S1337" i="1"/>
  <c r="P1338" i="1"/>
  <c r="Q1338" i="1"/>
  <c r="R1338" i="1"/>
  <c r="S1338" i="1"/>
  <c r="P1339" i="1"/>
  <c r="Q1339" i="1"/>
  <c r="R1339" i="1"/>
  <c r="S1339" i="1"/>
  <c r="P1340" i="1"/>
  <c r="Q1340" i="1"/>
  <c r="R1340" i="1"/>
  <c r="S1340" i="1"/>
  <c r="P1341" i="1"/>
  <c r="Q1341" i="1"/>
  <c r="R1341" i="1"/>
  <c r="S1341" i="1"/>
  <c r="P1342" i="1"/>
  <c r="Q1342" i="1"/>
  <c r="R1342" i="1"/>
  <c r="S1342" i="1"/>
  <c r="P1343" i="1"/>
  <c r="Q1343" i="1"/>
  <c r="R1343" i="1"/>
  <c r="S1343" i="1"/>
  <c r="P1344" i="1"/>
  <c r="Q1344" i="1"/>
  <c r="R1344" i="1"/>
  <c r="S1344" i="1"/>
  <c r="P1345" i="1"/>
  <c r="Q1345" i="1"/>
  <c r="R1345" i="1"/>
  <c r="S1345" i="1"/>
  <c r="P1346" i="1"/>
  <c r="Q1346" i="1"/>
  <c r="R1346" i="1"/>
  <c r="S1346" i="1"/>
  <c r="P1347" i="1"/>
  <c r="Q1347" i="1"/>
  <c r="R1347" i="1"/>
  <c r="S1347" i="1"/>
  <c r="P1348" i="1"/>
  <c r="Q1348" i="1"/>
  <c r="R1348" i="1"/>
  <c r="S1348" i="1"/>
  <c r="P1349" i="1"/>
  <c r="Q1349" i="1"/>
  <c r="R1349" i="1"/>
  <c r="S1349" i="1"/>
  <c r="P1350" i="1"/>
  <c r="Q1350" i="1"/>
  <c r="R1350" i="1"/>
  <c r="S1350" i="1"/>
  <c r="P1351" i="1"/>
  <c r="Q1351" i="1"/>
  <c r="R1351" i="1"/>
  <c r="S1351" i="1"/>
  <c r="P1352" i="1"/>
  <c r="Q1352" i="1"/>
  <c r="R1352" i="1"/>
  <c r="S1352" i="1"/>
  <c r="P1353" i="1"/>
  <c r="Q1353" i="1"/>
  <c r="R1353" i="1"/>
  <c r="S1353" i="1"/>
  <c r="P1354" i="1"/>
  <c r="Q1354" i="1"/>
  <c r="R1354" i="1"/>
  <c r="S1354" i="1"/>
  <c r="P1355" i="1"/>
  <c r="Q1355" i="1"/>
  <c r="R1355" i="1"/>
  <c r="S1355" i="1"/>
  <c r="P1356" i="1"/>
  <c r="Q1356" i="1"/>
  <c r="R1356" i="1"/>
  <c r="S1356" i="1"/>
  <c r="P1357" i="1"/>
  <c r="Q1357" i="1"/>
  <c r="R1357" i="1"/>
  <c r="S1357" i="1"/>
  <c r="P1358" i="1"/>
  <c r="Q1358" i="1"/>
  <c r="R1358" i="1"/>
  <c r="S1358" i="1"/>
  <c r="P1359" i="1"/>
  <c r="Q1359" i="1"/>
  <c r="R1359" i="1"/>
  <c r="S1359" i="1"/>
  <c r="P1360" i="1"/>
  <c r="Q1360" i="1"/>
  <c r="R1360" i="1"/>
  <c r="S1360" i="1"/>
  <c r="P1361" i="1"/>
  <c r="Q1361" i="1"/>
  <c r="R1361" i="1"/>
  <c r="S1361" i="1"/>
  <c r="P1362" i="1"/>
  <c r="Q1362" i="1"/>
  <c r="R1362" i="1"/>
  <c r="S1362" i="1"/>
  <c r="P1363" i="1"/>
  <c r="Q1363" i="1"/>
  <c r="R1363" i="1"/>
  <c r="S1363" i="1"/>
  <c r="P1364" i="1"/>
  <c r="Q1364" i="1"/>
  <c r="R1364" i="1"/>
  <c r="S1364" i="1"/>
  <c r="P1365" i="1"/>
  <c r="Q1365" i="1"/>
  <c r="R1365" i="1"/>
  <c r="S1365" i="1"/>
  <c r="P1366" i="1"/>
  <c r="Q1366" i="1"/>
  <c r="R1366" i="1"/>
  <c r="S1366" i="1"/>
  <c r="P1367" i="1"/>
  <c r="Q1367" i="1"/>
  <c r="R1367" i="1"/>
  <c r="S1367" i="1"/>
  <c r="P1368" i="1"/>
  <c r="Q1368" i="1"/>
  <c r="R1368" i="1"/>
  <c r="S1368" i="1"/>
  <c r="P1369" i="1"/>
  <c r="Q1369" i="1"/>
  <c r="R1369" i="1"/>
  <c r="S1369" i="1"/>
  <c r="P1370" i="1"/>
  <c r="Q1370" i="1"/>
  <c r="R1370" i="1"/>
  <c r="S1370" i="1"/>
  <c r="P1371" i="1"/>
  <c r="Q1371" i="1"/>
  <c r="R1371" i="1"/>
  <c r="S1371" i="1"/>
  <c r="P1372" i="1"/>
  <c r="Q1372" i="1"/>
  <c r="R1372" i="1"/>
  <c r="S1372" i="1"/>
  <c r="P1373" i="1"/>
  <c r="Q1373" i="1"/>
  <c r="R1373" i="1"/>
  <c r="S1373" i="1"/>
  <c r="P1374" i="1"/>
  <c r="Q1374" i="1"/>
  <c r="R1374" i="1"/>
  <c r="S1374" i="1"/>
  <c r="P1375" i="1"/>
  <c r="Q1375" i="1"/>
  <c r="R1375" i="1"/>
  <c r="S1375" i="1"/>
  <c r="P1376" i="1"/>
  <c r="Q1376" i="1"/>
  <c r="R1376" i="1"/>
  <c r="S1376" i="1"/>
  <c r="P1377" i="1"/>
  <c r="Q1377" i="1"/>
  <c r="R1377" i="1"/>
  <c r="S1377" i="1"/>
  <c r="P1378" i="1"/>
  <c r="Q1378" i="1"/>
  <c r="R1378" i="1"/>
  <c r="S1378" i="1"/>
  <c r="P1379" i="1"/>
  <c r="Q1379" i="1"/>
  <c r="R1379" i="1"/>
  <c r="S1379" i="1"/>
  <c r="P1380" i="1"/>
  <c r="Q1380" i="1"/>
  <c r="R1380" i="1"/>
  <c r="S1380" i="1"/>
  <c r="P1381" i="1"/>
  <c r="Q1381" i="1"/>
  <c r="R1381" i="1"/>
  <c r="S1381" i="1"/>
  <c r="P1382" i="1"/>
  <c r="Q1382" i="1"/>
  <c r="R1382" i="1"/>
  <c r="S1382" i="1"/>
  <c r="P1383" i="1"/>
  <c r="Q1383" i="1"/>
  <c r="R1383" i="1"/>
  <c r="S1383" i="1"/>
  <c r="P1384" i="1"/>
  <c r="Q1384" i="1"/>
  <c r="R1384" i="1"/>
  <c r="S1384" i="1"/>
  <c r="P1385" i="1"/>
  <c r="Q1385" i="1"/>
  <c r="R1385" i="1"/>
  <c r="S1385" i="1"/>
  <c r="P1386" i="1"/>
  <c r="Q1386" i="1"/>
  <c r="R1386" i="1"/>
  <c r="S1386" i="1"/>
  <c r="P1387" i="1"/>
  <c r="Q1387" i="1"/>
  <c r="R1387" i="1"/>
  <c r="S1387" i="1"/>
  <c r="P1388" i="1"/>
  <c r="Q1388" i="1"/>
  <c r="R1388" i="1"/>
  <c r="S1388" i="1"/>
  <c r="P1389" i="1"/>
  <c r="Q1389" i="1"/>
  <c r="R1389" i="1"/>
  <c r="S1389" i="1"/>
  <c r="P1390" i="1"/>
  <c r="Q1390" i="1"/>
  <c r="R1390" i="1"/>
  <c r="S1390" i="1"/>
  <c r="P1391" i="1"/>
  <c r="Q1391" i="1"/>
  <c r="R1391" i="1"/>
  <c r="S1391" i="1"/>
  <c r="P1392" i="1"/>
  <c r="Q1392" i="1"/>
  <c r="R1392" i="1"/>
  <c r="S1392" i="1"/>
  <c r="P1393" i="1"/>
  <c r="Q1393" i="1"/>
  <c r="R1393" i="1"/>
  <c r="S1393" i="1"/>
  <c r="P1394" i="1"/>
  <c r="Q1394" i="1"/>
  <c r="R1394" i="1"/>
  <c r="S1394" i="1"/>
  <c r="P1395" i="1"/>
  <c r="Q1395" i="1"/>
  <c r="R1395" i="1"/>
  <c r="S1395" i="1"/>
  <c r="P1396" i="1"/>
  <c r="Q1396" i="1"/>
  <c r="R1396" i="1"/>
  <c r="S1396" i="1"/>
  <c r="P1397" i="1"/>
  <c r="Q1397" i="1"/>
  <c r="R1397" i="1"/>
  <c r="S1397" i="1"/>
  <c r="P1398" i="1"/>
  <c r="Q1398" i="1"/>
  <c r="R1398" i="1"/>
  <c r="S1398" i="1"/>
  <c r="P1399" i="1"/>
  <c r="Q1399" i="1"/>
  <c r="R1399" i="1"/>
  <c r="S1399" i="1"/>
  <c r="P1400" i="1"/>
  <c r="Q1400" i="1"/>
  <c r="R1400" i="1"/>
  <c r="S1400" i="1"/>
  <c r="P1401" i="1"/>
  <c r="Q1401" i="1"/>
  <c r="R1401" i="1"/>
  <c r="S1401" i="1"/>
  <c r="P1402" i="1"/>
  <c r="Q1402" i="1"/>
  <c r="R1402" i="1"/>
  <c r="S1402" i="1"/>
  <c r="P1403" i="1"/>
  <c r="Q1403" i="1"/>
  <c r="R1403" i="1"/>
  <c r="S1403" i="1"/>
  <c r="P1404" i="1"/>
  <c r="Q1404" i="1"/>
  <c r="R1404" i="1"/>
  <c r="S1404" i="1"/>
  <c r="P1405" i="1"/>
  <c r="Q1405" i="1"/>
  <c r="R1405" i="1"/>
  <c r="S1405" i="1"/>
  <c r="P1406" i="1"/>
  <c r="Q1406" i="1"/>
  <c r="R1406" i="1"/>
  <c r="S1406" i="1"/>
  <c r="P1407" i="1"/>
  <c r="Q1407" i="1"/>
  <c r="R1407" i="1"/>
  <c r="S1407" i="1"/>
  <c r="P1408" i="1"/>
  <c r="Q1408" i="1"/>
  <c r="R1408" i="1"/>
  <c r="S1408" i="1"/>
  <c r="P1409" i="1"/>
  <c r="Q1409" i="1"/>
  <c r="R1409" i="1"/>
  <c r="S1409" i="1"/>
  <c r="P1410" i="1"/>
  <c r="Q1410" i="1"/>
  <c r="R1410" i="1"/>
  <c r="S1410" i="1"/>
  <c r="P1411" i="1"/>
  <c r="Q1411" i="1"/>
  <c r="R1411" i="1"/>
  <c r="S1411" i="1"/>
  <c r="P1412" i="1"/>
  <c r="Q1412" i="1"/>
  <c r="R1412" i="1"/>
  <c r="S1412" i="1"/>
  <c r="P1413" i="1"/>
  <c r="Q1413" i="1"/>
  <c r="R1413" i="1"/>
  <c r="S1413" i="1"/>
  <c r="P1414" i="1"/>
  <c r="Q1414" i="1"/>
  <c r="R1414" i="1"/>
  <c r="S1414" i="1"/>
  <c r="P1415" i="1"/>
  <c r="Q1415" i="1"/>
  <c r="R1415" i="1"/>
  <c r="S1415" i="1"/>
  <c r="P1416" i="1"/>
  <c r="Q1416" i="1"/>
  <c r="R1416" i="1"/>
  <c r="S1416" i="1"/>
  <c r="P1417" i="1"/>
  <c r="Q1417" i="1"/>
  <c r="R1417" i="1"/>
  <c r="S1417" i="1"/>
  <c r="P1418" i="1"/>
  <c r="Q1418" i="1"/>
  <c r="R1418" i="1"/>
  <c r="S1418" i="1"/>
  <c r="P1419" i="1"/>
  <c r="Q1419" i="1"/>
  <c r="R1419" i="1"/>
  <c r="S1419" i="1"/>
  <c r="P1420" i="1"/>
  <c r="Q1420" i="1"/>
  <c r="R1420" i="1"/>
  <c r="S1420" i="1"/>
  <c r="P1421" i="1"/>
  <c r="Q1421" i="1"/>
  <c r="R1421" i="1"/>
  <c r="S1421" i="1"/>
  <c r="P1422" i="1"/>
  <c r="Q1422" i="1"/>
  <c r="R1422" i="1"/>
  <c r="S1422" i="1"/>
  <c r="P1423" i="1"/>
  <c r="Q1423" i="1"/>
  <c r="R1423" i="1"/>
  <c r="S1423" i="1"/>
  <c r="P1424" i="1"/>
  <c r="Q1424" i="1"/>
  <c r="R1424" i="1"/>
  <c r="S1424" i="1"/>
  <c r="P1425" i="1"/>
  <c r="Q1425" i="1"/>
  <c r="R1425" i="1"/>
  <c r="S1425" i="1"/>
  <c r="P1426" i="1"/>
  <c r="Q1426" i="1"/>
  <c r="R1426" i="1"/>
  <c r="S1426" i="1"/>
  <c r="P1427" i="1"/>
  <c r="Q1427" i="1"/>
  <c r="R1427" i="1"/>
  <c r="S1427" i="1"/>
  <c r="P1428" i="1"/>
  <c r="Q1428" i="1"/>
  <c r="R1428" i="1"/>
  <c r="S1428" i="1"/>
  <c r="P1429" i="1"/>
  <c r="Q1429" i="1"/>
  <c r="R1429" i="1"/>
  <c r="S1429" i="1"/>
  <c r="P1430" i="1"/>
  <c r="Q1430" i="1"/>
  <c r="R1430" i="1"/>
  <c r="S1430" i="1"/>
  <c r="P1431" i="1"/>
  <c r="Q1431" i="1"/>
  <c r="R1431" i="1"/>
  <c r="S1431" i="1"/>
  <c r="P1432" i="1"/>
  <c r="Q1432" i="1"/>
  <c r="R1432" i="1"/>
  <c r="S1432" i="1"/>
  <c r="P1433" i="1"/>
  <c r="Q1433" i="1"/>
  <c r="R1433" i="1"/>
  <c r="S1433" i="1"/>
  <c r="P1434" i="1"/>
  <c r="Q1434" i="1"/>
  <c r="R1434" i="1"/>
  <c r="S1434" i="1"/>
  <c r="P1435" i="1"/>
  <c r="Q1435" i="1"/>
  <c r="R1435" i="1"/>
  <c r="S1435" i="1"/>
  <c r="P1436" i="1"/>
  <c r="Q1436" i="1"/>
  <c r="R1436" i="1"/>
  <c r="S1436" i="1"/>
  <c r="P1437" i="1"/>
  <c r="Q1437" i="1"/>
  <c r="R1437" i="1"/>
  <c r="S1437" i="1"/>
  <c r="P1438" i="1"/>
  <c r="Q1438" i="1"/>
  <c r="R1438" i="1"/>
  <c r="S1438" i="1"/>
  <c r="P1439" i="1"/>
  <c r="Q1439" i="1"/>
  <c r="R1439" i="1"/>
  <c r="S1439" i="1"/>
  <c r="P1440" i="1"/>
  <c r="Q1440" i="1"/>
  <c r="R1440" i="1"/>
  <c r="S1440" i="1"/>
  <c r="P1441" i="1"/>
  <c r="Q1441" i="1"/>
  <c r="R1441" i="1"/>
  <c r="S1441" i="1"/>
  <c r="P1442" i="1"/>
  <c r="Q1442" i="1"/>
  <c r="R1442" i="1"/>
  <c r="S1442" i="1"/>
  <c r="P1443" i="1"/>
  <c r="Q1443" i="1"/>
  <c r="R1443" i="1"/>
  <c r="S1443" i="1"/>
  <c r="P1444" i="1"/>
  <c r="Q1444" i="1"/>
  <c r="R1444" i="1"/>
  <c r="S1444" i="1"/>
  <c r="P1445" i="1"/>
  <c r="Q1445" i="1"/>
  <c r="R1445" i="1"/>
  <c r="S1445" i="1"/>
  <c r="P1446" i="1"/>
  <c r="Q1446" i="1"/>
  <c r="R1446" i="1"/>
  <c r="S1446" i="1"/>
  <c r="P1447" i="1"/>
  <c r="Q1447" i="1"/>
  <c r="R1447" i="1"/>
  <c r="S1447" i="1"/>
  <c r="P1448" i="1"/>
  <c r="Q1448" i="1"/>
  <c r="R1448" i="1"/>
  <c r="S1448" i="1"/>
  <c r="P1449" i="1"/>
  <c r="Q1449" i="1"/>
  <c r="R1449" i="1"/>
  <c r="S1449" i="1"/>
  <c r="P1450" i="1"/>
  <c r="Q1450" i="1"/>
  <c r="R1450" i="1"/>
  <c r="S1450" i="1"/>
  <c r="P1451" i="1"/>
  <c r="Q1451" i="1"/>
  <c r="R1451" i="1"/>
  <c r="S1451" i="1"/>
  <c r="P1452" i="1"/>
  <c r="Q1452" i="1"/>
  <c r="R1452" i="1"/>
  <c r="S1452" i="1"/>
  <c r="P1453" i="1"/>
  <c r="Q1453" i="1"/>
  <c r="R1453" i="1"/>
  <c r="S1453" i="1"/>
  <c r="P1454" i="1"/>
  <c r="Q1454" i="1"/>
  <c r="R1454" i="1"/>
  <c r="S1454" i="1"/>
  <c r="P1455" i="1"/>
  <c r="Q1455" i="1"/>
  <c r="R1455" i="1"/>
  <c r="S1455" i="1"/>
  <c r="P1456" i="1"/>
  <c r="Q1456" i="1"/>
  <c r="R1456" i="1"/>
  <c r="S1456" i="1"/>
  <c r="P1457" i="1"/>
  <c r="Q1457" i="1"/>
  <c r="R1457" i="1"/>
  <c r="S1457" i="1"/>
  <c r="P1458" i="1"/>
  <c r="Q1458" i="1"/>
  <c r="R1458" i="1"/>
  <c r="S1458" i="1"/>
  <c r="P1459" i="1"/>
  <c r="Q1459" i="1"/>
  <c r="R1459" i="1"/>
  <c r="S1459" i="1"/>
  <c r="P1460" i="1"/>
  <c r="Q1460" i="1"/>
  <c r="R1460" i="1"/>
  <c r="S1460" i="1"/>
  <c r="P1461" i="1"/>
  <c r="Q1461" i="1"/>
  <c r="R1461" i="1"/>
  <c r="S1461" i="1"/>
  <c r="P1462" i="1"/>
  <c r="Q1462" i="1"/>
  <c r="R1462" i="1"/>
  <c r="S1462" i="1"/>
  <c r="P1463" i="1"/>
  <c r="Q1463" i="1"/>
  <c r="R1463" i="1"/>
  <c r="S1463" i="1"/>
  <c r="P1464" i="1"/>
  <c r="Q1464" i="1"/>
  <c r="R1464" i="1"/>
  <c r="S1464" i="1"/>
  <c r="P1465" i="1"/>
  <c r="Q1465" i="1"/>
  <c r="R1465" i="1"/>
  <c r="S1465" i="1"/>
  <c r="P1466" i="1"/>
  <c r="Q1466" i="1"/>
  <c r="R1466" i="1"/>
  <c r="S1466" i="1"/>
  <c r="P1467" i="1"/>
  <c r="Q1467" i="1"/>
  <c r="R1467" i="1"/>
  <c r="S1467" i="1"/>
  <c r="P1468" i="1"/>
  <c r="Q1468" i="1"/>
  <c r="R1468" i="1"/>
  <c r="S1468" i="1"/>
  <c r="P1469" i="1"/>
  <c r="Q1469" i="1"/>
  <c r="R1469" i="1"/>
  <c r="S1469" i="1"/>
  <c r="P1470" i="1"/>
  <c r="Q1470" i="1"/>
  <c r="R1470" i="1"/>
  <c r="S1470" i="1"/>
  <c r="P1471" i="1"/>
  <c r="Q1471" i="1"/>
  <c r="R1471" i="1"/>
  <c r="S1471" i="1"/>
  <c r="P1472" i="1"/>
  <c r="Q1472" i="1"/>
  <c r="R1472" i="1"/>
  <c r="S1472" i="1"/>
  <c r="P1473" i="1"/>
  <c r="Q1473" i="1"/>
  <c r="R1473" i="1"/>
  <c r="S1473" i="1"/>
  <c r="P1474" i="1"/>
  <c r="Q1474" i="1"/>
  <c r="R1474" i="1"/>
  <c r="S1474" i="1"/>
  <c r="P1475" i="1"/>
  <c r="Q1475" i="1"/>
  <c r="R1475" i="1"/>
  <c r="S1475" i="1"/>
  <c r="P1476" i="1"/>
  <c r="Q1476" i="1"/>
  <c r="R1476" i="1"/>
  <c r="S1476" i="1"/>
  <c r="P1477" i="1"/>
  <c r="Q1477" i="1"/>
  <c r="R1477" i="1"/>
  <c r="S1477" i="1"/>
  <c r="P1478" i="1"/>
  <c r="Q1478" i="1"/>
  <c r="R1478" i="1"/>
  <c r="S1478" i="1"/>
  <c r="P1479" i="1"/>
  <c r="Q1479" i="1"/>
  <c r="R1479" i="1"/>
  <c r="S1479" i="1"/>
  <c r="P1480" i="1"/>
  <c r="Q1480" i="1"/>
  <c r="R1480" i="1"/>
  <c r="S1480" i="1"/>
  <c r="P1481" i="1"/>
  <c r="Q1481" i="1"/>
  <c r="R1481" i="1"/>
  <c r="S1481" i="1"/>
  <c r="P1482" i="1"/>
  <c r="Q1482" i="1"/>
  <c r="R1482" i="1"/>
  <c r="S1482" i="1"/>
  <c r="P1483" i="1"/>
  <c r="Q1483" i="1"/>
  <c r="R1483" i="1"/>
  <c r="S1483" i="1"/>
  <c r="P1484" i="1"/>
  <c r="Q1484" i="1"/>
  <c r="R1484" i="1"/>
  <c r="S1484" i="1"/>
  <c r="P1485" i="1"/>
  <c r="Q1485" i="1"/>
  <c r="R1485" i="1"/>
  <c r="S1485" i="1"/>
  <c r="P1486" i="1"/>
  <c r="Q1486" i="1"/>
  <c r="R1486" i="1"/>
  <c r="S1486" i="1"/>
  <c r="P1487" i="1"/>
  <c r="Q1487" i="1"/>
  <c r="R1487" i="1"/>
  <c r="S1487" i="1"/>
  <c r="P1488" i="1"/>
  <c r="Q1488" i="1"/>
  <c r="R1488" i="1"/>
  <c r="S1488" i="1"/>
  <c r="P1489" i="1"/>
  <c r="Q1489" i="1"/>
  <c r="R1489" i="1"/>
  <c r="S1489" i="1"/>
  <c r="P1490" i="1"/>
  <c r="Q1490" i="1"/>
  <c r="R1490" i="1"/>
  <c r="S1490" i="1"/>
  <c r="P1491" i="1"/>
  <c r="Q1491" i="1"/>
  <c r="R1491" i="1"/>
  <c r="S1491" i="1"/>
  <c r="P1492" i="1"/>
  <c r="Q1492" i="1"/>
  <c r="R1492" i="1"/>
  <c r="S1492" i="1"/>
  <c r="P1493" i="1"/>
  <c r="Q1493" i="1"/>
  <c r="R1493" i="1"/>
  <c r="S1493" i="1"/>
  <c r="P1494" i="1"/>
  <c r="Q1494" i="1"/>
  <c r="R1494" i="1"/>
  <c r="S1494" i="1"/>
  <c r="P1495" i="1"/>
  <c r="Q1495" i="1"/>
  <c r="R1495" i="1"/>
  <c r="S1495" i="1"/>
  <c r="P1496" i="1"/>
  <c r="Q1496" i="1"/>
  <c r="R1496" i="1"/>
  <c r="S1496" i="1"/>
  <c r="P1497" i="1"/>
  <c r="Q1497" i="1"/>
  <c r="R1497" i="1"/>
  <c r="S1497" i="1"/>
  <c r="P1498" i="1"/>
  <c r="Q1498" i="1"/>
  <c r="R1498" i="1"/>
  <c r="S1498" i="1"/>
  <c r="P1499" i="1"/>
  <c r="Q1499" i="1"/>
  <c r="R1499" i="1"/>
  <c r="S1499" i="1"/>
  <c r="P1500" i="1"/>
  <c r="Q1500" i="1"/>
  <c r="R1500" i="1"/>
  <c r="S1500" i="1"/>
  <c r="P1501" i="1"/>
  <c r="Q1501" i="1"/>
  <c r="R1501" i="1"/>
  <c r="S1501" i="1"/>
  <c r="P1502" i="1"/>
  <c r="Q1502" i="1"/>
  <c r="R1502" i="1"/>
  <c r="S1502" i="1"/>
  <c r="P1503" i="1"/>
  <c r="Q1503" i="1"/>
  <c r="R1503" i="1"/>
  <c r="S1503" i="1"/>
  <c r="P1504" i="1"/>
  <c r="Q1504" i="1"/>
  <c r="R1504" i="1"/>
  <c r="S1504" i="1"/>
  <c r="P1505" i="1"/>
  <c r="Q1505" i="1"/>
  <c r="R1505" i="1"/>
  <c r="S1505" i="1"/>
  <c r="P1506" i="1"/>
  <c r="Q1506" i="1"/>
  <c r="R1506" i="1"/>
  <c r="S1506" i="1"/>
  <c r="P1507" i="1"/>
  <c r="Q1507" i="1"/>
  <c r="R1507" i="1"/>
  <c r="S1507" i="1"/>
  <c r="P1508" i="1"/>
  <c r="Q1508" i="1"/>
  <c r="R1508" i="1"/>
  <c r="S1508" i="1"/>
  <c r="P1509" i="1"/>
  <c r="Q1509" i="1"/>
  <c r="R1509" i="1"/>
  <c r="S1509" i="1"/>
  <c r="P1510" i="1"/>
  <c r="Q1510" i="1"/>
  <c r="R1510" i="1"/>
  <c r="S1510" i="1"/>
  <c r="P1511" i="1"/>
  <c r="Q1511" i="1"/>
  <c r="R1511" i="1"/>
  <c r="S1511" i="1"/>
  <c r="P1512" i="1"/>
  <c r="Q1512" i="1"/>
  <c r="R1512" i="1"/>
  <c r="S1512" i="1"/>
  <c r="P1513" i="1"/>
  <c r="Q1513" i="1"/>
  <c r="R1513" i="1"/>
  <c r="S1513" i="1"/>
  <c r="P1514" i="1"/>
  <c r="Q1514" i="1"/>
  <c r="R1514" i="1"/>
  <c r="S1514" i="1"/>
  <c r="P1515" i="1"/>
  <c r="Q1515" i="1"/>
  <c r="R1515" i="1"/>
  <c r="S1515" i="1"/>
  <c r="P1516" i="1"/>
  <c r="Q1516" i="1"/>
  <c r="R1516" i="1"/>
  <c r="S1516" i="1"/>
  <c r="P1517" i="1"/>
  <c r="Q1517" i="1"/>
  <c r="R1517" i="1"/>
  <c r="S1517" i="1"/>
  <c r="P1518" i="1"/>
  <c r="Q1518" i="1"/>
  <c r="R1518" i="1"/>
  <c r="S1518" i="1"/>
  <c r="P1519" i="1"/>
  <c r="Q1519" i="1"/>
  <c r="R1519" i="1"/>
  <c r="S1519" i="1"/>
  <c r="P1520" i="1"/>
  <c r="Q1520" i="1"/>
  <c r="R1520" i="1"/>
  <c r="S1520" i="1"/>
  <c r="P1521" i="1"/>
  <c r="Q1521" i="1"/>
  <c r="R1521" i="1"/>
  <c r="S1521" i="1"/>
  <c r="P1522" i="1"/>
  <c r="Q1522" i="1"/>
  <c r="R1522" i="1"/>
  <c r="S1522" i="1"/>
  <c r="P1523" i="1"/>
  <c r="Q1523" i="1"/>
  <c r="R1523" i="1"/>
  <c r="S1523" i="1"/>
  <c r="P1524" i="1"/>
  <c r="Q1524" i="1"/>
  <c r="R1524" i="1"/>
  <c r="S1524" i="1"/>
  <c r="P1525" i="1"/>
  <c r="Q1525" i="1"/>
  <c r="R1525" i="1"/>
  <c r="S1525" i="1"/>
  <c r="P1526" i="1"/>
  <c r="Q1526" i="1"/>
  <c r="R1526" i="1"/>
  <c r="S1526" i="1"/>
  <c r="P1527" i="1"/>
  <c r="Q1527" i="1"/>
  <c r="R1527" i="1"/>
  <c r="S1527" i="1"/>
  <c r="P1528" i="1"/>
  <c r="Q1528" i="1"/>
  <c r="R1528" i="1"/>
  <c r="S1528" i="1"/>
  <c r="P1529" i="1"/>
  <c r="Q1529" i="1"/>
  <c r="R1529" i="1"/>
  <c r="S1529" i="1"/>
  <c r="P1530" i="1"/>
  <c r="Q1530" i="1"/>
  <c r="R1530" i="1"/>
  <c r="S1530" i="1"/>
  <c r="P1531" i="1"/>
  <c r="Q1531" i="1"/>
  <c r="R1531" i="1"/>
  <c r="S1531" i="1"/>
  <c r="P1532" i="1"/>
  <c r="Q1532" i="1"/>
  <c r="R1532" i="1"/>
  <c r="S1532" i="1"/>
  <c r="P1533" i="1"/>
  <c r="Q1533" i="1"/>
  <c r="R1533" i="1"/>
  <c r="S1533" i="1"/>
  <c r="P1534" i="1"/>
  <c r="Q1534" i="1"/>
  <c r="R1534" i="1"/>
  <c r="S1534" i="1"/>
  <c r="P1535" i="1"/>
  <c r="Q1535" i="1"/>
  <c r="R1535" i="1"/>
  <c r="S1535" i="1"/>
  <c r="P1536" i="1"/>
  <c r="Q1536" i="1"/>
  <c r="R1536" i="1"/>
  <c r="S1536" i="1"/>
  <c r="P1537" i="1"/>
  <c r="Q1537" i="1"/>
  <c r="R1537" i="1"/>
  <c r="S1537" i="1"/>
  <c r="P1538" i="1"/>
  <c r="Q1538" i="1"/>
  <c r="R1538" i="1"/>
  <c r="S1538" i="1"/>
  <c r="P1539" i="1"/>
  <c r="Q1539" i="1"/>
  <c r="R1539" i="1"/>
  <c r="S1539" i="1"/>
  <c r="P1540" i="1"/>
  <c r="Q1540" i="1"/>
  <c r="R1540" i="1"/>
  <c r="S1540" i="1"/>
  <c r="P1541" i="1"/>
  <c r="Q1541" i="1"/>
  <c r="R1541" i="1"/>
  <c r="S1541" i="1"/>
  <c r="P1542" i="1"/>
  <c r="Q1542" i="1"/>
  <c r="R1542" i="1"/>
  <c r="S1542" i="1"/>
  <c r="P1543" i="1"/>
  <c r="Q1543" i="1"/>
  <c r="R1543" i="1"/>
  <c r="S1543" i="1"/>
  <c r="P1544" i="1"/>
  <c r="Q1544" i="1"/>
  <c r="R1544" i="1"/>
  <c r="S1544" i="1"/>
  <c r="P1545" i="1"/>
  <c r="Q1545" i="1"/>
  <c r="R1545" i="1"/>
  <c r="S1545" i="1"/>
  <c r="P1546" i="1"/>
  <c r="Q1546" i="1"/>
  <c r="R1546" i="1"/>
  <c r="S1546" i="1"/>
  <c r="P1547" i="1"/>
  <c r="Q1547" i="1"/>
  <c r="R1547" i="1"/>
  <c r="S1547" i="1"/>
  <c r="P1548" i="1"/>
  <c r="Q1548" i="1"/>
  <c r="R1548" i="1"/>
  <c r="S1548" i="1"/>
  <c r="P1549" i="1"/>
  <c r="Q1549" i="1"/>
  <c r="R1549" i="1"/>
  <c r="S1549" i="1"/>
  <c r="P1550" i="1"/>
  <c r="Q1550" i="1"/>
  <c r="R1550" i="1"/>
  <c r="S1550" i="1"/>
  <c r="P1551" i="1"/>
  <c r="Q1551" i="1"/>
  <c r="R1551" i="1"/>
  <c r="S1551" i="1"/>
  <c r="P1552" i="1"/>
  <c r="Q1552" i="1"/>
  <c r="R1552" i="1"/>
  <c r="S1552" i="1"/>
  <c r="P1553" i="1"/>
  <c r="Q1553" i="1"/>
  <c r="R1553" i="1"/>
  <c r="S1553" i="1"/>
  <c r="P1554" i="1"/>
  <c r="Q1554" i="1"/>
  <c r="R1554" i="1"/>
  <c r="S1554" i="1"/>
  <c r="P1555" i="1"/>
  <c r="Q1555" i="1"/>
  <c r="R1555" i="1"/>
  <c r="S1555" i="1"/>
  <c r="P1556" i="1"/>
  <c r="Q1556" i="1"/>
  <c r="R1556" i="1"/>
  <c r="S1556" i="1"/>
  <c r="P1557" i="1"/>
  <c r="Q1557" i="1"/>
  <c r="R1557" i="1"/>
  <c r="S1557" i="1"/>
  <c r="P1558" i="1"/>
  <c r="Q1558" i="1"/>
  <c r="R1558" i="1"/>
  <c r="S1558" i="1"/>
  <c r="P1559" i="1"/>
  <c r="Q1559" i="1"/>
  <c r="R1559" i="1"/>
  <c r="S1559" i="1"/>
  <c r="P1560" i="1"/>
  <c r="Q1560" i="1"/>
  <c r="R1560" i="1"/>
  <c r="S1560" i="1"/>
  <c r="P1561" i="1"/>
  <c r="Q1561" i="1"/>
  <c r="R1561" i="1"/>
  <c r="S1561" i="1"/>
  <c r="P1562" i="1"/>
  <c r="Q1562" i="1"/>
  <c r="R1562" i="1"/>
  <c r="S1562" i="1"/>
  <c r="P1563" i="1"/>
  <c r="Q1563" i="1"/>
  <c r="R1563" i="1"/>
  <c r="S1563" i="1"/>
  <c r="P1564" i="1"/>
  <c r="Q1564" i="1"/>
  <c r="R1564" i="1"/>
  <c r="S1564" i="1"/>
  <c r="P1565" i="1"/>
  <c r="Q1565" i="1"/>
  <c r="R1565" i="1"/>
  <c r="S1565" i="1"/>
  <c r="P1566" i="1"/>
  <c r="Q1566" i="1"/>
  <c r="R1566" i="1"/>
  <c r="S1566" i="1"/>
  <c r="P1567" i="1"/>
  <c r="Q1567" i="1"/>
  <c r="R1567" i="1"/>
  <c r="S1567" i="1"/>
  <c r="P1568" i="1"/>
  <c r="Q1568" i="1"/>
  <c r="R1568" i="1"/>
  <c r="S1568" i="1"/>
  <c r="P1569" i="1"/>
  <c r="Q1569" i="1"/>
  <c r="R1569" i="1"/>
  <c r="S1569" i="1"/>
  <c r="P1570" i="1"/>
  <c r="Q1570" i="1"/>
  <c r="R1570" i="1"/>
  <c r="S1570" i="1"/>
  <c r="P1571" i="1"/>
  <c r="Q1571" i="1"/>
  <c r="R1571" i="1"/>
  <c r="S1571" i="1"/>
  <c r="P1572" i="1"/>
  <c r="Q1572" i="1"/>
  <c r="R1572" i="1"/>
  <c r="S1572" i="1"/>
  <c r="P1573" i="1"/>
  <c r="Q1573" i="1"/>
  <c r="R1573" i="1"/>
  <c r="S1573" i="1"/>
  <c r="P1574" i="1"/>
  <c r="Q1574" i="1"/>
  <c r="R1574" i="1"/>
  <c r="S1574" i="1"/>
  <c r="P1575" i="1"/>
  <c r="Q1575" i="1"/>
  <c r="R1575" i="1"/>
  <c r="S1575" i="1"/>
  <c r="P1576" i="1"/>
  <c r="Q1576" i="1"/>
  <c r="R1576" i="1"/>
  <c r="S1576" i="1"/>
  <c r="P1577" i="1"/>
  <c r="Q1577" i="1"/>
  <c r="R1577" i="1"/>
  <c r="S1577" i="1"/>
  <c r="P1578" i="1"/>
  <c r="Q1578" i="1"/>
  <c r="R1578" i="1"/>
  <c r="S1578" i="1"/>
  <c r="P1579" i="1"/>
  <c r="Q1579" i="1"/>
  <c r="R1579" i="1"/>
  <c r="S1579" i="1"/>
  <c r="P1580" i="1"/>
  <c r="Q1580" i="1"/>
  <c r="R1580" i="1"/>
  <c r="S1580" i="1"/>
  <c r="P1581" i="1"/>
  <c r="Q1581" i="1"/>
  <c r="R1581" i="1"/>
  <c r="S1581" i="1"/>
  <c r="P1582" i="1"/>
  <c r="Q1582" i="1"/>
  <c r="R1582" i="1"/>
  <c r="S1582" i="1"/>
  <c r="P1583" i="1"/>
  <c r="Q1583" i="1"/>
  <c r="R1583" i="1"/>
  <c r="S1583" i="1"/>
  <c r="P1584" i="1"/>
  <c r="Q1584" i="1"/>
  <c r="R1584" i="1"/>
  <c r="S1584" i="1"/>
  <c r="P1585" i="1"/>
  <c r="Q1585" i="1"/>
  <c r="R1585" i="1"/>
  <c r="S1585" i="1"/>
  <c r="P1586" i="1"/>
  <c r="Q1586" i="1"/>
  <c r="R1586" i="1"/>
  <c r="S1586" i="1"/>
  <c r="P1587" i="1"/>
  <c r="Q1587" i="1"/>
  <c r="R1587" i="1"/>
  <c r="S1587" i="1"/>
  <c r="P1588" i="1"/>
  <c r="Q1588" i="1"/>
  <c r="R1588" i="1"/>
  <c r="S1588" i="1"/>
  <c r="P1589" i="1"/>
  <c r="Q1589" i="1"/>
  <c r="R1589" i="1"/>
  <c r="S1589" i="1"/>
  <c r="P1590" i="1"/>
  <c r="Q1590" i="1"/>
  <c r="R1590" i="1"/>
  <c r="S1590" i="1"/>
  <c r="P1591" i="1"/>
  <c r="Q1591" i="1"/>
  <c r="R1591" i="1"/>
  <c r="S1591" i="1"/>
  <c r="P1592" i="1"/>
  <c r="Q1592" i="1"/>
  <c r="R1592" i="1"/>
  <c r="S1592" i="1"/>
  <c r="P1593" i="1"/>
  <c r="Q1593" i="1"/>
  <c r="R1593" i="1"/>
  <c r="S1593" i="1"/>
  <c r="P1594" i="1"/>
  <c r="Q1594" i="1"/>
  <c r="R1594" i="1"/>
  <c r="S1594" i="1"/>
  <c r="P1595" i="1"/>
  <c r="Q1595" i="1"/>
  <c r="R1595" i="1"/>
  <c r="S1595" i="1"/>
  <c r="P1596" i="1"/>
  <c r="Q1596" i="1"/>
  <c r="R1596" i="1"/>
  <c r="S1596" i="1"/>
  <c r="P1597" i="1"/>
  <c r="Q1597" i="1"/>
  <c r="R1597" i="1"/>
  <c r="S1597" i="1"/>
  <c r="P1598" i="1"/>
  <c r="Q1598" i="1"/>
  <c r="R1598" i="1"/>
  <c r="S1598" i="1"/>
  <c r="P1599" i="1"/>
  <c r="Q1599" i="1"/>
  <c r="R1599" i="1"/>
  <c r="S1599" i="1"/>
  <c r="P1600" i="1"/>
  <c r="Q1600" i="1"/>
  <c r="R1600" i="1"/>
  <c r="S1600" i="1"/>
  <c r="P1601" i="1"/>
  <c r="Q1601" i="1"/>
  <c r="R1601" i="1"/>
  <c r="S1601" i="1"/>
  <c r="P1602" i="1"/>
  <c r="Q1602" i="1"/>
  <c r="R1602" i="1"/>
  <c r="S1602" i="1"/>
  <c r="P1603" i="1"/>
  <c r="Q1603" i="1"/>
  <c r="R1603" i="1"/>
  <c r="S1603" i="1"/>
  <c r="P1604" i="1"/>
  <c r="Q1604" i="1"/>
  <c r="R1604" i="1"/>
  <c r="S1604" i="1"/>
  <c r="P1605" i="1"/>
  <c r="Q1605" i="1"/>
  <c r="R1605" i="1"/>
  <c r="S1605" i="1"/>
  <c r="P1606" i="1"/>
  <c r="Q1606" i="1"/>
  <c r="R1606" i="1"/>
  <c r="S1606" i="1"/>
  <c r="P1607" i="1"/>
  <c r="Q1607" i="1"/>
  <c r="R1607" i="1"/>
  <c r="S1607" i="1"/>
  <c r="P1608" i="1"/>
  <c r="Q1608" i="1"/>
  <c r="R1608" i="1"/>
  <c r="S1608" i="1"/>
  <c r="P1609" i="1"/>
  <c r="Q1609" i="1"/>
  <c r="R1609" i="1"/>
  <c r="S1609" i="1"/>
  <c r="P1610" i="1"/>
  <c r="Q1610" i="1"/>
  <c r="R1610" i="1"/>
  <c r="S1610" i="1"/>
  <c r="P1611" i="1"/>
  <c r="Q1611" i="1"/>
  <c r="R1611" i="1"/>
  <c r="S1611" i="1"/>
  <c r="P1612" i="1"/>
  <c r="Q1612" i="1"/>
  <c r="R1612" i="1"/>
  <c r="S1612" i="1"/>
  <c r="P1613" i="1"/>
  <c r="Q1613" i="1"/>
  <c r="R1613" i="1"/>
  <c r="S1613" i="1"/>
  <c r="P1614" i="1"/>
  <c r="Q1614" i="1"/>
  <c r="R1614" i="1"/>
  <c r="S1614" i="1"/>
  <c r="P1615" i="1"/>
  <c r="Q1615" i="1"/>
  <c r="R1615" i="1"/>
  <c r="S1615" i="1"/>
  <c r="P1616" i="1"/>
  <c r="Q1616" i="1"/>
  <c r="R1616" i="1"/>
  <c r="S1616" i="1"/>
  <c r="P1617" i="1"/>
  <c r="Q1617" i="1"/>
  <c r="R1617" i="1"/>
  <c r="S1617" i="1"/>
  <c r="P1618" i="1"/>
  <c r="Q1618" i="1"/>
  <c r="R1618" i="1"/>
  <c r="S1618" i="1"/>
  <c r="P1619" i="1"/>
  <c r="Q1619" i="1"/>
  <c r="R1619" i="1"/>
  <c r="S1619" i="1"/>
  <c r="P1620" i="1"/>
  <c r="Q1620" i="1"/>
  <c r="R1620" i="1"/>
  <c r="S1620" i="1"/>
  <c r="P1621" i="1"/>
  <c r="Q1621" i="1"/>
  <c r="R1621" i="1"/>
  <c r="S1621" i="1"/>
  <c r="P1622" i="1"/>
  <c r="Q1622" i="1"/>
  <c r="R1622" i="1"/>
  <c r="S1622" i="1"/>
  <c r="P1623" i="1"/>
  <c r="Q1623" i="1"/>
  <c r="R1623" i="1"/>
  <c r="S1623" i="1"/>
  <c r="P1624" i="1"/>
  <c r="Q1624" i="1"/>
  <c r="R1624" i="1"/>
  <c r="S1624" i="1"/>
  <c r="P1625" i="1"/>
  <c r="Q1625" i="1"/>
  <c r="R1625" i="1"/>
  <c r="S1625" i="1"/>
  <c r="P1626" i="1"/>
  <c r="Q1626" i="1"/>
  <c r="R1626" i="1"/>
  <c r="S1626" i="1"/>
  <c r="P1627" i="1"/>
  <c r="Q1627" i="1"/>
  <c r="R1627" i="1"/>
  <c r="S1627" i="1"/>
  <c r="P1628" i="1"/>
  <c r="Q1628" i="1"/>
  <c r="R1628" i="1"/>
  <c r="S1628" i="1"/>
  <c r="P1629" i="1"/>
  <c r="Q1629" i="1"/>
  <c r="R1629" i="1"/>
  <c r="S1629" i="1"/>
  <c r="P1630" i="1"/>
  <c r="Q1630" i="1"/>
  <c r="R1630" i="1"/>
  <c r="S1630" i="1"/>
  <c r="P1631" i="1"/>
  <c r="Q1631" i="1"/>
  <c r="R1631" i="1"/>
  <c r="S1631" i="1"/>
  <c r="P1632" i="1"/>
  <c r="Q1632" i="1"/>
  <c r="R1632" i="1"/>
  <c r="S1632" i="1"/>
  <c r="P1633" i="1"/>
  <c r="Q1633" i="1"/>
  <c r="R1633" i="1"/>
  <c r="S1633" i="1"/>
  <c r="P1634" i="1"/>
  <c r="Q1634" i="1"/>
  <c r="R1634" i="1"/>
  <c r="S1634" i="1"/>
  <c r="P1635" i="1"/>
  <c r="Q1635" i="1"/>
  <c r="R1635" i="1"/>
  <c r="S1635" i="1"/>
  <c r="P1636" i="1"/>
  <c r="Q1636" i="1"/>
  <c r="R1636" i="1"/>
  <c r="S1636" i="1"/>
  <c r="P1637" i="1"/>
  <c r="Q1637" i="1"/>
  <c r="R1637" i="1"/>
  <c r="S1637" i="1"/>
  <c r="P1638" i="1"/>
  <c r="Q1638" i="1"/>
  <c r="R1638" i="1"/>
  <c r="S1638" i="1"/>
  <c r="P1639" i="1"/>
  <c r="Q1639" i="1"/>
  <c r="R1639" i="1"/>
  <c r="S1639" i="1"/>
  <c r="P1640" i="1"/>
  <c r="Q1640" i="1"/>
  <c r="R1640" i="1"/>
  <c r="S1640" i="1"/>
  <c r="P1641" i="1"/>
  <c r="Q1641" i="1"/>
  <c r="R1641" i="1"/>
  <c r="S1641" i="1"/>
  <c r="P1642" i="1"/>
  <c r="Q1642" i="1"/>
  <c r="R1642" i="1"/>
  <c r="S1642" i="1"/>
  <c r="P1643" i="1"/>
  <c r="Q1643" i="1"/>
  <c r="R1643" i="1"/>
  <c r="S1643" i="1"/>
  <c r="P1644" i="1"/>
  <c r="Q1644" i="1"/>
  <c r="R1644" i="1"/>
  <c r="S1644" i="1"/>
  <c r="P1645" i="1"/>
  <c r="Q1645" i="1"/>
  <c r="R1645" i="1"/>
  <c r="S1645" i="1"/>
  <c r="P1646" i="1"/>
  <c r="Q1646" i="1"/>
  <c r="R1646" i="1"/>
  <c r="S1646" i="1"/>
  <c r="P1647" i="1"/>
  <c r="Q1647" i="1"/>
  <c r="R1647" i="1"/>
  <c r="S1647" i="1"/>
  <c r="P1648" i="1"/>
  <c r="Q1648" i="1"/>
  <c r="R1648" i="1"/>
  <c r="S1648" i="1"/>
  <c r="P1649" i="1"/>
  <c r="Q1649" i="1"/>
  <c r="R1649" i="1"/>
  <c r="S1649" i="1"/>
  <c r="P1650" i="1"/>
  <c r="Q1650" i="1"/>
  <c r="R1650" i="1"/>
  <c r="S1650" i="1"/>
  <c r="P1651" i="1"/>
  <c r="Q1651" i="1"/>
  <c r="R1651" i="1"/>
  <c r="S1651" i="1"/>
  <c r="P1652" i="1"/>
  <c r="Q1652" i="1"/>
  <c r="R1652" i="1"/>
  <c r="S1652" i="1"/>
  <c r="P1653" i="1"/>
  <c r="Q1653" i="1"/>
  <c r="R1653" i="1"/>
  <c r="S1653" i="1"/>
  <c r="P1654" i="1"/>
  <c r="Q1654" i="1"/>
  <c r="R1654" i="1"/>
  <c r="S1654" i="1"/>
  <c r="P1655" i="1"/>
  <c r="Q1655" i="1"/>
  <c r="R1655" i="1"/>
  <c r="S1655" i="1"/>
  <c r="P1656" i="1"/>
  <c r="Q1656" i="1"/>
  <c r="R1656" i="1"/>
  <c r="S1656" i="1"/>
  <c r="P1657" i="1"/>
  <c r="Q1657" i="1"/>
  <c r="R1657" i="1"/>
  <c r="S1657" i="1"/>
  <c r="P1658" i="1"/>
  <c r="Q1658" i="1"/>
  <c r="R1658" i="1"/>
  <c r="S1658" i="1"/>
  <c r="P1659" i="1"/>
  <c r="Q1659" i="1"/>
  <c r="R1659" i="1"/>
  <c r="S1659" i="1"/>
  <c r="P1660" i="1"/>
  <c r="Q1660" i="1"/>
  <c r="R1660" i="1"/>
  <c r="S1660" i="1"/>
  <c r="P1661" i="1"/>
  <c r="Q1661" i="1"/>
  <c r="R1661" i="1"/>
  <c r="S1661" i="1"/>
  <c r="P1662" i="1"/>
  <c r="Q1662" i="1"/>
  <c r="R1662" i="1"/>
  <c r="S1662" i="1"/>
  <c r="P1663" i="1"/>
  <c r="Q1663" i="1"/>
  <c r="R1663" i="1"/>
  <c r="S1663" i="1"/>
  <c r="P1664" i="1"/>
  <c r="Q1664" i="1"/>
  <c r="R1664" i="1"/>
  <c r="S1664" i="1"/>
  <c r="P1665" i="1"/>
  <c r="Q1665" i="1"/>
  <c r="R1665" i="1"/>
  <c r="S1665" i="1"/>
  <c r="P1666" i="1"/>
  <c r="Q1666" i="1"/>
  <c r="R1666" i="1"/>
  <c r="S1666" i="1"/>
  <c r="P1667" i="1"/>
  <c r="Q1667" i="1"/>
  <c r="R1667" i="1"/>
  <c r="S1667" i="1"/>
  <c r="P1668" i="1"/>
  <c r="Q1668" i="1"/>
  <c r="R1668" i="1"/>
  <c r="S1668" i="1"/>
  <c r="P1669" i="1"/>
  <c r="Q1669" i="1"/>
  <c r="R1669" i="1"/>
  <c r="S1669" i="1"/>
  <c r="P1670" i="1"/>
  <c r="Q1670" i="1"/>
  <c r="R1670" i="1"/>
  <c r="S1670" i="1"/>
  <c r="P1671" i="1"/>
  <c r="Q1671" i="1"/>
  <c r="R1671" i="1"/>
  <c r="S1671" i="1"/>
  <c r="P1672" i="1"/>
  <c r="Q1672" i="1"/>
  <c r="R1672" i="1"/>
  <c r="S1672" i="1"/>
  <c r="P1673" i="1"/>
  <c r="Q1673" i="1"/>
  <c r="R1673" i="1"/>
  <c r="S1673" i="1"/>
  <c r="P1674" i="1"/>
  <c r="Q1674" i="1"/>
  <c r="R1674" i="1"/>
  <c r="S1674" i="1"/>
  <c r="P1675" i="1"/>
  <c r="Q1675" i="1"/>
  <c r="R1675" i="1"/>
  <c r="S1675" i="1"/>
  <c r="P1676" i="1"/>
  <c r="Q1676" i="1"/>
  <c r="R1676" i="1"/>
  <c r="S1676" i="1"/>
  <c r="P1677" i="1"/>
  <c r="Q1677" i="1"/>
  <c r="R1677" i="1"/>
  <c r="S1677" i="1"/>
  <c r="P1678" i="1"/>
  <c r="Q1678" i="1"/>
  <c r="R1678" i="1"/>
  <c r="S1678" i="1"/>
  <c r="P1679" i="1"/>
  <c r="Q1679" i="1"/>
  <c r="R1679" i="1"/>
  <c r="S1679" i="1"/>
  <c r="P1680" i="1"/>
  <c r="Q1680" i="1"/>
  <c r="R1680" i="1"/>
  <c r="S1680" i="1"/>
  <c r="P1681" i="1"/>
  <c r="Q1681" i="1"/>
  <c r="R1681" i="1"/>
  <c r="S1681" i="1"/>
  <c r="P1682" i="1"/>
  <c r="Q1682" i="1"/>
  <c r="R1682" i="1"/>
  <c r="S1682" i="1"/>
  <c r="P1683" i="1"/>
  <c r="Q1683" i="1"/>
  <c r="R1683" i="1"/>
  <c r="S1683" i="1"/>
  <c r="P1684" i="1"/>
  <c r="Q1684" i="1"/>
  <c r="R1684" i="1"/>
  <c r="S1684" i="1"/>
  <c r="P1685" i="1"/>
  <c r="Q1685" i="1"/>
  <c r="R1685" i="1"/>
  <c r="S1685" i="1"/>
  <c r="P1686" i="1"/>
  <c r="Q1686" i="1"/>
  <c r="R1686" i="1"/>
  <c r="S1686" i="1"/>
  <c r="P1687" i="1"/>
  <c r="Q1687" i="1"/>
  <c r="R1687" i="1"/>
  <c r="S1687" i="1"/>
  <c r="P1688" i="1"/>
  <c r="Q1688" i="1"/>
  <c r="R1688" i="1"/>
  <c r="S1688" i="1"/>
  <c r="P1689" i="1"/>
  <c r="Q1689" i="1"/>
  <c r="R1689" i="1"/>
  <c r="S1689" i="1"/>
  <c r="P1690" i="1"/>
  <c r="Q1690" i="1"/>
  <c r="R1690" i="1"/>
  <c r="S1690" i="1"/>
  <c r="P1691" i="1"/>
  <c r="Q1691" i="1"/>
  <c r="R1691" i="1"/>
  <c r="S1691" i="1"/>
  <c r="P1692" i="1"/>
  <c r="Q1692" i="1"/>
  <c r="R1692" i="1"/>
  <c r="S1692" i="1"/>
  <c r="P1693" i="1"/>
  <c r="Q1693" i="1"/>
  <c r="R1693" i="1"/>
  <c r="S1693" i="1"/>
  <c r="P1694" i="1"/>
  <c r="Q1694" i="1"/>
  <c r="R1694" i="1"/>
  <c r="S1694" i="1"/>
  <c r="P1695" i="1"/>
  <c r="Q1695" i="1"/>
  <c r="R1695" i="1"/>
  <c r="S1695" i="1"/>
  <c r="P1696" i="1"/>
  <c r="Q1696" i="1"/>
  <c r="R1696" i="1"/>
  <c r="S1696" i="1"/>
  <c r="P1697" i="1"/>
  <c r="Q1697" i="1"/>
  <c r="R1697" i="1"/>
  <c r="S1697" i="1"/>
  <c r="P1698" i="1"/>
  <c r="Q1698" i="1"/>
  <c r="R1698" i="1"/>
  <c r="S1698" i="1"/>
  <c r="P1699" i="1"/>
  <c r="Q1699" i="1"/>
  <c r="R1699" i="1"/>
  <c r="S1699" i="1"/>
  <c r="P1700" i="1"/>
  <c r="Q1700" i="1"/>
  <c r="R1700" i="1"/>
  <c r="S1700" i="1"/>
  <c r="P1701" i="1"/>
  <c r="Q1701" i="1"/>
  <c r="R1701" i="1"/>
  <c r="S1701" i="1"/>
  <c r="P1702" i="1"/>
  <c r="Q1702" i="1"/>
  <c r="R1702" i="1"/>
  <c r="S1702" i="1"/>
  <c r="P1703" i="1"/>
  <c r="Q1703" i="1"/>
  <c r="R1703" i="1"/>
  <c r="S1703" i="1"/>
  <c r="P1704" i="1"/>
  <c r="Q1704" i="1"/>
  <c r="R1704" i="1"/>
  <c r="S1704" i="1"/>
  <c r="P1705" i="1"/>
  <c r="Q1705" i="1"/>
  <c r="R1705" i="1"/>
  <c r="S1705" i="1"/>
  <c r="P1706" i="1"/>
  <c r="Q1706" i="1"/>
  <c r="R1706" i="1"/>
  <c r="S1706" i="1"/>
  <c r="P1707" i="1"/>
  <c r="Q1707" i="1"/>
  <c r="R1707" i="1"/>
  <c r="S1707" i="1"/>
  <c r="P1708" i="1"/>
  <c r="Q1708" i="1"/>
  <c r="R1708" i="1"/>
  <c r="S1708" i="1"/>
  <c r="P1709" i="1"/>
  <c r="Q1709" i="1"/>
  <c r="R1709" i="1"/>
  <c r="S1709" i="1"/>
  <c r="P1710" i="1"/>
  <c r="Q1710" i="1"/>
  <c r="R1710" i="1"/>
  <c r="S1710" i="1"/>
  <c r="P1711" i="1"/>
  <c r="Q1711" i="1"/>
  <c r="R1711" i="1"/>
  <c r="S1711" i="1"/>
  <c r="P1712" i="1"/>
  <c r="Q1712" i="1"/>
  <c r="R1712" i="1"/>
  <c r="S1712" i="1"/>
  <c r="P1713" i="1"/>
  <c r="Q1713" i="1"/>
  <c r="R1713" i="1"/>
  <c r="S1713" i="1"/>
  <c r="P1714" i="1"/>
  <c r="Q1714" i="1"/>
  <c r="R1714" i="1"/>
  <c r="S1714" i="1"/>
  <c r="P1715" i="1"/>
  <c r="Q1715" i="1"/>
  <c r="R1715" i="1"/>
  <c r="S1715" i="1"/>
  <c r="P1716" i="1"/>
  <c r="Q1716" i="1"/>
  <c r="R1716" i="1"/>
  <c r="S1716" i="1"/>
  <c r="P1717" i="1"/>
  <c r="Q1717" i="1"/>
  <c r="R1717" i="1"/>
  <c r="S1717" i="1"/>
  <c r="P1718" i="1"/>
  <c r="Q1718" i="1"/>
  <c r="R1718" i="1"/>
  <c r="S1718" i="1"/>
  <c r="P1719" i="1"/>
  <c r="Q1719" i="1"/>
  <c r="R1719" i="1"/>
  <c r="S1719" i="1"/>
  <c r="P1720" i="1"/>
  <c r="Q1720" i="1"/>
  <c r="R1720" i="1"/>
  <c r="S1720" i="1"/>
  <c r="P1721" i="1"/>
  <c r="Q1721" i="1"/>
  <c r="R1721" i="1"/>
  <c r="S1721" i="1"/>
  <c r="P1722" i="1"/>
  <c r="Q1722" i="1"/>
  <c r="R1722" i="1"/>
  <c r="S1722" i="1"/>
  <c r="P1723" i="1"/>
  <c r="Q1723" i="1"/>
  <c r="R1723" i="1"/>
  <c r="S1723" i="1"/>
  <c r="P1724" i="1"/>
  <c r="Q1724" i="1"/>
  <c r="R1724" i="1"/>
  <c r="S1724" i="1"/>
  <c r="P1725" i="1"/>
  <c r="Q1725" i="1"/>
  <c r="R1725" i="1"/>
  <c r="S1725" i="1"/>
  <c r="P1726" i="1"/>
  <c r="Q1726" i="1"/>
  <c r="R1726" i="1"/>
  <c r="S1726" i="1"/>
  <c r="P1727" i="1"/>
  <c r="Q1727" i="1"/>
  <c r="R1727" i="1"/>
  <c r="S1727" i="1"/>
  <c r="P1728" i="1"/>
  <c r="Q1728" i="1"/>
  <c r="R1728" i="1"/>
  <c r="S1728" i="1"/>
  <c r="P1729" i="1"/>
  <c r="Q1729" i="1"/>
  <c r="R1729" i="1"/>
  <c r="S1729" i="1"/>
  <c r="P1730" i="1"/>
  <c r="Q1730" i="1"/>
  <c r="R1730" i="1"/>
  <c r="S1730" i="1"/>
  <c r="P1731" i="1"/>
  <c r="Q1731" i="1"/>
  <c r="R1731" i="1"/>
  <c r="S1731" i="1"/>
  <c r="P1732" i="1"/>
  <c r="Q1732" i="1"/>
  <c r="R1732" i="1"/>
  <c r="S1732" i="1"/>
  <c r="P1733" i="1"/>
  <c r="Q1733" i="1"/>
  <c r="R1733" i="1"/>
  <c r="S1733" i="1"/>
  <c r="P1734" i="1"/>
  <c r="Q1734" i="1"/>
  <c r="R1734" i="1"/>
  <c r="S1734" i="1"/>
  <c r="P1735" i="1"/>
  <c r="Q1735" i="1"/>
  <c r="R1735" i="1"/>
  <c r="S1735" i="1"/>
  <c r="P1736" i="1"/>
  <c r="Q1736" i="1"/>
  <c r="R1736" i="1"/>
  <c r="S1736" i="1"/>
  <c r="P1737" i="1"/>
  <c r="Q1737" i="1"/>
  <c r="R1737" i="1"/>
  <c r="S1737" i="1"/>
  <c r="P1738" i="1"/>
  <c r="Q1738" i="1"/>
  <c r="R1738" i="1"/>
  <c r="S1738" i="1"/>
  <c r="P1739" i="1"/>
  <c r="Q1739" i="1"/>
  <c r="R1739" i="1"/>
  <c r="S1739" i="1"/>
  <c r="P1740" i="1"/>
  <c r="Q1740" i="1"/>
  <c r="R1740" i="1"/>
  <c r="S1740" i="1"/>
  <c r="P1741" i="1"/>
  <c r="Q1741" i="1"/>
  <c r="R1741" i="1"/>
  <c r="S1741" i="1"/>
  <c r="P1742" i="1"/>
  <c r="Q1742" i="1"/>
  <c r="R1742" i="1"/>
  <c r="S1742" i="1"/>
  <c r="P1743" i="1"/>
  <c r="Q1743" i="1"/>
  <c r="R1743" i="1"/>
  <c r="S1743" i="1"/>
  <c r="P1744" i="1"/>
  <c r="Q1744" i="1"/>
  <c r="R1744" i="1"/>
  <c r="S1744" i="1"/>
  <c r="P1745" i="1"/>
  <c r="Q1745" i="1"/>
  <c r="R1745" i="1"/>
  <c r="S1745" i="1"/>
  <c r="P1746" i="1"/>
  <c r="Q1746" i="1"/>
  <c r="R1746" i="1"/>
  <c r="S1746" i="1"/>
  <c r="P1747" i="1"/>
  <c r="Q1747" i="1"/>
  <c r="R1747" i="1"/>
  <c r="S1747" i="1"/>
  <c r="P1748" i="1"/>
  <c r="Q1748" i="1"/>
  <c r="R1748" i="1"/>
  <c r="S1748" i="1"/>
  <c r="P1749" i="1"/>
  <c r="Q1749" i="1"/>
  <c r="R1749" i="1"/>
  <c r="S1749" i="1"/>
  <c r="P1750" i="1"/>
  <c r="Q1750" i="1"/>
  <c r="R1750" i="1"/>
  <c r="S1750" i="1"/>
  <c r="P1751" i="1"/>
  <c r="Q1751" i="1"/>
  <c r="R1751" i="1"/>
  <c r="S1751" i="1"/>
  <c r="P1752" i="1"/>
  <c r="Q1752" i="1"/>
  <c r="R1752" i="1"/>
  <c r="S1752" i="1"/>
  <c r="P1753" i="1"/>
  <c r="Q1753" i="1"/>
  <c r="R1753" i="1"/>
  <c r="S1753" i="1"/>
  <c r="P1754" i="1"/>
  <c r="Q1754" i="1"/>
  <c r="R1754" i="1"/>
  <c r="S1754" i="1"/>
  <c r="P1755" i="1"/>
  <c r="Q1755" i="1"/>
  <c r="R1755" i="1"/>
  <c r="S1755" i="1"/>
  <c r="P1756" i="1"/>
  <c r="Q1756" i="1"/>
  <c r="R1756" i="1"/>
  <c r="S1756" i="1"/>
  <c r="P1757" i="1"/>
  <c r="Q1757" i="1"/>
  <c r="R1757" i="1"/>
  <c r="S1757" i="1"/>
  <c r="P1758" i="1"/>
  <c r="Q1758" i="1"/>
  <c r="R1758" i="1"/>
  <c r="S1758" i="1"/>
  <c r="P1759" i="1"/>
  <c r="Q1759" i="1"/>
  <c r="R1759" i="1"/>
  <c r="S1759" i="1"/>
  <c r="P1760" i="1"/>
  <c r="Q1760" i="1"/>
  <c r="R1760" i="1"/>
  <c r="S1760" i="1"/>
  <c r="P1761" i="1"/>
  <c r="Q1761" i="1"/>
  <c r="R1761" i="1"/>
  <c r="S1761" i="1"/>
  <c r="P1762" i="1"/>
  <c r="Q1762" i="1"/>
  <c r="R1762" i="1"/>
  <c r="S1762" i="1"/>
  <c r="P1763" i="1"/>
  <c r="Q1763" i="1"/>
  <c r="R1763" i="1"/>
  <c r="S1763" i="1"/>
  <c r="P1764" i="1"/>
  <c r="Q1764" i="1"/>
  <c r="R1764" i="1"/>
  <c r="S1764" i="1"/>
  <c r="P1765" i="1"/>
  <c r="Q1765" i="1"/>
  <c r="R1765" i="1"/>
  <c r="S1765" i="1"/>
  <c r="P1766" i="1"/>
  <c r="Q1766" i="1"/>
  <c r="R1766" i="1"/>
  <c r="S1766" i="1"/>
  <c r="P1767" i="1"/>
  <c r="Q1767" i="1"/>
  <c r="R1767" i="1"/>
  <c r="S1767" i="1"/>
  <c r="P1768" i="1"/>
  <c r="Q1768" i="1"/>
  <c r="R1768" i="1"/>
  <c r="S1768" i="1"/>
  <c r="P1769" i="1"/>
  <c r="Q1769" i="1"/>
  <c r="R1769" i="1"/>
  <c r="S1769" i="1"/>
  <c r="P1770" i="1"/>
  <c r="Q1770" i="1"/>
  <c r="R1770" i="1"/>
  <c r="S1770" i="1"/>
  <c r="P1771" i="1"/>
  <c r="Q1771" i="1"/>
  <c r="R1771" i="1"/>
  <c r="S1771" i="1"/>
  <c r="P1772" i="1"/>
  <c r="Q1772" i="1"/>
  <c r="R1772" i="1"/>
  <c r="S1772" i="1"/>
  <c r="P1773" i="1"/>
  <c r="Q1773" i="1"/>
  <c r="R1773" i="1"/>
  <c r="S1773" i="1"/>
  <c r="P1774" i="1"/>
  <c r="Q1774" i="1"/>
  <c r="R1774" i="1"/>
  <c r="S1774" i="1"/>
  <c r="P1775" i="1"/>
  <c r="Q1775" i="1"/>
  <c r="R1775" i="1"/>
  <c r="S1775" i="1"/>
  <c r="P1776" i="1"/>
  <c r="Q1776" i="1"/>
  <c r="R1776" i="1"/>
  <c r="S1776" i="1"/>
  <c r="P1777" i="1"/>
  <c r="Q1777" i="1"/>
  <c r="R1777" i="1"/>
  <c r="S1777" i="1"/>
  <c r="P1778" i="1"/>
  <c r="Q1778" i="1"/>
  <c r="R1778" i="1"/>
  <c r="S1778" i="1"/>
  <c r="P1779" i="1"/>
  <c r="Q1779" i="1"/>
  <c r="R1779" i="1"/>
  <c r="S1779" i="1"/>
  <c r="P1780" i="1"/>
  <c r="Q1780" i="1"/>
  <c r="R1780" i="1"/>
  <c r="S1780" i="1"/>
  <c r="P1781" i="1"/>
  <c r="Q1781" i="1"/>
  <c r="R1781" i="1"/>
  <c r="S1781" i="1"/>
  <c r="P1782" i="1"/>
  <c r="Q1782" i="1"/>
  <c r="R1782" i="1"/>
  <c r="S1782" i="1"/>
  <c r="P1783" i="1"/>
  <c r="Q1783" i="1"/>
  <c r="R1783" i="1"/>
  <c r="S1783" i="1"/>
  <c r="P1784" i="1"/>
  <c r="Q1784" i="1"/>
  <c r="R1784" i="1"/>
  <c r="S1784" i="1"/>
  <c r="P1785" i="1"/>
  <c r="Q1785" i="1"/>
  <c r="R1785" i="1"/>
  <c r="S1785" i="1"/>
  <c r="P1786" i="1"/>
  <c r="Q1786" i="1"/>
  <c r="R1786" i="1"/>
  <c r="S1786" i="1"/>
  <c r="P1787" i="1"/>
  <c r="Q1787" i="1"/>
  <c r="R1787" i="1"/>
  <c r="S1787" i="1"/>
  <c r="P1788" i="1"/>
  <c r="Q1788" i="1"/>
  <c r="R1788" i="1"/>
  <c r="S1788" i="1"/>
  <c r="P1789" i="1"/>
  <c r="Q1789" i="1"/>
  <c r="R1789" i="1"/>
  <c r="S1789" i="1"/>
  <c r="P1790" i="1"/>
  <c r="Q1790" i="1"/>
  <c r="R1790" i="1"/>
  <c r="S1790" i="1"/>
  <c r="P1791" i="1"/>
  <c r="Q1791" i="1"/>
  <c r="R1791" i="1"/>
  <c r="S1791" i="1"/>
  <c r="P1792" i="1"/>
  <c r="Q1792" i="1"/>
  <c r="R1792" i="1"/>
  <c r="S1792" i="1"/>
  <c r="P1793" i="1"/>
  <c r="Q1793" i="1"/>
  <c r="R1793" i="1"/>
  <c r="S1793" i="1"/>
  <c r="P1794" i="1"/>
  <c r="Q1794" i="1"/>
  <c r="R1794" i="1"/>
  <c r="S1794" i="1"/>
  <c r="P1795" i="1"/>
  <c r="Q1795" i="1"/>
  <c r="R1795" i="1"/>
  <c r="S1795" i="1"/>
  <c r="P1796" i="1"/>
  <c r="Q1796" i="1"/>
  <c r="R1796" i="1"/>
  <c r="S1796" i="1"/>
  <c r="P1797" i="1"/>
  <c r="Q1797" i="1"/>
  <c r="R1797" i="1"/>
  <c r="S1797" i="1"/>
  <c r="P1798" i="1"/>
  <c r="Q1798" i="1"/>
  <c r="R1798" i="1"/>
  <c r="S1798" i="1"/>
  <c r="P1799" i="1"/>
  <c r="Q1799" i="1"/>
  <c r="R1799" i="1"/>
  <c r="S1799" i="1"/>
  <c r="P1800" i="1"/>
  <c r="Q1800" i="1"/>
  <c r="R1800" i="1"/>
  <c r="S1800" i="1"/>
  <c r="P1801" i="1"/>
  <c r="Q1801" i="1"/>
  <c r="R1801" i="1"/>
  <c r="S1801" i="1"/>
  <c r="P1802" i="1"/>
  <c r="Q1802" i="1"/>
  <c r="R1802" i="1"/>
  <c r="S1802" i="1"/>
  <c r="P1803" i="1"/>
  <c r="Q1803" i="1"/>
  <c r="R1803" i="1"/>
  <c r="S1803" i="1"/>
  <c r="P1804" i="1"/>
  <c r="Q1804" i="1"/>
  <c r="R1804" i="1"/>
  <c r="S1804" i="1"/>
  <c r="P1805" i="1"/>
  <c r="Q1805" i="1"/>
  <c r="R1805" i="1"/>
  <c r="S1805" i="1"/>
  <c r="P1806" i="1"/>
  <c r="Q1806" i="1"/>
  <c r="R1806" i="1"/>
  <c r="S1806" i="1"/>
  <c r="P1807" i="1"/>
  <c r="Q1807" i="1"/>
  <c r="R1807" i="1"/>
  <c r="S1807" i="1"/>
  <c r="P1808" i="1"/>
  <c r="Q1808" i="1"/>
  <c r="R1808" i="1"/>
  <c r="S1808" i="1"/>
  <c r="P1809" i="1"/>
  <c r="Q1809" i="1"/>
  <c r="R1809" i="1"/>
  <c r="S1809" i="1"/>
  <c r="P1810" i="1"/>
  <c r="Q1810" i="1"/>
  <c r="R1810" i="1"/>
  <c r="S1810" i="1"/>
  <c r="P1811" i="1"/>
  <c r="Q1811" i="1"/>
  <c r="R1811" i="1"/>
  <c r="S1811" i="1"/>
  <c r="P1812" i="1"/>
  <c r="Q1812" i="1"/>
  <c r="R1812" i="1"/>
  <c r="S1812" i="1"/>
  <c r="P1813" i="1"/>
  <c r="Q1813" i="1"/>
  <c r="R1813" i="1"/>
  <c r="S1813" i="1"/>
  <c r="P1814" i="1"/>
  <c r="Q1814" i="1"/>
  <c r="R1814" i="1"/>
  <c r="S1814" i="1"/>
  <c r="P1815" i="1"/>
  <c r="Q1815" i="1"/>
  <c r="R1815" i="1"/>
  <c r="S1815" i="1"/>
  <c r="P1816" i="1"/>
  <c r="Q1816" i="1"/>
  <c r="R1816" i="1"/>
  <c r="S1816" i="1"/>
  <c r="P1817" i="1"/>
  <c r="Q1817" i="1"/>
  <c r="R1817" i="1"/>
  <c r="S1817" i="1"/>
  <c r="P1818" i="1"/>
  <c r="Q1818" i="1"/>
  <c r="R1818" i="1"/>
  <c r="S1818" i="1"/>
  <c r="P1819" i="1"/>
  <c r="Q1819" i="1"/>
  <c r="R1819" i="1"/>
  <c r="S1819" i="1"/>
  <c r="P1820" i="1"/>
  <c r="Q1820" i="1"/>
  <c r="R1820" i="1"/>
  <c r="S1820" i="1"/>
  <c r="P1821" i="1"/>
  <c r="Q1821" i="1"/>
  <c r="R1821" i="1"/>
  <c r="S1821" i="1"/>
  <c r="P1822" i="1"/>
  <c r="Q1822" i="1"/>
  <c r="R1822" i="1"/>
  <c r="S1822" i="1"/>
  <c r="P1823" i="1"/>
  <c r="Q1823" i="1"/>
  <c r="R1823" i="1"/>
  <c r="S1823" i="1"/>
  <c r="P1824" i="1"/>
  <c r="Q1824" i="1"/>
  <c r="R1824" i="1"/>
  <c r="S1824" i="1"/>
  <c r="P1825" i="1"/>
  <c r="Q1825" i="1"/>
  <c r="R1825" i="1"/>
  <c r="S1825" i="1"/>
  <c r="P1826" i="1"/>
  <c r="Q1826" i="1"/>
  <c r="R1826" i="1"/>
  <c r="S1826" i="1"/>
  <c r="P1827" i="1"/>
  <c r="Q1827" i="1"/>
  <c r="R1827" i="1"/>
  <c r="S1827" i="1"/>
  <c r="P1828" i="1"/>
  <c r="Q1828" i="1"/>
  <c r="R1828" i="1"/>
  <c r="S1828" i="1"/>
  <c r="P1829" i="1"/>
  <c r="Q1829" i="1"/>
  <c r="R1829" i="1"/>
  <c r="S1829" i="1"/>
  <c r="P1830" i="1"/>
  <c r="Q1830" i="1"/>
  <c r="R1830" i="1"/>
  <c r="S1830" i="1"/>
  <c r="P1831" i="1"/>
  <c r="Q1831" i="1"/>
  <c r="R1831" i="1"/>
  <c r="S1831" i="1"/>
  <c r="P1832" i="1"/>
  <c r="Q1832" i="1"/>
  <c r="R1832" i="1"/>
  <c r="S1832" i="1"/>
  <c r="P1833" i="1"/>
  <c r="Q1833" i="1"/>
  <c r="R1833" i="1"/>
  <c r="S1833" i="1"/>
  <c r="P1834" i="1"/>
  <c r="Q1834" i="1"/>
  <c r="R1834" i="1"/>
  <c r="S1834" i="1"/>
  <c r="P1835" i="1"/>
  <c r="Q1835" i="1"/>
  <c r="R1835" i="1"/>
  <c r="S1835" i="1"/>
  <c r="P1836" i="1"/>
  <c r="Q1836" i="1"/>
  <c r="R1836" i="1"/>
  <c r="S1836" i="1"/>
  <c r="P1837" i="1"/>
  <c r="Q1837" i="1"/>
  <c r="R1837" i="1"/>
  <c r="S1837" i="1"/>
  <c r="P1838" i="1"/>
  <c r="Q1838" i="1"/>
  <c r="R1838" i="1"/>
  <c r="S1838" i="1"/>
  <c r="P1839" i="1"/>
  <c r="Q1839" i="1"/>
  <c r="R1839" i="1"/>
  <c r="S1839" i="1"/>
  <c r="P1840" i="1"/>
  <c r="Q1840" i="1"/>
  <c r="R1840" i="1"/>
  <c r="S1840" i="1"/>
  <c r="P1841" i="1"/>
  <c r="Q1841" i="1"/>
  <c r="R1841" i="1"/>
  <c r="S1841" i="1"/>
  <c r="P1842" i="1"/>
  <c r="Q1842" i="1"/>
  <c r="R1842" i="1"/>
  <c r="S1842" i="1"/>
  <c r="P1843" i="1"/>
  <c r="Q1843" i="1"/>
  <c r="R1843" i="1"/>
  <c r="S1843" i="1"/>
  <c r="P1844" i="1"/>
  <c r="Q1844" i="1"/>
  <c r="R1844" i="1"/>
  <c r="S1844" i="1"/>
  <c r="P1845" i="1"/>
  <c r="Q1845" i="1"/>
  <c r="R1845" i="1"/>
  <c r="S1845" i="1"/>
  <c r="P1846" i="1"/>
  <c r="Q1846" i="1"/>
  <c r="R1846" i="1"/>
  <c r="S1846" i="1"/>
  <c r="P1847" i="1"/>
  <c r="Q1847" i="1"/>
  <c r="R1847" i="1"/>
  <c r="S1847" i="1"/>
  <c r="P1848" i="1"/>
  <c r="Q1848" i="1"/>
  <c r="R1848" i="1"/>
  <c r="S1848" i="1"/>
  <c r="P1849" i="1"/>
  <c r="Q1849" i="1"/>
  <c r="R1849" i="1"/>
  <c r="S1849" i="1"/>
  <c r="P1850" i="1"/>
  <c r="Q1850" i="1"/>
  <c r="R1850" i="1"/>
  <c r="S1850" i="1"/>
  <c r="P1851" i="1"/>
  <c r="Q1851" i="1"/>
  <c r="R1851" i="1"/>
  <c r="S1851" i="1"/>
  <c r="P1852" i="1"/>
  <c r="Q1852" i="1"/>
  <c r="R1852" i="1"/>
  <c r="S1852" i="1"/>
  <c r="P1853" i="1"/>
  <c r="Q1853" i="1"/>
  <c r="R1853" i="1"/>
  <c r="S1853" i="1"/>
  <c r="P1854" i="1"/>
  <c r="Q1854" i="1"/>
  <c r="R1854" i="1"/>
  <c r="S1854" i="1"/>
  <c r="P1855" i="1"/>
  <c r="Q1855" i="1"/>
  <c r="R1855" i="1"/>
  <c r="S1855" i="1"/>
  <c r="P1856" i="1"/>
  <c r="Q1856" i="1"/>
  <c r="R1856" i="1"/>
  <c r="S1856" i="1"/>
  <c r="P1857" i="1"/>
  <c r="Q1857" i="1"/>
  <c r="R1857" i="1"/>
  <c r="S1857" i="1"/>
  <c r="P1858" i="1"/>
  <c r="Q1858" i="1"/>
  <c r="R1858" i="1"/>
  <c r="S1858" i="1"/>
  <c r="P1859" i="1"/>
  <c r="Q1859" i="1"/>
  <c r="R1859" i="1"/>
  <c r="S1859" i="1"/>
  <c r="P1860" i="1"/>
  <c r="Q1860" i="1"/>
  <c r="R1860" i="1"/>
  <c r="S1860" i="1"/>
  <c r="P1861" i="1"/>
  <c r="Q1861" i="1"/>
  <c r="R1861" i="1"/>
  <c r="S1861" i="1"/>
  <c r="P1862" i="1"/>
  <c r="Q1862" i="1"/>
  <c r="R1862" i="1"/>
  <c r="S1862" i="1"/>
  <c r="P1863" i="1"/>
  <c r="Q1863" i="1"/>
  <c r="R1863" i="1"/>
  <c r="S1863" i="1"/>
  <c r="P1864" i="1"/>
  <c r="Q1864" i="1"/>
  <c r="R1864" i="1"/>
  <c r="S1864" i="1"/>
  <c r="P1865" i="1"/>
  <c r="Q1865" i="1"/>
  <c r="R1865" i="1"/>
  <c r="S1865" i="1"/>
  <c r="P1866" i="1"/>
  <c r="Q1866" i="1"/>
  <c r="R1866" i="1"/>
  <c r="S1866" i="1"/>
  <c r="P1867" i="1"/>
  <c r="Q1867" i="1"/>
  <c r="R1867" i="1"/>
  <c r="S1867" i="1"/>
  <c r="P1868" i="1"/>
  <c r="Q1868" i="1"/>
  <c r="R1868" i="1"/>
  <c r="S1868" i="1"/>
  <c r="P1869" i="1"/>
  <c r="Q1869" i="1"/>
  <c r="R1869" i="1"/>
  <c r="S1869" i="1"/>
  <c r="P1870" i="1"/>
  <c r="Q1870" i="1"/>
  <c r="R1870" i="1"/>
  <c r="S1870" i="1"/>
  <c r="P1871" i="1"/>
  <c r="Q1871" i="1"/>
  <c r="R1871" i="1"/>
  <c r="S1871" i="1"/>
  <c r="P1872" i="1"/>
  <c r="Q1872" i="1"/>
  <c r="R1872" i="1"/>
  <c r="S1872" i="1"/>
  <c r="P1873" i="1"/>
  <c r="Q1873" i="1"/>
  <c r="R1873" i="1"/>
  <c r="S1873" i="1"/>
  <c r="P1874" i="1"/>
  <c r="Q1874" i="1"/>
  <c r="R1874" i="1"/>
  <c r="S1874" i="1"/>
  <c r="P1875" i="1"/>
  <c r="Q1875" i="1"/>
  <c r="R1875" i="1"/>
  <c r="S1875" i="1"/>
  <c r="P1876" i="1"/>
  <c r="Q1876" i="1"/>
  <c r="R1876" i="1"/>
  <c r="S1876" i="1"/>
  <c r="P1877" i="1"/>
  <c r="Q1877" i="1"/>
  <c r="R1877" i="1"/>
  <c r="S1877" i="1"/>
  <c r="P1878" i="1"/>
  <c r="Q1878" i="1"/>
  <c r="R1878" i="1"/>
  <c r="S1878" i="1"/>
  <c r="P1879" i="1"/>
  <c r="Q1879" i="1"/>
  <c r="R1879" i="1"/>
  <c r="S1879" i="1"/>
  <c r="P1880" i="1"/>
  <c r="Q1880" i="1"/>
  <c r="R1880" i="1"/>
  <c r="S1880" i="1"/>
  <c r="P1881" i="1"/>
  <c r="Q1881" i="1"/>
  <c r="R1881" i="1"/>
  <c r="S1881" i="1"/>
  <c r="P1882" i="1"/>
  <c r="Q1882" i="1"/>
  <c r="R1882" i="1"/>
  <c r="S1882" i="1"/>
  <c r="P1883" i="1"/>
  <c r="Q1883" i="1"/>
  <c r="R1883" i="1"/>
  <c r="S1883" i="1"/>
  <c r="P1884" i="1"/>
  <c r="Q1884" i="1"/>
  <c r="R1884" i="1"/>
  <c r="S1884" i="1"/>
  <c r="P1885" i="1"/>
  <c r="Q1885" i="1"/>
  <c r="R1885" i="1"/>
  <c r="S1885" i="1"/>
  <c r="P1886" i="1"/>
  <c r="Q1886" i="1"/>
  <c r="R1886" i="1"/>
  <c r="S1886" i="1"/>
  <c r="P1887" i="1"/>
  <c r="Q1887" i="1"/>
  <c r="R1887" i="1"/>
  <c r="S1887" i="1"/>
  <c r="P1888" i="1"/>
  <c r="Q1888" i="1"/>
  <c r="R1888" i="1"/>
  <c r="S1888" i="1"/>
  <c r="P1889" i="1"/>
  <c r="Q1889" i="1"/>
  <c r="R1889" i="1"/>
  <c r="S1889" i="1"/>
  <c r="P1890" i="1"/>
  <c r="Q1890" i="1"/>
  <c r="R1890" i="1"/>
  <c r="S1890" i="1"/>
  <c r="P1891" i="1"/>
  <c r="Q1891" i="1"/>
  <c r="R1891" i="1"/>
  <c r="S1891" i="1"/>
  <c r="P1892" i="1"/>
  <c r="Q1892" i="1"/>
  <c r="R1892" i="1"/>
  <c r="S1892" i="1"/>
  <c r="P1893" i="1"/>
  <c r="Q1893" i="1"/>
  <c r="R1893" i="1"/>
  <c r="S1893" i="1"/>
  <c r="P1894" i="1"/>
  <c r="Q1894" i="1"/>
  <c r="R1894" i="1"/>
  <c r="S1894" i="1"/>
  <c r="P1895" i="1"/>
  <c r="Q1895" i="1"/>
  <c r="R1895" i="1"/>
  <c r="S1895" i="1"/>
  <c r="P1896" i="1"/>
  <c r="Q1896" i="1"/>
  <c r="R1896" i="1"/>
  <c r="S1896" i="1"/>
  <c r="P1897" i="1"/>
  <c r="Q1897" i="1"/>
  <c r="R1897" i="1"/>
  <c r="S1897" i="1"/>
  <c r="P1898" i="1"/>
  <c r="Q1898" i="1"/>
  <c r="R1898" i="1"/>
  <c r="S1898" i="1"/>
  <c r="P1899" i="1"/>
  <c r="Q1899" i="1"/>
  <c r="R1899" i="1"/>
  <c r="S1899" i="1"/>
  <c r="P1900" i="1"/>
  <c r="Q1900" i="1"/>
  <c r="R1900" i="1"/>
  <c r="S1900" i="1"/>
  <c r="P1901" i="1"/>
  <c r="Q1901" i="1"/>
  <c r="R1901" i="1"/>
  <c r="S1901" i="1"/>
  <c r="P1902" i="1"/>
  <c r="Q1902" i="1"/>
  <c r="R1902" i="1"/>
  <c r="S1902" i="1"/>
  <c r="P1903" i="1"/>
  <c r="Q1903" i="1"/>
  <c r="R1903" i="1"/>
  <c r="S1903" i="1"/>
  <c r="P1904" i="1"/>
  <c r="Q1904" i="1"/>
  <c r="R1904" i="1"/>
  <c r="S1904" i="1"/>
  <c r="P1905" i="1"/>
  <c r="Q1905" i="1"/>
  <c r="R1905" i="1"/>
  <c r="S1905" i="1"/>
  <c r="P1906" i="1"/>
  <c r="Q1906" i="1"/>
  <c r="R1906" i="1"/>
  <c r="S1906" i="1"/>
  <c r="P1907" i="1"/>
  <c r="Q1907" i="1"/>
  <c r="R1907" i="1"/>
  <c r="S1907" i="1"/>
  <c r="P1908" i="1"/>
  <c r="Q1908" i="1"/>
  <c r="R1908" i="1"/>
  <c r="S1908" i="1"/>
  <c r="P1909" i="1"/>
  <c r="Q1909" i="1"/>
  <c r="R1909" i="1"/>
  <c r="S1909" i="1"/>
  <c r="P1910" i="1"/>
  <c r="Q1910" i="1"/>
  <c r="R1910" i="1"/>
  <c r="S1910" i="1"/>
  <c r="P1911" i="1"/>
  <c r="Q1911" i="1"/>
  <c r="R1911" i="1"/>
  <c r="S1911" i="1"/>
  <c r="P1912" i="1"/>
  <c r="Q1912" i="1"/>
  <c r="R1912" i="1"/>
  <c r="S1912" i="1"/>
  <c r="P1913" i="1"/>
  <c r="Q1913" i="1"/>
  <c r="R1913" i="1"/>
  <c r="S1913" i="1"/>
  <c r="P1914" i="1"/>
  <c r="Q1914" i="1"/>
  <c r="R1914" i="1"/>
  <c r="S1914" i="1"/>
  <c r="P1915" i="1"/>
  <c r="Q1915" i="1"/>
  <c r="R1915" i="1"/>
  <c r="S1915" i="1"/>
  <c r="P1916" i="1"/>
  <c r="Q1916" i="1"/>
  <c r="R1916" i="1"/>
  <c r="S1916" i="1"/>
  <c r="P1917" i="1"/>
  <c r="Q1917" i="1"/>
  <c r="R1917" i="1"/>
  <c r="S1917" i="1"/>
  <c r="P1918" i="1"/>
  <c r="Q1918" i="1"/>
  <c r="R1918" i="1"/>
  <c r="S1918" i="1"/>
  <c r="P1919" i="1"/>
  <c r="Q1919" i="1"/>
  <c r="R1919" i="1"/>
  <c r="S1919" i="1"/>
  <c r="P1920" i="1"/>
  <c r="Q1920" i="1"/>
  <c r="R1920" i="1"/>
  <c r="S1920" i="1"/>
  <c r="P1921" i="1"/>
  <c r="Q1921" i="1"/>
  <c r="R1921" i="1"/>
  <c r="S1921" i="1"/>
  <c r="P1922" i="1"/>
  <c r="Q1922" i="1"/>
  <c r="R1922" i="1"/>
  <c r="S1922" i="1"/>
  <c r="P1923" i="1"/>
  <c r="Q1923" i="1"/>
  <c r="R1923" i="1"/>
  <c r="S1923" i="1"/>
  <c r="P1924" i="1"/>
  <c r="Q1924" i="1"/>
  <c r="R1924" i="1"/>
  <c r="S1924" i="1"/>
  <c r="P1925" i="1"/>
  <c r="Q1925" i="1"/>
  <c r="R1925" i="1"/>
  <c r="S1925" i="1"/>
  <c r="P1926" i="1"/>
  <c r="Q1926" i="1"/>
  <c r="R1926" i="1"/>
  <c r="S1926" i="1"/>
  <c r="P1927" i="1"/>
  <c r="Q1927" i="1"/>
  <c r="R1927" i="1"/>
  <c r="S1927" i="1"/>
  <c r="P1928" i="1"/>
  <c r="Q1928" i="1"/>
  <c r="R1928" i="1"/>
  <c r="S1928" i="1"/>
  <c r="P1929" i="1"/>
  <c r="Q1929" i="1"/>
  <c r="R1929" i="1"/>
  <c r="S1929" i="1"/>
  <c r="P1930" i="1"/>
  <c r="Q1930" i="1"/>
  <c r="R1930" i="1"/>
  <c r="S1930" i="1"/>
  <c r="P1931" i="1"/>
  <c r="Q1931" i="1"/>
  <c r="R1931" i="1"/>
  <c r="S1931" i="1"/>
  <c r="P1932" i="1"/>
  <c r="Q1932" i="1"/>
  <c r="R1932" i="1"/>
  <c r="S1932" i="1"/>
  <c r="P1933" i="1"/>
  <c r="Q1933" i="1"/>
  <c r="R1933" i="1"/>
  <c r="S1933" i="1"/>
  <c r="P1934" i="1"/>
  <c r="Q1934" i="1"/>
  <c r="R1934" i="1"/>
  <c r="S1934" i="1"/>
  <c r="P1935" i="1"/>
  <c r="Q1935" i="1"/>
  <c r="R1935" i="1"/>
  <c r="S1935" i="1"/>
  <c r="P1936" i="1"/>
  <c r="Q1936" i="1"/>
  <c r="R1936" i="1"/>
  <c r="S1936" i="1"/>
  <c r="P1937" i="1"/>
  <c r="Q1937" i="1"/>
  <c r="R1937" i="1"/>
  <c r="S1937" i="1"/>
  <c r="P1938" i="1"/>
  <c r="Q1938" i="1"/>
  <c r="R1938" i="1"/>
  <c r="S1938" i="1"/>
  <c r="P1939" i="1"/>
  <c r="Q1939" i="1"/>
  <c r="R1939" i="1"/>
  <c r="S1939" i="1"/>
  <c r="P1940" i="1"/>
  <c r="Q1940" i="1"/>
  <c r="R1940" i="1"/>
  <c r="S1940" i="1"/>
  <c r="P1941" i="1"/>
  <c r="Q1941" i="1"/>
  <c r="R1941" i="1"/>
  <c r="S1941" i="1"/>
  <c r="P1942" i="1"/>
  <c r="Q1942" i="1"/>
  <c r="R1942" i="1"/>
  <c r="S1942" i="1"/>
  <c r="P1943" i="1"/>
  <c r="Q1943" i="1"/>
  <c r="R1943" i="1"/>
  <c r="S1943" i="1"/>
  <c r="P1944" i="1"/>
  <c r="Q1944" i="1"/>
  <c r="R1944" i="1"/>
  <c r="S1944" i="1"/>
  <c r="P1945" i="1"/>
  <c r="Q1945" i="1"/>
  <c r="R1945" i="1"/>
  <c r="S1945" i="1"/>
  <c r="P1946" i="1"/>
  <c r="Q1946" i="1"/>
  <c r="R1946" i="1"/>
  <c r="S1946" i="1"/>
  <c r="P1947" i="1"/>
  <c r="Q1947" i="1"/>
  <c r="R1947" i="1"/>
  <c r="S1947" i="1"/>
  <c r="P1948" i="1"/>
  <c r="Q1948" i="1"/>
  <c r="R1948" i="1"/>
  <c r="S1948" i="1"/>
  <c r="P1949" i="1"/>
  <c r="Q1949" i="1"/>
  <c r="R1949" i="1"/>
  <c r="S1949" i="1"/>
  <c r="P1950" i="1"/>
  <c r="Q1950" i="1"/>
  <c r="R1950" i="1"/>
  <c r="S1950" i="1"/>
  <c r="P1951" i="1"/>
  <c r="Q1951" i="1"/>
  <c r="R1951" i="1"/>
  <c r="S1951" i="1"/>
  <c r="P1952" i="1"/>
  <c r="Q1952" i="1"/>
  <c r="R1952" i="1"/>
  <c r="S1952" i="1"/>
  <c r="P1953" i="1"/>
  <c r="Q1953" i="1"/>
  <c r="R1953" i="1"/>
  <c r="S1953" i="1"/>
  <c r="P1954" i="1"/>
  <c r="Q1954" i="1"/>
  <c r="R1954" i="1"/>
  <c r="S1954" i="1"/>
  <c r="P1955" i="1"/>
  <c r="Q1955" i="1"/>
  <c r="R1955" i="1"/>
  <c r="S1955" i="1"/>
  <c r="P1956" i="1"/>
  <c r="Q1956" i="1"/>
  <c r="R1956" i="1"/>
  <c r="S1956" i="1"/>
  <c r="P1957" i="1"/>
  <c r="Q1957" i="1"/>
  <c r="R1957" i="1"/>
  <c r="S1957" i="1"/>
  <c r="P1958" i="1"/>
  <c r="Q1958" i="1"/>
  <c r="R1958" i="1"/>
  <c r="S1958" i="1"/>
  <c r="P1959" i="1"/>
  <c r="Q1959" i="1"/>
  <c r="R1959" i="1"/>
  <c r="S1959" i="1"/>
  <c r="S9" i="1"/>
  <c r="R9" i="1"/>
  <c r="P9" i="1"/>
  <c r="F44" i="1"/>
  <c r="F57" i="1"/>
  <c r="M9" i="1"/>
  <c r="F56" i="1" s="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Q409" i="1" s="1"/>
  <c r="L408" i="1"/>
  <c r="Q408" i="1" s="1"/>
  <c r="L407" i="1"/>
  <c r="Q407" i="1" s="1"/>
  <c r="L406" i="1"/>
  <c r="Q406" i="1" s="1"/>
  <c r="L405" i="1"/>
  <c r="Q405" i="1" s="1"/>
  <c r="L404" i="1"/>
  <c r="Q404" i="1" s="1"/>
  <c r="L403" i="1"/>
  <c r="Q403" i="1" s="1"/>
  <c r="L402" i="1"/>
  <c r="Q402" i="1" s="1"/>
  <c r="L401" i="1"/>
  <c r="Q401" i="1" s="1"/>
  <c r="L400" i="1"/>
  <c r="Q400" i="1" s="1"/>
  <c r="L399" i="1"/>
  <c r="Q399" i="1" s="1"/>
  <c r="L398" i="1"/>
  <c r="Q398" i="1" s="1"/>
  <c r="L397" i="1"/>
  <c r="Q397" i="1" s="1"/>
  <c r="L396" i="1"/>
  <c r="Q396" i="1" s="1"/>
  <c r="L395" i="1"/>
  <c r="Q395" i="1" s="1"/>
  <c r="L394" i="1"/>
  <c r="Q394" i="1" s="1"/>
  <c r="L393" i="1"/>
  <c r="Q393" i="1" s="1"/>
  <c r="L392" i="1"/>
  <c r="Q392" i="1" s="1"/>
  <c r="L391" i="1"/>
  <c r="Q391" i="1" s="1"/>
  <c r="L390" i="1"/>
  <c r="Q390" i="1" s="1"/>
  <c r="L389" i="1"/>
  <c r="Q389" i="1" s="1"/>
  <c r="L388" i="1"/>
  <c r="Q388" i="1" s="1"/>
  <c r="L387" i="1"/>
  <c r="Q387" i="1" s="1"/>
  <c r="L386" i="1"/>
  <c r="Q386" i="1" s="1"/>
  <c r="L385" i="1"/>
  <c r="Q385" i="1" s="1"/>
  <c r="L384" i="1"/>
  <c r="Q384" i="1" s="1"/>
  <c r="L383" i="1"/>
  <c r="Q383" i="1" s="1"/>
  <c r="L382" i="1"/>
  <c r="Q382" i="1" s="1"/>
  <c r="L381" i="1"/>
  <c r="Q381" i="1" s="1"/>
  <c r="L380" i="1"/>
  <c r="Q380" i="1" s="1"/>
  <c r="L379" i="1"/>
  <c r="Q379" i="1" s="1"/>
  <c r="L378" i="1"/>
  <c r="Q378" i="1" s="1"/>
  <c r="L377" i="1"/>
  <c r="Q377" i="1" s="1"/>
  <c r="L376" i="1"/>
  <c r="Q376" i="1" s="1"/>
  <c r="L375" i="1"/>
  <c r="Q375" i="1" s="1"/>
  <c r="L374" i="1"/>
  <c r="Q374" i="1" s="1"/>
  <c r="L373" i="1"/>
  <c r="Q373" i="1" s="1"/>
  <c r="L372" i="1"/>
  <c r="Q372" i="1" s="1"/>
  <c r="L371" i="1"/>
  <c r="Q371" i="1" s="1"/>
  <c r="L370" i="1"/>
  <c r="Q370" i="1" s="1"/>
  <c r="L369" i="1"/>
  <c r="Q369" i="1" s="1"/>
  <c r="L368" i="1"/>
  <c r="Q368" i="1" s="1"/>
  <c r="L367" i="1"/>
  <c r="Q367" i="1" s="1"/>
  <c r="L366" i="1"/>
  <c r="Q366" i="1" s="1"/>
  <c r="L365" i="1"/>
  <c r="Q365" i="1" s="1"/>
  <c r="L364" i="1"/>
  <c r="Q364" i="1" s="1"/>
  <c r="L363" i="1"/>
  <c r="Q363" i="1" s="1"/>
  <c r="L362" i="1"/>
  <c r="Q362" i="1" s="1"/>
  <c r="L361" i="1"/>
  <c r="Q361" i="1" s="1"/>
  <c r="L360" i="1"/>
  <c r="Q360" i="1" s="1"/>
  <c r="L359" i="1"/>
  <c r="Q359" i="1" s="1"/>
  <c r="L358" i="1"/>
  <c r="Q358" i="1" s="1"/>
  <c r="L357" i="1"/>
  <c r="Q357" i="1" s="1"/>
  <c r="L356" i="1"/>
  <c r="Q356" i="1" s="1"/>
  <c r="L355" i="1"/>
  <c r="Q355" i="1" s="1"/>
  <c r="L354" i="1"/>
  <c r="Q354" i="1" s="1"/>
  <c r="L353" i="1"/>
  <c r="Q353" i="1" s="1"/>
  <c r="L352" i="1"/>
  <c r="Q352" i="1" s="1"/>
  <c r="L351" i="1"/>
  <c r="Q351" i="1" s="1"/>
  <c r="L350" i="1"/>
  <c r="Q350" i="1" s="1"/>
  <c r="L349" i="1"/>
  <c r="Q349" i="1" s="1"/>
  <c r="L348" i="1"/>
  <c r="Q348" i="1" s="1"/>
  <c r="L347" i="1"/>
  <c r="Q347" i="1" s="1"/>
  <c r="L346" i="1"/>
  <c r="Q346" i="1" s="1"/>
  <c r="L345" i="1"/>
  <c r="Q345" i="1" s="1"/>
  <c r="L344" i="1"/>
  <c r="Q344" i="1" s="1"/>
  <c r="L343" i="1"/>
  <c r="Q343" i="1" s="1"/>
  <c r="L342" i="1"/>
  <c r="Q342" i="1" s="1"/>
  <c r="L341" i="1"/>
  <c r="Q341" i="1" s="1"/>
  <c r="L340" i="1"/>
  <c r="Q340" i="1" s="1"/>
  <c r="L339" i="1"/>
  <c r="Q339" i="1" s="1"/>
  <c r="L338" i="1"/>
  <c r="Q338" i="1" s="1"/>
  <c r="L337" i="1"/>
  <c r="Q337" i="1" s="1"/>
  <c r="L336" i="1"/>
  <c r="Q336" i="1" s="1"/>
  <c r="L335" i="1"/>
  <c r="Q335" i="1" s="1"/>
  <c r="L334" i="1"/>
  <c r="Q334" i="1" s="1"/>
  <c r="L333" i="1"/>
  <c r="Q333" i="1" s="1"/>
  <c r="L332" i="1"/>
  <c r="Q332" i="1" s="1"/>
  <c r="L331" i="1"/>
  <c r="Q331" i="1" s="1"/>
  <c r="L330" i="1"/>
  <c r="Q330" i="1" s="1"/>
  <c r="L329" i="1"/>
  <c r="Q329" i="1" s="1"/>
  <c r="L328" i="1"/>
  <c r="Q328" i="1" s="1"/>
  <c r="L327" i="1"/>
  <c r="Q327" i="1" s="1"/>
  <c r="L326" i="1"/>
  <c r="Q326" i="1" s="1"/>
  <c r="L325" i="1"/>
  <c r="Q325" i="1" s="1"/>
  <c r="L324" i="1"/>
  <c r="Q324" i="1" s="1"/>
  <c r="L323" i="1"/>
  <c r="Q323" i="1" s="1"/>
  <c r="L322" i="1"/>
  <c r="Q322" i="1" s="1"/>
  <c r="L321" i="1"/>
  <c r="Q321" i="1" s="1"/>
  <c r="L320" i="1"/>
  <c r="Q320" i="1" s="1"/>
  <c r="L319" i="1"/>
  <c r="Q319" i="1" s="1"/>
  <c r="L318" i="1"/>
  <c r="Q318" i="1" s="1"/>
  <c r="L317" i="1"/>
  <c r="Q317" i="1" s="1"/>
  <c r="L316" i="1"/>
  <c r="Q316" i="1" s="1"/>
  <c r="L315" i="1"/>
  <c r="Q315" i="1" s="1"/>
  <c r="L314" i="1"/>
  <c r="Q314" i="1" s="1"/>
  <c r="L313" i="1"/>
  <c r="Q313" i="1" s="1"/>
  <c r="L312" i="1"/>
  <c r="Q312" i="1" s="1"/>
  <c r="L311" i="1"/>
  <c r="Q311" i="1" s="1"/>
  <c r="L310" i="1"/>
  <c r="Q310" i="1" s="1"/>
  <c r="L309" i="1"/>
  <c r="Q309" i="1" s="1"/>
  <c r="L308" i="1"/>
  <c r="Q308" i="1" s="1"/>
  <c r="L307" i="1"/>
  <c r="Q307" i="1" s="1"/>
  <c r="L306" i="1"/>
  <c r="Q306" i="1" s="1"/>
  <c r="L305" i="1"/>
  <c r="Q305" i="1" s="1"/>
  <c r="L304" i="1"/>
  <c r="Q304" i="1" s="1"/>
  <c r="L303" i="1"/>
  <c r="Q303" i="1" s="1"/>
  <c r="L302" i="1"/>
  <c r="Q302" i="1" s="1"/>
  <c r="L301" i="1"/>
  <c r="Q301" i="1" s="1"/>
  <c r="L300" i="1"/>
  <c r="Q300" i="1" s="1"/>
  <c r="L299" i="1"/>
  <c r="Q299" i="1" s="1"/>
  <c r="L298" i="1"/>
  <c r="Q298" i="1" s="1"/>
  <c r="L297" i="1"/>
  <c r="Q297" i="1" s="1"/>
  <c r="L296" i="1"/>
  <c r="Q296" i="1" s="1"/>
  <c r="L295" i="1"/>
  <c r="Q295" i="1" s="1"/>
  <c r="L294" i="1"/>
  <c r="Q294" i="1" s="1"/>
  <c r="L293" i="1"/>
  <c r="Q293" i="1" s="1"/>
  <c r="L292" i="1"/>
  <c r="Q292" i="1" s="1"/>
  <c r="L291" i="1"/>
  <c r="Q291" i="1" s="1"/>
  <c r="L290" i="1"/>
  <c r="Q290" i="1" s="1"/>
  <c r="L289" i="1"/>
  <c r="Q289" i="1" s="1"/>
  <c r="L288" i="1"/>
  <c r="Q288" i="1" s="1"/>
  <c r="L287" i="1"/>
  <c r="Q287" i="1" s="1"/>
  <c r="L286" i="1"/>
  <c r="Q286" i="1" s="1"/>
  <c r="L285" i="1"/>
  <c r="Q285" i="1" s="1"/>
  <c r="L284" i="1"/>
  <c r="Q284" i="1" s="1"/>
  <c r="L283" i="1"/>
  <c r="Q283" i="1" s="1"/>
  <c r="L282" i="1"/>
  <c r="Q282" i="1" s="1"/>
  <c r="L281" i="1"/>
  <c r="Q281" i="1" s="1"/>
  <c r="L280" i="1"/>
  <c r="Q280" i="1" s="1"/>
  <c r="L279" i="1"/>
  <c r="Q279" i="1" s="1"/>
  <c r="L278" i="1"/>
  <c r="Q278" i="1" s="1"/>
  <c r="L277" i="1"/>
  <c r="Q277" i="1" s="1"/>
  <c r="L276" i="1"/>
  <c r="Q276" i="1" s="1"/>
  <c r="L275" i="1"/>
  <c r="Q275" i="1" s="1"/>
  <c r="L274" i="1"/>
  <c r="Q274" i="1" s="1"/>
  <c r="L273" i="1"/>
  <c r="Q273" i="1" s="1"/>
  <c r="L272" i="1"/>
  <c r="Q272" i="1" s="1"/>
  <c r="L271" i="1"/>
  <c r="Q271" i="1" s="1"/>
  <c r="L270" i="1"/>
  <c r="Q270" i="1" s="1"/>
  <c r="L269" i="1"/>
  <c r="Q269" i="1" s="1"/>
  <c r="L268" i="1"/>
  <c r="Q268" i="1" s="1"/>
  <c r="L267" i="1"/>
  <c r="Q267" i="1" s="1"/>
  <c r="L266" i="1"/>
  <c r="Q266" i="1" s="1"/>
  <c r="L265" i="1"/>
  <c r="Q265" i="1" s="1"/>
  <c r="L264" i="1"/>
  <c r="Q264" i="1" s="1"/>
  <c r="L263" i="1"/>
  <c r="Q263" i="1" s="1"/>
  <c r="L262" i="1"/>
  <c r="Q262" i="1" s="1"/>
  <c r="L261" i="1"/>
  <c r="Q261" i="1" s="1"/>
  <c r="L260" i="1"/>
  <c r="Q260" i="1" s="1"/>
  <c r="L259" i="1"/>
  <c r="Q259" i="1" s="1"/>
  <c r="L258" i="1"/>
  <c r="Q258" i="1" s="1"/>
  <c r="L257" i="1"/>
  <c r="Q257" i="1" s="1"/>
  <c r="L256" i="1"/>
  <c r="Q256" i="1" s="1"/>
  <c r="L255" i="1"/>
  <c r="Q255" i="1" s="1"/>
  <c r="L254" i="1"/>
  <c r="Q254" i="1" s="1"/>
  <c r="L253" i="1"/>
  <c r="Q253" i="1" s="1"/>
  <c r="L252" i="1"/>
  <c r="Q252" i="1" s="1"/>
  <c r="L251" i="1"/>
  <c r="Q251" i="1" s="1"/>
  <c r="L250" i="1"/>
  <c r="Q250" i="1" s="1"/>
  <c r="L249" i="1"/>
  <c r="Q249" i="1" s="1"/>
  <c r="L248" i="1"/>
  <c r="Q248" i="1" s="1"/>
  <c r="L247" i="1"/>
  <c r="Q247" i="1" s="1"/>
  <c r="L246" i="1"/>
  <c r="Q246" i="1" s="1"/>
  <c r="L245" i="1"/>
  <c r="Q245" i="1" s="1"/>
  <c r="L244" i="1"/>
  <c r="Q244" i="1" s="1"/>
  <c r="L243" i="1"/>
  <c r="Q243" i="1" s="1"/>
  <c r="L242" i="1"/>
  <c r="Q242" i="1" s="1"/>
  <c r="L241" i="1"/>
  <c r="Q241" i="1" s="1"/>
  <c r="L240" i="1"/>
  <c r="Q240" i="1" s="1"/>
  <c r="L239" i="1"/>
  <c r="Q239" i="1" s="1"/>
  <c r="L238" i="1"/>
  <c r="Q238" i="1" s="1"/>
  <c r="L237" i="1"/>
  <c r="Q237" i="1" s="1"/>
  <c r="L236" i="1"/>
  <c r="Q236" i="1" s="1"/>
  <c r="L235" i="1"/>
  <c r="Q235" i="1" s="1"/>
  <c r="L234" i="1"/>
  <c r="Q234" i="1" s="1"/>
  <c r="L233" i="1"/>
  <c r="Q233" i="1" s="1"/>
  <c r="L232" i="1"/>
  <c r="Q232" i="1" s="1"/>
  <c r="L231" i="1"/>
  <c r="Q231" i="1" s="1"/>
  <c r="L230" i="1"/>
  <c r="Q230" i="1" s="1"/>
  <c r="L229" i="1"/>
  <c r="Q229" i="1" s="1"/>
  <c r="L228" i="1"/>
  <c r="Q228" i="1" s="1"/>
  <c r="L227" i="1"/>
  <c r="Q227" i="1" s="1"/>
  <c r="L226" i="1"/>
  <c r="Q226" i="1" s="1"/>
  <c r="L225" i="1"/>
  <c r="Q225" i="1" s="1"/>
  <c r="L224" i="1"/>
  <c r="Q224" i="1" s="1"/>
  <c r="L223" i="1"/>
  <c r="Q223" i="1" s="1"/>
  <c r="L222" i="1"/>
  <c r="Q222" i="1" s="1"/>
  <c r="L221" i="1"/>
  <c r="Q221" i="1" s="1"/>
  <c r="L220" i="1"/>
  <c r="Q220" i="1" s="1"/>
  <c r="L219" i="1"/>
  <c r="Q219" i="1" s="1"/>
  <c r="L218" i="1"/>
  <c r="Q218" i="1" s="1"/>
  <c r="L217" i="1"/>
  <c r="Q217" i="1" s="1"/>
  <c r="L216" i="1"/>
  <c r="Q216" i="1" s="1"/>
  <c r="L215" i="1"/>
  <c r="Q215" i="1" s="1"/>
  <c r="L214" i="1"/>
  <c r="Q214" i="1" s="1"/>
  <c r="L213" i="1"/>
  <c r="Q213" i="1" s="1"/>
  <c r="L212" i="1"/>
  <c r="Q212" i="1" s="1"/>
  <c r="L211" i="1"/>
  <c r="Q211" i="1" s="1"/>
  <c r="L210" i="1"/>
  <c r="Q210" i="1" s="1"/>
  <c r="L209" i="1"/>
  <c r="S209" i="1" s="1"/>
  <c r="L208" i="1"/>
  <c r="Q208" i="1" s="1"/>
  <c r="L207" i="1"/>
  <c r="S207" i="1" s="1"/>
  <c r="L206" i="1"/>
  <c r="Q206" i="1" s="1"/>
  <c r="L205" i="1"/>
  <c r="Q205" i="1" s="1"/>
  <c r="L204" i="1"/>
  <c r="Q204" i="1" s="1"/>
  <c r="L203" i="1"/>
  <c r="S203" i="1" s="1"/>
  <c r="L202" i="1"/>
  <c r="Q202" i="1" s="1"/>
  <c r="L201" i="1"/>
  <c r="S201" i="1" s="1"/>
  <c r="L200" i="1"/>
  <c r="S200" i="1" s="1"/>
  <c r="L199" i="1"/>
  <c r="Q199" i="1" s="1"/>
  <c r="L198" i="1"/>
  <c r="S198" i="1" s="1"/>
  <c r="L197" i="1"/>
  <c r="Q197" i="1" s="1"/>
  <c r="L196" i="1"/>
  <c r="S196" i="1" s="1"/>
  <c r="L195" i="1"/>
  <c r="Q195" i="1" s="1"/>
  <c r="L194" i="1"/>
  <c r="S194" i="1" s="1"/>
  <c r="L193" i="1"/>
  <c r="Q193" i="1" s="1"/>
  <c r="L192" i="1"/>
  <c r="S192" i="1" s="1"/>
  <c r="L191" i="1"/>
  <c r="Q191" i="1" s="1"/>
  <c r="L190" i="1"/>
  <c r="S190" i="1" s="1"/>
  <c r="L189" i="1"/>
  <c r="Q189" i="1" s="1"/>
  <c r="L188" i="1"/>
  <c r="S188" i="1" s="1"/>
  <c r="L187" i="1"/>
  <c r="Q187" i="1" s="1"/>
  <c r="L186" i="1"/>
  <c r="S186" i="1" s="1"/>
  <c r="L185" i="1"/>
  <c r="Q185" i="1" s="1"/>
  <c r="L184" i="1"/>
  <c r="S184" i="1" s="1"/>
  <c r="L183" i="1"/>
  <c r="S183" i="1" s="1"/>
  <c r="L182" i="1"/>
  <c r="S182" i="1" s="1"/>
  <c r="L181" i="1"/>
  <c r="S181" i="1" s="1"/>
  <c r="L180" i="1"/>
  <c r="S180" i="1" s="1"/>
  <c r="L179" i="1"/>
  <c r="S179" i="1" s="1"/>
  <c r="L178" i="1"/>
  <c r="S178" i="1" s="1"/>
  <c r="L177" i="1"/>
  <c r="S177" i="1" s="1"/>
  <c r="L176" i="1"/>
  <c r="S176" i="1" s="1"/>
  <c r="L175" i="1"/>
  <c r="S175" i="1" s="1"/>
  <c r="L174" i="1"/>
  <c r="S174" i="1" s="1"/>
  <c r="L173" i="1"/>
  <c r="S173" i="1" s="1"/>
  <c r="L172" i="1"/>
  <c r="S172" i="1" s="1"/>
  <c r="L171" i="1"/>
  <c r="S171" i="1" s="1"/>
  <c r="L170" i="1"/>
  <c r="S170" i="1" s="1"/>
  <c r="L169" i="1"/>
  <c r="S169" i="1" s="1"/>
  <c r="L168" i="1"/>
  <c r="S168" i="1" s="1"/>
  <c r="L167" i="1"/>
  <c r="S167" i="1" s="1"/>
  <c r="L166" i="1"/>
  <c r="S166" i="1" s="1"/>
  <c r="L165" i="1"/>
  <c r="S165" i="1" s="1"/>
  <c r="L164" i="1"/>
  <c r="S164" i="1" s="1"/>
  <c r="L163" i="1"/>
  <c r="S163" i="1" s="1"/>
  <c r="L162" i="1"/>
  <c r="S162" i="1" s="1"/>
  <c r="L161" i="1"/>
  <c r="S161" i="1" s="1"/>
  <c r="L160" i="1"/>
  <c r="S160" i="1" s="1"/>
  <c r="L159" i="1"/>
  <c r="S159" i="1" s="1"/>
  <c r="L158" i="1"/>
  <c r="Q158" i="1" s="1"/>
  <c r="L157" i="1"/>
  <c r="S157" i="1" s="1"/>
  <c r="L156" i="1"/>
  <c r="Q156" i="1" s="1"/>
  <c r="L155" i="1"/>
  <c r="S155" i="1" s="1"/>
  <c r="L154" i="1"/>
  <c r="Q154" i="1" s="1"/>
  <c r="L153" i="1"/>
  <c r="S153" i="1" s="1"/>
  <c r="L152" i="1"/>
  <c r="Q152" i="1" s="1"/>
  <c r="L151" i="1"/>
  <c r="S151" i="1" s="1"/>
  <c r="L150" i="1"/>
  <c r="Q150" i="1" s="1"/>
  <c r="L149" i="1"/>
  <c r="S149" i="1" s="1"/>
  <c r="L148" i="1"/>
  <c r="Q148" i="1" s="1"/>
  <c r="L147" i="1"/>
  <c r="S147" i="1" s="1"/>
  <c r="L146" i="1"/>
  <c r="Q146" i="1" s="1"/>
  <c r="L145" i="1"/>
  <c r="S145" i="1" s="1"/>
  <c r="L144" i="1"/>
  <c r="Q144" i="1" s="1"/>
  <c r="L143" i="1"/>
  <c r="S143" i="1" s="1"/>
  <c r="L142" i="1"/>
  <c r="S142" i="1" s="1"/>
  <c r="L141" i="1"/>
  <c r="Q141" i="1" s="1"/>
  <c r="L140" i="1"/>
  <c r="S140" i="1" s="1"/>
  <c r="L139" i="1"/>
  <c r="Q139" i="1" s="1"/>
  <c r="L138" i="1"/>
  <c r="S138" i="1" s="1"/>
  <c r="L137" i="1"/>
  <c r="Q137" i="1" s="1"/>
  <c r="L136" i="1"/>
  <c r="S136" i="1" s="1"/>
  <c r="L135" i="1"/>
  <c r="Q135" i="1" s="1"/>
  <c r="L134" i="1"/>
  <c r="S134" i="1" s="1"/>
  <c r="L133" i="1"/>
  <c r="S133" i="1" s="1"/>
  <c r="L132" i="1"/>
  <c r="S132" i="1" s="1"/>
  <c r="L131" i="1"/>
  <c r="S131" i="1" s="1"/>
  <c r="L130" i="1"/>
  <c r="S130" i="1" s="1"/>
  <c r="L129" i="1"/>
  <c r="S129" i="1" s="1"/>
  <c r="L128" i="1"/>
  <c r="S128" i="1" s="1"/>
  <c r="L127" i="1"/>
  <c r="S127" i="1" s="1"/>
  <c r="L126" i="1"/>
  <c r="S126" i="1" s="1"/>
  <c r="L125" i="1"/>
  <c r="S125" i="1" s="1"/>
  <c r="L124" i="1"/>
  <c r="S124" i="1" s="1"/>
  <c r="L123" i="1"/>
  <c r="S123" i="1" s="1"/>
  <c r="L122" i="1"/>
  <c r="S122" i="1" s="1"/>
  <c r="L121" i="1"/>
  <c r="S121" i="1" s="1"/>
  <c r="L120" i="1"/>
  <c r="S120" i="1" s="1"/>
  <c r="L119" i="1"/>
  <c r="S119" i="1" s="1"/>
  <c r="L118" i="1"/>
  <c r="S118" i="1" s="1"/>
  <c r="L117" i="1"/>
  <c r="S117" i="1" s="1"/>
  <c r="L116" i="1"/>
  <c r="S116" i="1" s="1"/>
  <c r="L115" i="1"/>
  <c r="S115" i="1" s="1"/>
  <c r="L114" i="1"/>
  <c r="S114" i="1" s="1"/>
  <c r="L113" i="1"/>
  <c r="S113" i="1" s="1"/>
  <c r="L112" i="1"/>
  <c r="S112" i="1" s="1"/>
  <c r="L111" i="1"/>
  <c r="S111" i="1" s="1"/>
  <c r="L110" i="1"/>
  <c r="S110" i="1" s="1"/>
  <c r="L109" i="1"/>
  <c r="S109" i="1" s="1"/>
  <c r="L108" i="1"/>
  <c r="S108" i="1" s="1"/>
  <c r="L107" i="1"/>
  <c r="S107" i="1" s="1"/>
  <c r="L106" i="1"/>
  <c r="S106" i="1" s="1"/>
  <c r="L105" i="1"/>
  <c r="S105" i="1" s="1"/>
  <c r="L104" i="1"/>
  <c r="Q104" i="1" s="1"/>
  <c r="L103" i="1"/>
  <c r="S103" i="1" s="1"/>
  <c r="L102" i="1"/>
  <c r="Q102" i="1" s="1"/>
  <c r="L101" i="1"/>
  <c r="S101" i="1" s="1"/>
  <c r="L100" i="1"/>
  <c r="Q100" i="1" s="1"/>
  <c r="L99" i="1"/>
  <c r="S99" i="1" s="1"/>
  <c r="L98" i="1"/>
  <c r="Q98" i="1" s="1"/>
  <c r="L97" i="1"/>
  <c r="S97" i="1" s="1"/>
  <c r="L96" i="1"/>
  <c r="Q96" i="1" s="1"/>
  <c r="L95" i="1"/>
  <c r="S95" i="1" s="1"/>
  <c r="L94" i="1"/>
  <c r="Q94" i="1" s="1"/>
  <c r="L93" i="1"/>
  <c r="S93" i="1" s="1"/>
  <c r="L92" i="1"/>
  <c r="Q92" i="1" s="1"/>
  <c r="L91" i="1"/>
  <c r="S91" i="1" s="1"/>
  <c r="L90" i="1"/>
  <c r="Q90" i="1" s="1"/>
  <c r="L89" i="1"/>
  <c r="S89" i="1" s="1"/>
  <c r="L88" i="1"/>
  <c r="S88" i="1" s="1"/>
  <c r="L87" i="1"/>
  <c r="Q87" i="1" s="1"/>
  <c r="L86" i="1"/>
  <c r="Q86" i="1" s="1"/>
  <c r="L85" i="1"/>
  <c r="Q85" i="1" s="1"/>
  <c r="L84" i="1"/>
  <c r="S84" i="1" s="1"/>
  <c r="L83" i="1"/>
  <c r="Q83" i="1" s="1"/>
  <c r="L82" i="1"/>
  <c r="S82" i="1" s="1"/>
  <c r="L81" i="1"/>
  <c r="Q81" i="1" s="1"/>
  <c r="L80" i="1"/>
  <c r="Q80" i="1" s="1"/>
  <c r="L79" i="1"/>
  <c r="Q79" i="1" s="1"/>
  <c r="L78" i="1"/>
  <c r="S78" i="1" s="1"/>
  <c r="L77" i="1"/>
  <c r="S77" i="1" s="1"/>
  <c r="L76" i="1"/>
  <c r="S76" i="1" s="1"/>
  <c r="L75" i="1"/>
  <c r="S75" i="1" s="1"/>
  <c r="L74" i="1"/>
  <c r="S74" i="1" s="1"/>
  <c r="L73" i="1"/>
  <c r="S73" i="1" s="1"/>
  <c r="L72" i="1"/>
  <c r="S72" i="1" s="1"/>
  <c r="L71" i="1"/>
  <c r="S71" i="1" s="1"/>
  <c r="L70" i="1"/>
  <c r="S70" i="1" s="1"/>
  <c r="L69" i="1"/>
  <c r="S69" i="1" s="1"/>
  <c r="L68" i="1"/>
  <c r="S68" i="1" s="1"/>
  <c r="L67" i="1"/>
  <c r="S67" i="1" s="1"/>
  <c r="L66" i="1"/>
  <c r="S66" i="1" s="1"/>
  <c r="L65" i="1"/>
  <c r="S65" i="1" s="1"/>
  <c r="L64" i="1"/>
  <c r="S64" i="1" s="1"/>
  <c r="L63" i="1"/>
  <c r="S63" i="1" s="1"/>
  <c r="L62" i="1"/>
  <c r="S62" i="1" s="1"/>
  <c r="L61" i="1"/>
  <c r="S61" i="1" s="1"/>
  <c r="L60" i="1"/>
  <c r="S60" i="1" s="1"/>
  <c r="L59" i="1"/>
  <c r="S59" i="1" s="1"/>
  <c r="L58" i="1"/>
  <c r="S58" i="1" s="1"/>
  <c r="L57" i="1"/>
  <c r="S57" i="1" s="1"/>
  <c r="L56" i="1"/>
  <c r="S56" i="1" s="1"/>
  <c r="L55" i="1"/>
  <c r="S55" i="1" s="1"/>
  <c r="L54" i="1"/>
  <c r="S54" i="1" s="1"/>
  <c r="L53" i="1"/>
  <c r="S53" i="1" s="1"/>
  <c r="L52" i="1"/>
  <c r="S52" i="1" s="1"/>
  <c r="L51" i="1"/>
  <c r="S51" i="1" s="1"/>
  <c r="L50" i="1"/>
  <c r="S50" i="1" s="1"/>
  <c r="L49" i="1"/>
  <c r="S49" i="1" s="1"/>
  <c r="L48" i="1"/>
  <c r="S48" i="1" s="1"/>
  <c r="L47" i="1"/>
  <c r="S47" i="1" s="1"/>
  <c r="L46" i="1"/>
  <c r="S46" i="1" s="1"/>
  <c r="L45" i="1"/>
  <c r="S45" i="1" s="1"/>
  <c r="L44" i="1"/>
  <c r="S44" i="1" s="1"/>
  <c r="L43" i="1"/>
  <c r="S43" i="1" s="1"/>
  <c r="L42" i="1"/>
  <c r="S42" i="1" s="1"/>
  <c r="L41" i="1"/>
  <c r="S41" i="1" s="1"/>
  <c r="L40" i="1"/>
  <c r="S40" i="1" s="1"/>
  <c r="L39" i="1"/>
  <c r="S39" i="1" s="1"/>
  <c r="L38" i="1"/>
  <c r="S38" i="1" s="1"/>
  <c r="L37" i="1"/>
  <c r="S37" i="1" s="1"/>
  <c r="L36" i="1"/>
  <c r="S36" i="1" s="1"/>
  <c r="L35" i="1"/>
  <c r="S35" i="1" s="1"/>
  <c r="L34" i="1"/>
  <c r="S34" i="1" s="1"/>
  <c r="L33" i="1"/>
  <c r="S33" i="1" s="1"/>
  <c r="L32" i="1"/>
  <c r="S32" i="1" s="1"/>
  <c r="L31" i="1"/>
  <c r="Q31" i="1" s="1"/>
  <c r="L30" i="1"/>
  <c r="Q30" i="1" s="1"/>
  <c r="L29" i="1"/>
  <c r="Q29" i="1" s="1"/>
  <c r="L28" i="1"/>
  <c r="Q28" i="1" s="1"/>
  <c r="L27" i="1"/>
  <c r="Q27" i="1" s="1"/>
  <c r="L26" i="1"/>
  <c r="Q26" i="1" s="1"/>
  <c r="L25" i="1"/>
  <c r="Q25" i="1" s="1"/>
  <c r="L24" i="1"/>
  <c r="Q24" i="1" s="1"/>
  <c r="L23" i="1"/>
  <c r="Q23" i="1" s="1"/>
  <c r="L22" i="1"/>
  <c r="Q22" i="1" s="1"/>
  <c r="L21" i="1"/>
  <c r="Q21" i="1" s="1"/>
  <c r="L20" i="1"/>
  <c r="Q20" i="1" s="1"/>
  <c r="L19" i="1"/>
  <c r="Q19" i="1" s="1"/>
  <c r="L18" i="1"/>
  <c r="Q18" i="1" s="1"/>
  <c r="L17" i="1"/>
  <c r="Q17" i="1" s="1"/>
  <c r="L16" i="1"/>
  <c r="Q16" i="1" s="1"/>
  <c r="L15" i="1"/>
  <c r="Q15" i="1" s="1"/>
  <c r="L14" i="1"/>
  <c r="Q14" i="1" s="1"/>
  <c r="L13" i="1"/>
  <c r="Q13" i="1" s="1"/>
  <c r="L12" i="1"/>
  <c r="Q12" i="1" s="1"/>
  <c r="L11" i="1"/>
  <c r="Q11" i="1" s="1"/>
  <c r="L10" i="1"/>
  <c r="Q10" i="1" s="1"/>
  <c r="L9" i="1"/>
  <c r="Q9" i="1" s="1"/>
  <c r="D34" i="1"/>
  <c r="C34" i="1"/>
  <c r="C33" i="1"/>
  <c r="D33" i="1" s="1"/>
  <c r="C32" i="1"/>
  <c r="D32" i="1" s="1"/>
  <c r="C31" i="1"/>
  <c r="D31" i="1" s="1"/>
  <c r="C30" i="1"/>
  <c r="D30" i="1" s="1"/>
  <c r="C29" i="1"/>
  <c r="D29" i="1" s="1"/>
  <c r="C28" i="1"/>
  <c r="D28" i="1" s="1"/>
  <c r="C27" i="1"/>
  <c r="D27" i="1" s="1"/>
  <c r="C26" i="1"/>
  <c r="D26" i="1" s="1"/>
  <c r="C25" i="1"/>
  <c r="D25" i="1" s="1"/>
  <c r="C24" i="1"/>
  <c r="D24" i="1" s="1"/>
  <c r="C23" i="1"/>
  <c r="D23" i="1" s="1"/>
  <c r="C22" i="1"/>
  <c r="D22" i="1" s="1"/>
  <c r="C21" i="1"/>
  <c r="D21" i="1" s="1"/>
  <c r="D20" i="1"/>
  <c r="B49" i="1"/>
  <c r="K1509" i="1"/>
  <c r="D35" i="1" l="1"/>
  <c r="Q207" i="1"/>
  <c r="Q196" i="1"/>
  <c r="Q209" i="1"/>
  <c r="Q201" i="1"/>
  <c r="Q198" i="1"/>
  <c r="Q203" i="1"/>
  <c r="Q200" i="1"/>
  <c r="Q194" i="1"/>
  <c r="Q186" i="1"/>
  <c r="Q183" i="1"/>
  <c r="Q188" i="1"/>
  <c r="Q180" i="1"/>
  <c r="Q190" i="1"/>
  <c r="Q182" i="1"/>
  <c r="Q192" i="1"/>
  <c r="Q184" i="1"/>
  <c r="Q181" i="1"/>
  <c r="Q178" i="1"/>
  <c r="Q175" i="1"/>
  <c r="Q172" i="1"/>
  <c r="Q177" i="1"/>
  <c r="Q174" i="1"/>
  <c r="Q179" i="1"/>
  <c r="Q176" i="1"/>
  <c r="Q173" i="1"/>
  <c r="Q165" i="1"/>
  <c r="Q170" i="1"/>
  <c r="Q167" i="1"/>
  <c r="Q169" i="1"/>
  <c r="Q166" i="1"/>
  <c r="Q171" i="1"/>
  <c r="Q168" i="1"/>
  <c r="Q163" i="1"/>
  <c r="Q160" i="1"/>
  <c r="Q162" i="1"/>
  <c r="Q164" i="1"/>
  <c r="Q161" i="1"/>
  <c r="Q157" i="1"/>
  <c r="Q159" i="1"/>
  <c r="Q136" i="1"/>
  <c r="Q128" i="1"/>
  <c r="Q120" i="1"/>
  <c r="Q149" i="1"/>
  <c r="Q133" i="1"/>
  <c r="Q125" i="1"/>
  <c r="Q138" i="1"/>
  <c r="Q130" i="1"/>
  <c r="Q122" i="1"/>
  <c r="Q151" i="1"/>
  <c r="Q143" i="1"/>
  <c r="Q127" i="1"/>
  <c r="Q119" i="1"/>
  <c r="Q140" i="1"/>
  <c r="Q132" i="1"/>
  <c r="Q124" i="1"/>
  <c r="Q153" i="1"/>
  <c r="Q145" i="1"/>
  <c r="Q129" i="1"/>
  <c r="Q121" i="1"/>
  <c r="Q142" i="1"/>
  <c r="Q134" i="1"/>
  <c r="Q126" i="1"/>
  <c r="Q118" i="1"/>
  <c r="Q155" i="1"/>
  <c r="Q147" i="1"/>
  <c r="Q131" i="1"/>
  <c r="Q123" i="1"/>
  <c r="F51" i="1"/>
  <c r="F45" i="1" s="1"/>
  <c r="S24" i="1"/>
  <c r="S16" i="1"/>
  <c r="S21" i="1"/>
  <c r="S26" i="1"/>
  <c r="S18" i="1"/>
  <c r="S23" i="1"/>
  <c r="S15" i="1"/>
  <c r="S28" i="1"/>
  <c r="S20" i="1"/>
  <c r="S25" i="1"/>
  <c r="S17" i="1"/>
  <c r="S22" i="1"/>
  <c r="S14" i="1"/>
  <c r="S27" i="1"/>
  <c r="S19" i="1"/>
  <c r="S29" i="1"/>
  <c r="S31" i="1"/>
  <c r="S30" i="1"/>
  <c r="Q114" i="1"/>
  <c r="Q106" i="1"/>
  <c r="Q82" i="1"/>
  <c r="Q111" i="1"/>
  <c r="Q103" i="1"/>
  <c r="Q95" i="1"/>
  <c r="Q116" i="1"/>
  <c r="Q108" i="1"/>
  <c r="Q84" i="1"/>
  <c r="Q76" i="1"/>
  <c r="Q113" i="1"/>
  <c r="Q105" i="1"/>
  <c r="Q97" i="1"/>
  <c r="Q89" i="1"/>
  <c r="Q110" i="1"/>
  <c r="Q78" i="1"/>
  <c r="Q115" i="1"/>
  <c r="Q107" i="1"/>
  <c r="Q99" i="1"/>
  <c r="Q91" i="1"/>
  <c r="Q75" i="1"/>
  <c r="Q112" i="1"/>
  <c r="Q88" i="1"/>
  <c r="Q117" i="1"/>
  <c r="Q109" i="1"/>
  <c r="Q101" i="1"/>
  <c r="Q93" i="1"/>
  <c r="Q77" i="1"/>
  <c r="Q67" i="1"/>
  <c r="Q59" i="1"/>
  <c r="Q72" i="1"/>
  <c r="Q64" i="1"/>
  <c r="Q56" i="1"/>
  <c r="Q69" i="1"/>
  <c r="Q61" i="1"/>
  <c r="Q74" i="1"/>
  <c r="Q66" i="1"/>
  <c r="Q58" i="1"/>
  <c r="Q71" i="1"/>
  <c r="Q63" i="1"/>
  <c r="Q55" i="1"/>
  <c r="Q68" i="1"/>
  <c r="Q60" i="1"/>
  <c r="Q73" i="1"/>
  <c r="Q65" i="1"/>
  <c r="Q57" i="1"/>
  <c r="Q70" i="1"/>
  <c r="Q62" i="1"/>
  <c r="Q54" i="1"/>
  <c r="Q53" i="1"/>
  <c r="Q45" i="1"/>
  <c r="Q50" i="1"/>
  <c r="Q47" i="1"/>
  <c r="Q52" i="1"/>
  <c r="Q44" i="1"/>
  <c r="Q49" i="1"/>
  <c r="Q46" i="1"/>
  <c r="Q51" i="1"/>
  <c r="Q48" i="1"/>
  <c r="Q43" i="1"/>
  <c r="Q40" i="1"/>
  <c r="Q42" i="1"/>
  <c r="Q39" i="1"/>
  <c r="Q41" i="1"/>
  <c r="Q38" i="1"/>
  <c r="Q37" i="1"/>
  <c r="Q36" i="1"/>
  <c r="Q35" i="1"/>
  <c r="Q34" i="1"/>
  <c r="Q33" i="1"/>
  <c r="N1471" i="1"/>
  <c r="N1487" i="1"/>
  <c r="N1503" i="1"/>
  <c r="N1547" i="1"/>
  <c r="N1563" i="1"/>
  <c r="N1627" i="1"/>
  <c r="N1659" i="1"/>
  <c r="N1675" i="1"/>
  <c r="N1691" i="1"/>
  <c r="N1755" i="1"/>
  <c r="N1771" i="1"/>
  <c r="N1803" i="1"/>
  <c r="N1819" i="1"/>
  <c r="N1883" i="1"/>
  <c r="N1899" i="1"/>
  <c r="N1915" i="1"/>
  <c r="N1931" i="1"/>
  <c r="N1947" i="1"/>
  <c r="Q32" i="1"/>
  <c r="N1787" i="1"/>
  <c r="N1515" i="1"/>
  <c r="N1531" i="1"/>
  <c r="N1643" i="1"/>
  <c r="N1569" i="1"/>
  <c r="N1857" i="1"/>
  <c r="N1633" i="1"/>
  <c r="N1729" i="1"/>
  <c r="N1777" i="1"/>
  <c r="N1905" i="1"/>
  <c r="N1681" i="1"/>
  <c r="N1761" i="1"/>
  <c r="N1921" i="1"/>
  <c r="N1611" i="1"/>
  <c r="N1537" i="1"/>
  <c r="N1585" i="1"/>
  <c r="N1665" i="1"/>
  <c r="N1697" i="1"/>
  <c r="N1809" i="1"/>
  <c r="N1841" i="1"/>
  <c r="N1889" i="1"/>
  <c r="N1937" i="1"/>
  <c r="N1579" i="1"/>
  <c r="N1595" i="1"/>
  <c r="N1739" i="1"/>
  <c r="N1521" i="1"/>
  <c r="N1553" i="1"/>
  <c r="N1601" i="1"/>
  <c r="N1649" i="1"/>
  <c r="N1745" i="1"/>
  <c r="N1873" i="1"/>
  <c r="N1723" i="1"/>
  <c r="N1835" i="1"/>
  <c r="N1867" i="1"/>
  <c r="N1437" i="1"/>
  <c r="N1617" i="1"/>
  <c r="N1713" i="1"/>
  <c r="N1793" i="1"/>
  <c r="N1825" i="1"/>
  <c r="N1953" i="1"/>
  <c r="N1707" i="1"/>
  <c r="N1851" i="1"/>
  <c r="N1417" i="1"/>
  <c r="N1425" i="1"/>
  <c r="N1433" i="1"/>
  <c r="N1441" i="1"/>
  <c r="N1449" i="1"/>
  <c r="N1457" i="1"/>
  <c r="N1465" i="1"/>
  <c r="N1473" i="1"/>
  <c r="N1481" i="1"/>
  <c r="N1489" i="1"/>
  <c r="N1497" i="1"/>
  <c r="N1505" i="1"/>
  <c r="N1513" i="1"/>
  <c r="N1529" i="1"/>
  <c r="N1545" i="1"/>
  <c r="N1561" i="1"/>
  <c r="N1577" i="1"/>
  <c r="N1593" i="1"/>
  <c r="N1609" i="1"/>
  <c r="N1625" i="1"/>
  <c r="N1641" i="1"/>
  <c r="N1657" i="1"/>
  <c r="N1673" i="1"/>
  <c r="N1689" i="1"/>
  <c r="N1705" i="1"/>
  <c r="N1721" i="1"/>
  <c r="N1737" i="1"/>
  <c r="N1753" i="1"/>
  <c r="N1769" i="1"/>
  <c r="N1785" i="1"/>
  <c r="N1801" i="1"/>
  <c r="N1817" i="1"/>
  <c r="N1833" i="1"/>
  <c r="N1849" i="1"/>
  <c r="N1865" i="1"/>
  <c r="N1881" i="1"/>
  <c r="N1897" i="1"/>
  <c r="N1913" i="1"/>
  <c r="N1929" i="1"/>
  <c r="N1945" i="1"/>
  <c r="N1619" i="1"/>
  <c r="N1747" i="1"/>
  <c r="N1475" i="1"/>
  <c r="N1499" i="1"/>
  <c r="N1523" i="1"/>
  <c r="N1635" i="1"/>
  <c r="N1667" i="1"/>
  <c r="N1715" i="1"/>
  <c r="N1779" i="1"/>
  <c r="N1811" i="1"/>
  <c r="N1843" i="1"/>
  <c r="N1939" i="1"/>
  <c r="N1467" i="1"/>
  <c r="N1483" i="1"/>
  <c r="N1507" i="1"/>
  <c r="N1555" i="1"/>
  <c r="N1571" i="1"/>
  <c r="N1587" i="1"/>
  <c r="N1683" i="1"/>
  <c r="N1763" i="1"/>
  <c r="N1875" i="1"/>
  <c r="N1891" i="1"/>
  <c r="N1923" i="1"/>
  <c r="N1955" i="1"/>
  <c r="N215" i="1"/>
  <c r="N239" i="1"/>
  <c r="N255" i="1"/>
  <c r="N1421" i="1"/>
  <c r="N1453" i="1"/>
  <c r="N1519" i="1"/>
  <c r="N1535" i="1"/>
  <c r="N1551" i="1"/>
  <c r="N1559" i="1"/>
  <c r="N1575" i="1"/>
  <c r="N1591" i="1"/>
  <c r="N1607" i="1"/>
  <c r="N1623" i="1"/>
  <c r="N1639" i="1"/>
  <c r="N1655" i="1"/>
  <c r="N1629" i="1"/>
  <c r="N1695" i="1"/>
  <c r="N1711" i="1"/>
  <c r="N1735" i="1"/>
  <c r="N1751" i="1"/>
  <c r="N1767" i="1"/>
  <c r="N1783" i="1"/>
  <c r="N1799" i="1"/>
  <c r="N1815" i="1"/>
  <c r="N1831" i="1"/>
  <c r="N1847" i="1"/>
  <c r="N1863" i="1"/>
  <c r="N1879" i="1"/>
  <c r="N1895" i="1"/>
  <c r="N1911" i="1"/>
  <c r="N1927" i="1"/>
  <c r="N1943" i="1"/>
  <c r="N1959" i="1"/>
  <c r="N1925" i="1"/>
  <c r="N1957" i="1"/>
  <c r="N1491" i="1"/>
  <c r="N1539" i="1"/>
  <c r="N1603" i="1"/>
  <c r="N1651" i="1"/>
  <c r="N1699" i="1"/>
  <c r="N1731" i="1"/>
  <c r="N1795" i="1"/>
  <c r="N1827" i="1"/>
  <c r="N1859" i="1"/>
  <c r="N1907" i="1"/>
  <c r="N223" i="1"/>
  <c r="N231" i="1"/>
  <c r="N247" i="1"/>
  <c r="N1479" i="1"/>
  <c r="N1495" i="1"/>
  <c r="N1511" i="1"/>
  <c r="N1527" i="1"/>
  <c r="N1543" i="1"/>
  <c r="N1517" i="1"/>
  <c r="N1583" i="1"/>
  <c r="N1599" i="1"/>
  <c r="N1615" i="1"/>
  <c r="N1631" i="1"/>
  <c r="N1647" i="1"/>
  <c r="N1663" i="1"/>
  <c r="N1671" i="1"/>
  <c r="N1687" i="1"/>
  <c r="N1703" i="1"/>
  <c r="N1719" i="1"/>
  <c r="N1727" i="1"/>
  <c r="N1743" i="1"/>
  <c r="N1709" i="1"/>
  <c r="N1775" i="1"/>
  <c r="N1791" i="1"/>
  <c r="N1807" i="1"/>
  <c r="N1823" i="1"/>
  <c r="N1839" i="1"/>
  <c r="N1855" i="1"/>
  <c r="N1871" i="1"/>
  <c r="N1837" i="1"/>
  <c r="N1903" i="1"/>
  <c r="N1919" i="1"/>
  <c r="N1935" i="1"/>
  <c r="N1901" i="1"/>
  <c r="N1917" i="1"/>
  <c r="N1933" i="1"/>
  <c r="N1941" i="1"/>
  <c r="N1949" i="1"/>
  <c r="N80" i="1"/>
  <c r="N1677" i="1"/>
  <c r="N1853" i="1"/>
  <c r="N1679" i="1"/>
  <c r="N1951" i="1"/>
  <c r="N1533" i="1"/>
  <c r="N1549" i="1"/>
  <c r="N1565" i="1"/>
  <c r="N1581" i="1"/>
  <c r="N1597" i="1"/>
  <c r="N1613" i="1"/>
  <c r="N1645" i="1"/>
  <c r="N1661" i="1"/>
  <c r="N1693" i="1"/>
  <c r="N1725" i="1"/>
  <c r="N1741" i="1"/>
  <c r="N1757" i="1"/>
  <c r="N1773" i="1"/>
  <c r="N1789" i="1"/>
  <c r="N1805" i="1"/>
  <c r="N1821" i="1"/>
  <c r="N1869" i="1"/>
  <c r="N1885" i="1"/>
  <c r="N1461" i="1"/>
  <c r="N1567" i="1"/>
  <c r="N1759" i="1"/>
  <c r="N1887" i="1"/>
  <c r="N211" i="1"/>
  <c r="N243" i="1"/>
  <c r="N275" i="1"/>
  <c r="N219" i="1"/>
  <c r="N227" i="1"/>
  <c r="N235" i="1"/>
  <c r="N251" i="1"/>
  <c r="N259" i="1"/>
  <c r="N299" i="1"/>
  <c r="N1525" i="1"/>
  <c r="N1541" i="1"/>
  <c r="N1557" i="1"/>
  <c r="N1573" i="1"/>
  <c r="N1589" i="1"/>
  <c r="N1605" i="1"/>
  <c r="N1621" i="1"/>
  <c r="N1637" i="1"/>
  <c r="N1653" i="1"/>
  <c r="N1669" i="1"/>
  <c r="N1685" i="1"/>
  <c r="N1701" i="1"/>
  <c r="N1717" i="1"/>
  <c r="N1733" i="1"/>
  <c r="N1749" i="1"/>
  <c r="N1765" i="1"/>
  <c r="N1781" i="1"/>
  <c r="N1797" i="1"/>
  <c r="N1813" i="1"/>
  <c r="N1829" i="1"/>
  <c r="N1845" i="1"/>
  <c r="N1861" i="1"/>
  <c r="N1877" i="1"/>
  <c r="N1893" i="1"/>
  <c r="N1909" i="1"/>
  <c r="N207" i="1"/>
  <c r="N1445" i="1"/>
  <c r="N1469" i="1"/>
  <c r="N1477" i="1"/>
  <c r="N1485" i="1"/>
  <c r="N1493" i="1"/>
  <c r="N1501" i="1"/>
  <c r="N1509" i="1"/>
  <c r="N1078" i="1"/>
  <c r="N1158" i="1"/>
  <c r="N1429" i="1"/>
  <c r="N53" i="1"/>
  <c r="N179" i="1"/>
  <c r="N203" i="1"/>
  <c r="N127" i="1"/>
  <c r="N96" i="1"/>
  <c r="N24" i="1"/>
  <c r="N462" i="1"/>
  <c r="N98" i="1"/>
  <c r="N38" i="1"/>
  <c r="N84" i="1"/>
  <c r="N142" i="1"/>
  <c r="N799" i="1"/>
  <c r="N17" i="1"/>
  <c r="N77" i="1"/>
  <c r="N101" i="1"/>
  <c r="N201" i="1"/>
  <c r="N205" i="1"/>
  <c r="N225" i="1"/>
  <c r="N28" i="1"/>
  <c r="N135" i="1"/>
  <c r="N160" i="1"/>
  <c r="N162" i="1"/>
  <c r="N164" i="1"/>
  <c r="N166" i="1"/>
  <c r="N168" i="1"/>
  <c r="N170" i="1"/>
  <c r="N172" i="1"/>
  <c r="N174" i="1"/>
  <c r="N176" i="1"/>
  <c r="N178" i="1"/>
  <c r="N180" i="1"/>
  <c r="N182" i="1"/>
  <c r="N184" i="1"/>
  <c r="N186" i="1"/>
  <c r="N188" i="1"/>
  <c r="N190" i="1"/>
  <c r="N192" i="1"/>
  <c r="N194" i="1"/>
  <c r="N196" i="1"/>
  <c r="N198" i="1"/>
  <c r="N200" i="1"/>
  <c r="N718" i="1"/>
  <c r="N880" i="1"/>
  <c r="N9" i="1"/>
  <c r="O9" i="1" s="1"/>
  <c r="N69" i="1"/>
  <c r="N117" i="1"/>
  <c r="N163" i="1"/>
  <c r="N139" i="1"/>
  <c r="N1412" i="1"/>
  <c r="N137" i="1"/>
  <c r="N334" i="1"/>
  <c r="N1284" i="1"/>
  <c r="N13" i="1"/>
  <c r="N21" i="1"/>
  <c r="N45" i="1"/>
  <c r="N61" i="1"/>
  <c r="N73" i="1"/>
  <c r="N109" i="1"/>
  <c r="N123" i="1"/>
  <c r="N131" i="1"/>
  <c r="N153" i="1"/>
  <c r="N171" i="1"/>
  <c r="N590" i="1"/>
  <c r="N1094" i="1"/>
  <c r="N398" i="1"/>
  <c r="N816" i="1"/>
  <c r="N1126" i="1"/>
  <c r="N1220" i="1"/>
  <c r="N26" i="1"/>
  <c r="N34" i="1"/>
  <c r="N41" i="1"/>
  <c r="N49" i="1"/>
  <c r="N57" i="1"/>
  <c r="N65" i="1"/>
  <c r="N71" i="1"/>
  <c r="N75" i="1"/>
  <c r="N93" i="1"/>
  <c r="N105" i="1"/>
  <c r="N113" i="1"/>
  <c r="N121" i="1"/>
  <c r="N125" i="1"/>
  <c r="N129" i="1"/>
  <c r="N133" i="1"/>
  <c r="N159" i="1"/>
  <c r="N167" i="1"/>
  <c r="N175" i="1"/>
  <c r="N183" i="1"/>
  <c r="N270" i="1"/>
  <c r="N526" i="1"/>
  <c r="N654" i="1"/>
  <c r="N782" i="1"/>
  <c r="N984" i="1"/>
  <c r="N1348" i="1"/>
  <c r="N848" i="1"/>
  <c r="N920" i="1"/>
  <c r="N1048" i="1"/>
  <c r="N1142" i="1"/>
  <c r="N1188" i="1"/>
  <c r="N1252" i="1"/>
  <c r="N1380" i="1"/>
  <c r="N11" i="1"/>
  <c r="N15" i="1"/>
  <c r="N19" i="1"/>
  <c r="N23" i="1"/>
  <c r="N25" i="1"/>
  <c r="N27" i="1"/>
  <c r="N32" i="1"/>
  <c r="N36" i="1"/>
  <c r="N39" i="1"/>
  <c r="N43" i="1"/>
  <c r="N47" i="1"/>
  <c r="N51" i="1"/>
  <c r="N55" i="1"/>
  <c r="N59" i="1"/>
  <c r="N63" i="1"/>
  <c r="N67" i="1"/>
  <c r="N70" i="1"/>
  <c r="N72" i="1"/>
  <c r="N74" i="1"/>
  <c r="N76" i="1"/>
  <c r="N78" i="1"/>
  <c r="N82" i="1"/>
  <c r="N88" i="1"/>
  <c r="N95" i="1"/>
  <c r="N97" i="1"/>
  <c r="N99" i="1"/>
  <c r="N103" i="1"/>
  <c r="N107" i="1"/>
  <c r="N111" i="1"/>
  <c r="N115" i="1"/>
  <c r="N119" i="1"/>
  <c r="N122" i="1"/>
  <c r="N124" i="1"/>
  <c r="N126" i="1"/>
  <c r="N128" i="1"/>
  <c r="N130" i="1"/>
  <c r="N132" i="1"/>
  <c r="N134" i="1"/>
  <c r="N136" i="1"/>
  <c r="N138" i="1"/>
  <c r="N140" i="1"/>
  <c r="N151" i="1"/>
  <c r="N157" i="1"/>
  <c r="N161" i="1"/>
  <c r="N165" i="1"/>
  <c r="N169" i="1"/>
  <c r="N173" i="1"/>
  <c r="N177" i="1"/>
  <c r="N181" i="1"/>
  <c r="N212" i="1"/>
  <c r="N238" i="1"/>
  <c r="N302" i="1"/>
  <c r="N366" i="1"/>
  <c r="N430" i="1"/>
  <c r="N494" i="1"/>
  <c r="N558" i="1"/>
  <c r="N622" i="1"/>
  <c r="N686" i="1"/>
  <c r="N750" i="1"/>
  <c r="N1110" i="1"/>
  <c r="N1316" i="1"/>
  <c r="N350" i="1"/>
  <c r="N510" i="1"/>
  <c r="N574" i="1"/>
  <c r="N670" i="1"/>
  <c r="N800" i="1"/>
  <c r="N952" i="1"/>
  <c r="N1204" i="1"/>
  <c r="N1268" i="1"/>
  <c r="N1332" i="1"/>
  <c r="N1396" i="1"/>
  <c r="N16" i="1"/>
  <c r="N18" i="1"/>
  <c r="N20" i="1"/>
  <c r="N22" i="1"/>
  <c r="N56" i="1"/>
  <c r="N58" i="1"/>
  <c r="N60" i="1"/>
  <c r="N62" i="1"/>
  <c r="N64" i="1"/>
  <c r="N66" i="1"/>
  <c r="N68" i="1"/>
  <c r="N110" i="1"/>
  <c r="N112" i="1"/>
  <c r="N114" i="1"/>
  <c r="N116" i="1"/>
  <c r="N118" i="1"/>
  <c r="N120" i="1"/>
  <c r="N254" i="1"/>
  <c r="N286" i="1"/>
  <c r="N318" i="1"/>
  <c r="N382" i="1"/>
  <c r="N414" i="1"/>
  <c r="N446" i="1"/>
  <c r="N478" i="1"/>
  <c r="N542" i="1"/>
  <c r="N606" i="1"/>
  <c r="N638" i="1"/>
  <c r="N702" i="1"/>
  <c r="N734" i="1"/>
  <c r="N766" i="1"/>
  <c r="N798" i="1"/>
  <c r="N832" i="1"/>
  <c r="N864" i="1"/>
  <c r="N896" i="1"/>
  <c r="N1016" i="1"/>
  <c r="N1236" i="1"/>
  <c r="N1300" i="1"/>
  <c r="N1364" i="1"/>
  <c r="S79" i="1"/>
  <c r="N29" i="1"/>
  <c r="N79" i="1"/>
  <c r="S83" i="1"/>
  <c r="N83" i="1"/>
  <c r="N33" i="1"/>
  <c r="S92" i="1"/>
  <c r="N92" i="1"/>
  <c r="N42" i="1"/>
  <c r="S96" i="1"/>
  <c r="N46" i="1"/>
  <c r="S100" i="1"/>
  <c r="N50" i="1"/>
  <c r="S104" i="1"/>
  <c r="N54" i="1"/>
  <c r="S135" i="1"/>
  <c r="N85" i="1"/>
  <c r="S146" i="1"/>
  <c r="N146" i="1"/>
  <c r="S152" i="1"/>
  <c r="N102" i="1"/>
  <c r="S156" i="1"/>
  <c r="N106" i="1"/>
  <c r="S185" i="1"/>
  <c r="N185" i="1"/>
  <c r="S189" i="1"/>
  <c r="N189" i="1"/>
  <c r="S193" i="1"/>
  <c r="N193" i="1"/>
  <c r="N143" i="1"/>
  <c r="S197" i="1"/>
  <c r="N197" i="1"/>
  <c r="S199" i="1"/>
  <c r="N199" i="1"/>
  <c r="N149" i="1"/>
  <c r="S202" i="1"/>
  <c r="N152" i="1"/>
  <c r="S206" i="1"/>
  <c r="N156" i="1"/>
  <c r="N204" i="1"/>
  <c r="N216" i="1"/>
  <c r="N220" i="1"/>
  <c r="N224" i="1"/>
  <c r="N228" i="1"/>
  <c r="N230" i="1"/>
  <c r="N234" i="1"/>
  <c r="N240" i="1"/>
  <c r="N244" i="1"/>
  <c r="N248" i="1"/>
  <c r="N252" i="1"/>
  <c r="N256" i="1"/>
  <c r="N260" i="1"/>
  <c r="N262" i="1"/>
  <c r="N266" i="1"/>
  <c r="N272" i="1"/>
  <c r="N276" i="1"/>
  <c r="N280" i="1"/>
  <c r="N284" i="1"/>
  <c r="N288" i="1"/>
  <c r="N292" i="1"/>
  <c r="N294" i="1"/>
  <c r="N298" i="1"/>
  <c r="N304" i="1"/>
  <c r="N308" i="1"/>
  <c r="N312" i="1"/>
  <c r="N314" i="1"/>
  <c r="N320" i="1"/>
  <c r="N324" i="1"/>
  <c r="N328" i="1"/>
  <c r="N332" i="1"/>
  <c r="N336" i="1"/>
  <c r="N340" i="1"/>
  <c r="N342" i="1"/>
  <c r="N346" i="1"/>
  <c r="N354" i="1"/>
  <c r="N358" i="1"/>
  <c r="N362" i="1"/>
  <c r="N368" i="1"/>
  <c r="N372" i="1"/>
  <c r="N376" i="1"/>
  <c r="N380" i="1"/>
  <c r="N384" i="1"/>
  <c r="N388" i="1"/>
  <c r="N392" i="1"/>
  <c r="N396" i="1"/>
  <c r="N400" i="1"/>
  <c r="N404" i="1"/>
  <c r="N408" i="1"/>
  <c r="N412" i="1"/>
  <c r="N416" i="1"/>
  <c r="N420" i="1"/>
  <c r="N424" i="1"/>
  <c r="N428" i="1"/>
  <c r="N432" i="1"/>
  <c r="N436" i="1"/>
  <c r="N440" i="1"/>
  <c r="N444" i="1"/>
  <c r="N448" i="1"/>
  <c r="N452" i="1"/>
  <c r="N454" i="1"/>
  <c r="N458" i="1"/>
  <c r="N464" i="1"/>
  <c r="N466" i="1"/>
  <c r="N470" i="1"/>
  <c r="N474" i="1"/>
  <c r="N480" i="1"/>
  <c r="N484" i="1"/>
  <c r="N488" i="1"/>
  <c r="N492" i="1"/>
  <c r="N496" i="1"/>
  <c r="N500" i="1"/>
  <c r="N504" i="1"/>
  <c r="N506" i="1"/>
  <c r="N512" i="1"/>
  <c r="N514" i="1"/>
  <c r="N518" i="1"/>
  <c r="N522" i="1"/>
  <c r="N528" i="1"/>
  <c r="N532" i="1"/>
  <c r="N536" i="1"/>
  <c r="N538" i="1"/>
  <c r="N544" i="1"/>
  <c r="N548" i="1"/>
  <c r="N552" i="1"/>
  <c r="N556" i="1"/>
  <c r="N560" i="1"/>
  <c r="N564" i="1"/>
  <c r="N566" i="1"/>
  <c r="N570" i="1"/>
  <c r="N576" i="1"/>
  <c r="N580" i="1"/>
  <c r="N582" i="1"/>
  <c r="N586" i="1"/>
  <c r="N592" i="1"/>
  <c r="N596" i="1"/>
  <c r="N600" i="1"/>
  <c r="N604" i="1"/>
  <c r="N610" i="1"/>
  <c r="N614" i="1"/>
  <c r="N618" i="1"/>
  <c r="N624" i="1"/>
  <c r="N628" i="1"/>
  <c r="N632" i="1"/>
  <c r="N634" i="1"/>
  <c r="N640" i="1"/>
  <c r="N644" i="1"/>
  <c r="N646" i="1"/>
  <c r="N650" i="1"/>
  <c r="N656" i="1"/>
  <c r="N660" i="1"/>
  <c r="N664" i="1"/>
  <c r="N668" i="1"/>
  <c r="N672" i="1"/>
  <c r="N676" i="1"/>
  <c r="N680" i="1"/>
  <c r="N684" i="1"/>
  <c r="N688" i="1"/>
  <c r="N692" i="1"/>
  <c r="N696" i="1"/>
  <c r="N700" i="1"/>
  <c r="N704" i="1"/>
  <c r="N708" i="1"/>
  <c r="N712" i="1"/>
  <c r="N714" i="1"/>
  <c r="N720" i="1"/>
  <c r="N722" i="1"/>
  <c r="N726" i="1"/>
  <c r="N730" i="1"/>
  <c r="N738" i="1"/>
  <c r="N742" i="1"/>
  <c r="N746" i="1"/>
  <c r="N754" i="1"/>
  <c r="N756" i="1"/>
  <c r="N760" i="1"/>
  <c r="N764" i="1"/>
  <c r="N768" i="1"/>
  <c r="N772" i="1"/>
  <c r="N776" i="1"/>
  <c r="N780" i="1"/>
  <c r="N784" i="1"/>
  <c r="N788" i="1"/>
  <c r="N792" i="1"/>
  <c r="N796" i="1"/>
  <c r="N802" i="1"/>
  <c r="N806" i="1"/>
  <c r="N810" i="1"/>
  <c r="N814" i="1"/>
  <c r="N818" i="1"/>
  <c r="N822" i="1"/>
  <c r="N826" i="1"/>
  <c r="N830" i="1"/>
  <c r="N834" i="1"/>
  <c r="N838" i="1"/>
  <c r="N842" i="1"/>
  <c r="N846" i="1"/>
  <c r="N850" i="1"/>
  <c r="N854" i="1"/>
  <c r="N856" i="1"/>
  <c r="N860" i="1"/>
  <c r="N866" i="1"/>
  <c r="N868" i="1"/>
  <c r="N872" i="1"/>
  <c r="N876" i="1"/>
  <c r="N884" i="1"/>
  <c r="N888" i="1"/>
  <c r="N892" i="1"/>
  <c r="N900" i="1"/>
  <c r="N904" i="1"/>
  <c r="N912" i="1"/>
  <c r="E20" i="1"/>
  <c r="N10" i="1"/>
  <c r="N12" i="1"/>
  <c r="N14" i="1"/>
  <c r="N147" i="1"/>
  <c r="S81" i="1"/>
  <c r="N81" i="1"/>
  <c r="N31" i="1"/>
  <c r="S85" i="1"/>
  <c r="N35" i="1"/>
  <c r="S87" i="1"/>
  <c r="N37" i="1"/>
  <c r="S90" i="1"/>
  <c r="N40" i="1"/>
  <c r="N90" i="1"/>
  <c r="S94" i="1"/>
  <c r="N44" i="1"/>
  <c r="S98" i="1"/>
  <c r="N48" i="1"/>
  <c r="S102" i="1"/>
  <c r="N52" i="1"/>
  <c r="S137" i="1"/>
  <c r="N87" i="1"/>
  <c r="S139" i="1"/>
  <c r="N89" i="1"/>
  <c r="S148" i="1"/>
  <c r="N148" i="1"/>
  <c r="S154" i="1"/>
  <c r="N104" i="1"/>
  <c r="S158" i="1"/>
  <c r="N108" i="1"/>
  <c r="S187" i="1"/>
  <c r="N187" i="1"/>
  <c r="S191" i="1"/>
  <c r="N191" i="1"/>
  <c r="S195" i="1"/>
  <c r="N195" i="1"/>
  <c r="N145" i="1"/>
  <c r="S204" i="1"/>
  <c r="N154" i="1"/>
  <c r="N202" i="1"/>
  <c r="N206" i="1"/>
  <c r="N210" i="1"/>
  <c r="N214" i="1"/>
  <c r="N218" i="1"/>
  <c r="N222" i="1"/>
  <c r="N226" i="1"/>
  <c r="N232" i="1"/>
  <c r="N236" i="1"/>
  <c r="N242" i="1"/>
  <c r="N246" i="1"/>
  <c r="N250" i="1"/>
  <c r="N258" i="1"/>
  <c r="N264" i="1"/>
  <c r="N268" i="1"/>
  <c r="N274" i="1"/>
  <c r="N278" i="1"/>
  <c r="N282" i="1"/>
  <c r="N290" i="1"/>
  <c r="N296" i="1"/>
  <c r="N300" i="1"/>
  <c r="N306" i="1"/>
  <c r="N310" i="1"/>
  <c r="N316" i="1"/>
  <c r="N322" i="1"/>
  <c r="N326" i="1"/>
  <c r="N330" i="1"/>
  <c r="N338" i="1"/>
  <c r="N344" i="1"/>
  <c r="N348" i="1"/>
  <c r="N352" i="1"/>
  <c r="N356" i="1"/>
  <c r="N360" i="1"/>
  <c r="N364" i="1"/>
  <c r="N370" i="1"/>
  <c r="N374" i="1"/>
  <c r="N378" i="1"/>
  <c r="N386" i="1"/>
  <c r="N390" i="1"/>
  <c r="N394" i="1"/>
  <c r="N402" i="1"/>
  <c r="N406" i="1"/>
  <c r="N410" i="1"/>
  <c r="N418" i="1"/>
  <c r="N422" i="1"/>
  <c r="N426" i="1"/>
  <c r="N434" i="1"/>
  <c r="N438" i="1"/>
  <c r="N442" i="1"/>
  <c r="N450" i="1"/>
  <c r="N456" i="1"/>
  <c r="N460" i="1"/>
  <c r="N468" i="1"/>
  <c r="N472" i="1"/>
  <c r="N476" i="1"/>
  <c r="N482" i="1"/>
  <c r="N486" i="1"/>
  <c r="N490" i="1"/>
  <c r="N498" i="1"/>
  <c r="N502" i="1"/>
  <c r="N508" i="1"/>
  <c r="N516" i="1"/>
  <c r="N520" i="1"/>
  <c r="N524" i="1"/>
  <c r="N530" i="1"/>
  <c r="N534" i="1"/>
  <c r="N540" i="1"/>
  <c r="N546" i="1"/>
  <c r="N550" i="1"/>
  <c r="N554" i="1"/>
  <c r="N562" i="1"/>
  <c r="N568" i="1"/>
  <c r="N572" i="1"/>
  <c r="N578" i="1"/>
  <c r="N584" i="1"/>
  <c r="N588" i="1"/>
  <c r="N594" i="1"/>
  <c r="N598" i="1"/>
  <c r="N602" i="1"/>
  <c r="N608" i="1"/>
  <c r="N612" i="1"/>
  <c r="N616" i="1"/>
  <c r="N620" i="1"/>
  <c r="N626" i="1"/>
  <c r="N630" i="1"/>
  <c r="N636" i="1"/>
  <c r="N642" i="1"/>
  <c r="N648" i="1"/>
  <c r="N652" i="1"/>
  <c r="N658" i="1"/>
  <c r="N662" i="1"/>
  <c r="N666" i="1"/>
  <c r="N674" i="1"/>
  <c r="N678" i="1"/>
  <c r="N682" i="1"/>
  <c r="N690" i="1"/>
  <c r="N694" i="1"/>
  <c r="N698" i="1"/>
  <c r="N706" i="1"/>
  <c r="N710" i="1"/>
  <c r="N716" i="1"/>
  <c r="N724" i="1"/>
  <c r="N728" i="1"/>
  <c r="N732" i="1"/>
  <c r="N736" i="1"/>
  <c r="N740" i="1"/>
  <c r="N744" i="1"/>
  <c r="N748" i="1"/>
  <c r="N752" i="1"/>
  <c r="N758" i="1"/>
  <c r="N762" i="1"/>
  <c r="N770" i="1"/>
  <c r="N774" i="1"/>
  <c r="N778" i="1"/>
  <c r="N786" i="1"/>
  <c r="N790" i="1"/>
  <c r="N794" i="1"/>
  <c r="N804" i="1"/>
  <c r="N808" i="1"/>
  <c r="N812" i="1"/>
  <c r="N820" i="1"/>
  <c r="N824" i="1"/>
  <c r="N828" i="1"/>
  <c r="N836" i="1"/>
  <c r="N840" i="1"/>
  <c r="N844" i="1"/>
  <c r="N852" i="1"/>
  <c r="N858" i="1"/>
  <c r="N862" i="1"/>
  <c r="N870" i="1"/>
  <c r="N874" i="1"/>
  <c r="N878" i="1"/>
  <c r="N882" i="1"/>
  <c r="N886" i="1"/>
  <c r="N890" i="1"/>
  <c r="N894" i="1"/>
  <c r="N898" i="1"/>
  <c r="N902" i="1"/>
  <c r="N908" i="1"/>
  <c r="N916" i="1"/>
  <c r="N924" i="1"/>
  <c r="N928" i="1"/>
  <c r="N932" i="1"/>
  <c r="N936" i="1"/>
  <c r="N940" i="1"/>
  <c r="N944" i="1"/>
  <c r="N948" i="1"/>
  <c r="N956" i="1"/>
  <c r="N960" i="1"/>
  <c r="N964" i="1"/>
  <c r="N968" i="1"/>
  <c r="N972" i="1"/>
  <c r="N976" i="1"/>
  <c r="N980" i="1"/>
  <c r="N988" i="1"/>
  <c r="N992" i="1"/>
  <c r="N996" i="1"/>
  <c r="N1000" i="1"/>
  <c r="N1004" i="1"/>
  <c r="N1008" i="1"/>
  <c r="N1012" i="1"/>
  <c r="N1020" i="1"/>
  <c r="N1024" i="1"/>
  <c r="N1028" i="1"/>
  <c r="N1032" i="1"/>
  <c r="N1036" i="1"/>
  <c r="N1040" i="1"/>
  <c r="N1044" i="1"/>
  <c r="N1052" i="1"/>
  <c r="N1056" i="1"/>
  <c r="N1060" i="1"/>
  <c r="N1064" i="1"/>
  <c r="N1068" i="1"/>
  <c r="N1072" i="1"/>
  <c r="N1076" i="1"/>
  <c r="N1080" i="1"/>
  <c r="N1082" i="1"/>
  <c r="N1084" i="1"/>
  <c r="N1086" i="1"/>
  <c r="N1088" i="1"/>
  <c r="N1090" i="1"/>
  <c r="N1092" i="1"/>
  <c r="N1096" i="1"/>
  <c r="N1098" i="1"/>
  <c r="N1100" i="1"/>
  <c r="N1102" i="1"/>
  <c r="N1104" i="1"/>
  <c r="N1106" i="1"/>
  <c r="N1108" i="1"/>
  <c r="N1112" i="1"/>
  <c r="N1114" i="1"/>
  <c r="N1116" i="1"/>
  <c r="N1118" i="1"/>
  <c r="N1120" i="1"/>
  <c r="N1122" i="1"/>
  <c r="N1124" i="1"/>
  <c r="N1128" i="1"/>
  <c r="N1134" i="1"/>
  <c r="N1150" i="1"/>
  <c r="N1172" i="1"/>
  <c r="N1130" i="1"/>
  <c r="N1136" i="1"/>
  <c r="N1140" i="1"/>
  <c r="N1146" i="1"/>
  <c r="N1154" i="1"/>
  <c r="N1162" i="1"/>
  <c r="N1166" i="1"/>
  <c r="N1170" i="1"/>
  <c r="N1174" i="1"/>
  <c r="N1178" i="1"/>
  <c r="N1182" i="1"/>
  <c r="N1184" i="1"/>
  <c r="N1190" i="1"/>
  <c r="N1194" i="1"/>
  <c r="N1198" i="1"/>
  <c r="N1202" i="1"/>
  <c r="N1206" i="1"/>
  <c r="N1210" i="1"/>
  <c r="N1214" i="1"/>
  <c r="N1218" i="1"/>
  <c r="N1222" i="1"/>
  <c r="N1226" i="1"/>
  <c r="N1230" i="1"/>
  <c r="N1234" i="1"/>
  <c r="N1240" i="1"/>
  <c r="N1244" i="1"/>
  <c r="N1248" i="1"/>
  <c r="N1254" i="1"/>
  <c r="N1256" i="1"/>
  <c r="N1260" i="1"/>
  <c r="N1264" i="1"/>
  <c r="N1270" i="1"/>
  <c r="N1272" i="1"/>
  <c r="N1276" i="1"/>
  <c r="N1280" i="1"/>
  <c r="N1286" i="1"/>
  <c r="N1290" i="1"/>
  <c r="N1292" i="1"/>
  <c r="N1296" i="1"/>
  <c r="N1304" i="1"/>
  <c r="N1308" i="1"/>
  <c r="N1312" i="1"/>
  <c r="N1320" i="1"/>
  <c r="N1324" i="1"/>
  <c r="N1328" i="1"/>
  <c r="N1336" i="1"/>
  <c r="N1340" i="1"/>
  <c r="N1344" i="1"/>
  <c r="N1352" i="1"/>
  <c r="N1356" i="1"/>
  <c r="N1400" i="1"/>
  <c r="N1132" i="1"/>
  <c r="N1138" i="1"/>
  <c r="N1144" i="1"/>
  <c r="N1148" i="1"/>
  <c r="N1152" i="1"/>
  <c r="N1156" i="1"/>
  <c r="N1160" i="1"/>
  <c r="N1164" i="1"/>
  <c r="N1168" i="1"/>
  <c r="N1176" i="1"/>
  <c r="N1180" i="1"/>
  <c r="N1186" i="1"/>
  <c r="N1192" i="1"/>
  <c r="N1196" i="1"/>
  <c r="N1200" i="1"/>
  <c r="N1208" i="1"/>
  <c r="N1212" i="1"/>
  <c r="N1216" i="1"/>
  <c r="N1224" i="1"/>
  <c r="N1228" i="1"/>
  <c r="N1232" i="1"/>
  <c r="N1238" i="1"/>
  <c r="N1242" i="1"/>
  <c r="N1246" i="1"/>
  <c r="N1250" i="1"/>
  <c r="N1258" i="1"/>
  <c r="N1262" i="1"/>
  <c r="N1266" i="1"/>
  <c r="N1274" i="1"/>
  <c r="N1278" i="1"/>
  <c r="N1282" i="1"/>
  <c r="N1288" i="1"/>
  <c r="N1294" i="1"/>
  <c r="N1298" i="1"/>
  <c r="N1302" i="1"/>
  <c r="N1306" i="1"/>
  <c r="N1310" i="1"/>
  <c r="N1314" i="1"/>
  <c r="N1318" i="1"/>
  <c r="N1322" i="1"/>
  <c r="N1326" i="1"/>
  <c r="N1330" i="1"/>
  <c r="N1334" i="1"/>
  <c r="N1338" i="1"/>
  <c r="N1342" i="1"/>
  <c r="N1346" i="1"/>
  <c r="N1350" i="1"/>
  <c r="N1354" i="1"/>
  <c r="N1358" i="1"/>
  <c r="N1360" i="1"/>
  <c r="N1362" i="1"/>
  <c r="N1366" i="1"/>
  <c r="N1368" i="1"/>
  <c r="N1370" i="1"/>
  <c r="N1372" i="1"/>
  <c r="N1374" i="1"/>
  <c r="N1376" i="1"/>
  <c r="N1378" i="1"/>
  <c r="N1382" i="1"/>
  <c r="N1384" i="1"/>
  <c r="N1386" i="1"/>
  <c r="N1388" i="1"/>
  <c r="N1390" i="1"/>
  <c r="N1392" i="1"/>
  <c r="N1394" i="1"/>
  <c r="N1398" i="1"/>
  <c r="N1402" i="1"/>
  <c r="N1404" i="1"/>
  <c r="N1406" i="1"/>
  <c r="N1408" i="1"/>
  <c r="N1410" i="1"/>
  <c r="N1414" i="1"/>
  <c r="N1416" i="1"/>
  <c r="N1418" i="1"/>
  <c r="N1420" i="1"/>
  <c r="N1422" i="1"/>
  <c r="N1424" i="1"/>
  <c r="N1426" i="1"/>
  <c r="N1428" i="1"/>
  <c r="N1430" i="1"/>
  <c r="N1432" i="1"/>
  <c r="N1434" i="1"/>
  <c r="N1436" i="1"/>
  <c r="N1438" i="1"/>
  <c r="N1440" i="1"/>
  <c r="N1442" i="1"/>
  <c r="N1444" i="1"/>
  <c r="N1446" i="1"/>
  <c r="N1448" i="1"/>
  <c r="N1450" i="1"/>
  <c r="N1452" i="1"/>
  <c r="N1454" i="1"/>
  <c r="N1456" i="1"/>
  <c r="N1458" i="1"/>
  <c r="N1460" i="1"/>
  <c r="N1462" i="1"/>
  <c r="N1464" i="1"/>
  <c r="N1466" i="1"/>
  <c r="N1468" i="1"/>
  <c r="N1470" i="1"/>
  <c r="N1472" i="1"/>
  <c r="N1474" i="1"/>
  <c r="N1476" i="1"/>
  <c r="N1478" i="1"/>
  <c r="N1480" i="1"/>
  <c r="N1482" i="1"/>
  <c r="N1484" i="1"/>
  <c r="N1486" i="1"/>
  <c r="N1488" i="1"/>
  <c r="N1490" i="1"/>
  <c r="N1492" i="1"/>
  <c r="N1494" i="1"/>
  <c r="N1496" i="1"/>
  <c r="N1498" i="1"/>
  <c r="N1500" i="1"/>
  <c r="N1502" i="1"/>
  <c r="N1504" i="1"/>
  <c r="N1506" i="1"/>
  <c r="N1508" i="1"/>
  <c r="N1510" i="1"/>
  <c r="N1512" i="1"/>
  <c r="N1514" i="1"/>
  <c r="N1516" i="1"/>
  <c r="N1518" i="1"/>
  <c r="N1520" i="1"/>
  <c r="N1522" i="1"/>
  <c r="N1524" i="1"/>
  <c r="N1526" i="1"/>
  <c r="N1528" i="1"/>
  <c r="N1530" i="1"/>
  <c r="N1532" i="1"/>
  <c r="N1534" i="1"/>
  <c r="N1536" i="1"/>
  <c r="N1538" i="1"/>
  <c r="N1540" i="1"/>
  <c r="N1542" i="1"/>
  <c r="N1544" i="1"/>
  <c r="N1546" i="1"/>
  <c r="N1548" i="1"/>
  <c r="N1550" i="1"/>
  <c r="N1552" i="1"/>
  <c r="N1554" i="1"/>
  <c r="N1556" i="1"/>
  <c r="N1558" i="1"/>
  <c r="N1560" i="1"/>
  <c r="N1562" i="1"/>
  <c r="N1564" i="1"/>
  <c r="N1566" i="1"/>
  <c r="N1568" i="1"/>
  <c r="N1570" i="1"/>
  <c r="N1572" i="1"/>
  <c r="N1574" i="1"/>
  <c r="N1576" i="1"/>
  <c r="N1578" i="1"/>
  <c r="N1580" i="1"/>
  <c r="N1582" i="1"/>
  <c r="N1584" i="1"/>
  <c r="N1586" i="1"/>
  <c r="N1588" i="1"/>
  <c r="N1590" i="1"/>
  <c r="N1592" i="1"/>
  <c r="N1594" i="1"/>
  <c r="N1596" i="1"/>
  <c r="N1598" i="1"/>
  <c r="N1600" i="1"/>
  <c r="N1602" i="1"/>
  <c r="N1604" i="1"/>
  <c r="N1606" i="1"/>
  <c r="N1608" i="1"/>
  <c r="N1610" i="1"/>
  <c r="N1614" i="1"/>
  <c r="N1618" i="1"/>
  <c r="N1622" i="1"/>
  <c r="N1626" i="1"/>
  <c r="N1630" i="1"/>
  <c r="N1634" i="1"/>
  <c r="N1638" i="1"/>
  <c r="N1642" i="1"/>
  <c r="N1646" i="1"/>
  <c r="N1650" i="1"/>
  <c r="N1654" i="1"/>
  <c r="N1658" i="1"/>
  <c r="N1662" i="1"/>
  <c r="N1666" i="1"/>
  <c r="N1670" i="1"/>
  <c r="N1674" i="1"/>
  <c r="N1676" i="1"/>
  <c r="N1680" i="1"/>
  <c r="N1686" i="1"/>
  <c r="N1690" i="1"/>
  <c r="N1694" i="1"/>
  <c r="N1696" i="1"/>
  <c r="N1700" i="1"/>
  <c r="N1704" i="1"/>
  <c r="N1708" i="1"/>
  <c r="N1712" i="1"/>
  <c r="N1716" i="1"/>
  <c r="N1720" i="1"/>
  <c r="N1724" i="1"/>
  <c r="N1728" i="1"/>
  <c r="N1732" i="1"/>
  <c r="N1736" i="1"/>
  <c r="N1740" i="1"/>
  <c r="N1744" i="1"/>
  <c r="N1748" i="1"/>
  <c r="N1752" i="1"/>
  <c r="N1756" i="1"/>
  <c r="N1758" i="1"/>
  <c r="N1762" i="1"/>
  <c r="N1766" i="1"/>
  <c r="N1770" i="1"/>
  <c r="N1774" i="1"/>
  <c r="N1778" i="1"/>
  <c r="N1782" i="1"/>
  <c r="N1786" i="1"/>
  <c r="N1790" i="1"/>
  <c r="N1794" i="1"/>
  <c r="N1798" i="1"/>
  <c r="N1802" i="1"/>
  <c r="N1806" i="1"/>
  <c r="N1810" i="1"/>
  <c r="N1814" i="1"/>
  <c r="N1818" i="1"/>
  <c r="N1822" i="1"/>
  <c r="N1824" i="1"/>
  <c r="N1828" i="1"/>
  <c r="N1832" i="1"/>
  <c r="N1836" i="1"/>
  <c r="N1840" i="1"/>
  <c r="N1844" i="1"/>
  <c r="N1848" i="1"/>
  <c r="N1852" i="1"/>
  <c r="N1856" i="1"/>
  <c r="N1860" i="1"/>
  <c r="N1864" i="1"/>
  <c r="N1868" i="1"/>
  <c r="N1872" i="1"/>
  <c r="N1876" i="1"/>
  <c r="N1880" i="1"/>
  <c r="N1884" i="1"/>
  <c r="N1888" i="1"/>
  <c r="N1892" i="1"/>
  <c r="N1896" i="1"/>
  <c r="N1900" i="1"/>
  <c r="N1904" i="1"/>
  <c r="N1908" i="1"/>
  <c r="N1912" i="1"/>
  <c r="N1916" i="1"/>
  <c r="N1920" i="1"/>
  <c r="N1924" i="1"/>
  <c r="N1928" i="1"/>
  <c r="N1932" i="1"/>
  <c r="N1936" i="1"/>
  <c r="N1940" i="1"/>
  <c r="N1944" i="1"/>
  <c r="N1948" i="1"/>
  <c r="N1952" i="1"/>
  <c r="N1954" i="1"/>
  <c r="N1958" i="1"/>
  <c r="N1612" i="1"/>
  <c r="N1616" i="1"/>
  <c r="N1620" i="1"/>
  <c r="N1624" i="1"/>
  <c r="N1628" i="1"/>
  <c r="N1632" i="1"/>
  <c r="N1636" i="1"/>
  <c r="N1640" i="1"/>
  <c r="N1644" i="1"/>
  <c r="N1648" i="1"/>
  <c r="N1652" i="1"/>
  <c r="N1656" i="1"/>
  <c r="N1660" i="1"/>
  <c r="N1664" i="1"/>
  <c r="N1668" i="1"/>
  <c r="N1672" i="1"/>
  <c r="N1678" i="1"/>
  <c r="N1682" i="1"/>
  <c r="N1684" i="1"/>
  <c r="N1688" i="1"/>
  <c r="N1692" i="1"/>
  <c r="N1698" i="1"/>
  <c r="N1702" i="1"/>
  <c r="N1706" i="1"/>
  <c r="N1710" i="1"/>
  <c r="N1714" i="1"/>
  <c r="N1718" i="1"/>
  <c r="N1722" i="1"/>
  <c r="N1726" i="1"/>
  <c r="N1730" i="1"/>
  <c r="N1734" i="1"/>
  <c r="N1738" i="1"/>
  <c r="N1742" i="1"/>
  <c r="N1746" i="1"/>
  <c r="N1750" i="1"/>
  <c r="N1754" i="1"/>
  <c r="N1760" i="1"/>
  <c r="N1764" i="1"/>
  <c r="N1768" i="1"/>
  <c r="N1772" i="1"/>
  <c r="N1776" i="1"/>
  <c r="N1780" i="1"/>
  <c r="N1784" i="1"/>
  <c r="N1788" i="1"/>
  <c r="N1792" i="1"/>
  <c r="N1796" i="1"/>
  <c r="N1800" i="1"/>
  <c r="N1804" i="1"/>
  <c r="N1808" i="1"/>
  <c r="N1812" i="1"/>
  <c r="N1816" i="1"/>
  <c r="N1820" i="1"/>
  <c r="N1826" i="1"/>
  <c r="N1830" i="1"/>
  <c r="N1834" i="1"/>
  <c r="N1838" i="1"/>
  <c r="N1842" i="1"/>
  <c r="N1846" i="1"/>
  <c r="N1850" i="1"/>
  <c r="N1854" i="1"/>
  <c r="N1858" i="1"/>
  <c r="N1862" i="1"/>
  <c r="N1866" i="1"/>
  <c r="N1870" i="1"/>
  <c r="N1874" i="1"/>
  <c r="N1878" i="1"/>
  <c r="N1882" i="1"/>
  <c r="N1886" i="1"/>
  <c r="N1890" i="1"/>
  <c r="N1894" i="1"/>
  <c r="N1898" i="1"/>
  <c r="N1902" i="1"/>
  <c r="N1906" i="1"/>
  <c r="N1910" i="1"/>
  <c r="N1914" i="1"/>
  <c r="N1918" i="1"/>
  <c r="N1922" i="1"/>
  <c r="N1926" i="1"/>
  <c r="N1930" i="1"/>
  <c r="N1934" i="1"/>
  <c r="N1938" i="1"/>
  <c r="N1942" i="1"/>
  <c r="N1946" i="1"/>
  <c r="N1950" i="1"/>
  <c r="N1956" i="1"/>
  <c r="N906" i="1"/>
  <c r="N910" i="1"/>
  <c r="N914" i="1"/>
  <c r="N918" i="1"/>
  <c r="N922" i="1"/>
  <c r="N926" i="1"/>
  <c r="N930" i="1"/>
  <c r="N934" i="1"/>
  <c r="N938" i="1"/>
  <c r="N942" i="1"/>
  <c r="N946" i="1"/>
  <c r="N950" i="1"/>
  <c r="N954" i="1"/>
  <c r="N958" i="1"/>
  <c r="N962" i="1"/>
  <c r="N966" i="1"/>
  <c r="N970" i="1"/>
  <c r="N974" i="1"/>
  <c r="N978" i="1"/>
  <c r="N982" i="1"/>
  <c r="N986" i="1"/>
  <c r="N990" i="1"/>
  <c r="N994" i="1"/>
  <c r="N998" i="1"/>
  <c r="N1002" i="1"/>
  <c r="N1006" i="1"/>
  <c r="N1010" i="1"/>
  <c r="N1014" i="1"/>
  <c r="N1018" i="1"/>
  <c r="N1022" i="1"/>
  <c r="N1026" i="1"/>
  <c r="N1030" i="1"/>
  <c r="N1034" i="1"/>
  <c r="N1038" i="1"/>
  <c r="N1042" i="1"/>
  <c r="N1046" i="1"/>
  <c r="N1050" i="1"/>
  <c r="N1054" i="1"/>
  <c r="N1058" i="1"/>
  <c r="N1062" i="1"/>
  <c r="N1066" i="1"/>
  <c r="N1070" i="1"/>
  <c r="N1074" i="1"/>
  <c r="N365" i="1"/>
  <c r="N493" i="1"/>
  <c r="N621" i="1"/>
  <c r="N749" i="1"/>
  <c r="N917" i="1"/>
  <c r="N1133" i="1"/>
  <c r="S208" i="1"/>
  <c r="N158" i="1"/>
  <c r="N208" i="1"/>
  <c r="N283" i="1"/>
  <c r="N233" i="1"/>
  <c r="N291" i="1"/>
  <c r="N241" i="1"/>
  <c r="N307" i="1"/>
  <c r="N257" i="1"/>
  <c r="N319" i="1"/>
  <c r="N269" i="1"/>
  <c r="N331" i="1"/>
  <c r="N281" i="1"/>
  <c r="N343" i="1"/>
  <c r="N293" i="1"/>
  <c r="N347" i="1"/>
  <c r="N297" i="1"/>
  <c r="N363" i="1"/>
  <c r="N313" i="1"/>
  <c r="N375" i="1"/>
  <c r="N325" i="1"/>
  <c r="N387" i="1"/>
  <c r="N337" i="1"/>
  <c r="N399" i="1"/>
  <c r="N349" i="1"/>
  <c r="N407" i="1"/>
  <c r="N357" i="1"/>
  <c r="N419" i="1"/>
  <c r="N369" i="1"/>
  <c r="N381" i="1"/>
  <c r="N431" i="1"/>
  <c r="N439" i="1"/>
  <c r="N389" i="1"/>
  <c r="N405" i="1"/>
  <c r="N455" i="1"/>
  <c r="N413" i="1"/>
  <c r="N463" i="1"/>
  <c r="N421" i="1"/>
  <c r="N471" i="1"/>
  <c r="N437" i="1"/>
  <c r="N487" i="1"/>
  <c r="N449" i="1"/>
  <c r="N499" i="1"/>
  <c r="N461" i="1"/>
  <c r="N511" i="1"/>
  <c r="N473" i="1"/>
  <c r="N523" i="1"/>
  <c r="N481" i="1"/>
  <c r="N531" i="1"/>
  <c r="N489" i="1"/>
  <c r="N539" i="1"/>
  <c r="N501" i="1"/>
  <c r="N551" i="1"/>
  <c r="N513" i="1"/>
  <c r="N563" i="1"/>
  <c r="N525" i="1"/>
  <c r="N575" i="1"/>
  <c r="N537" i="1"/>
  <c r="N587" i="1"/>
  <c r="N545" i="1"/>
  <c r="N595" i="1"/>
  <c r="N561" i="1"/>
  <c r="N611" i="1"/>
  <c r="N573" i="1"/>
  <c r="N623" i="1"/>
  <c r="N581" i="1"/>
  <c r="N631" i="1"/>
  <c r="N597" i="1"/>
  <c r="N647" i="1"/>
  <c r="N605" i="1"/>
  <c r="N655" i="1"/>
  <c r="N637" i="1"/>
  <c r="N687" i="1"/>
  <c r="N649" i="1"/>
  <c r="N699" i="1"/>
  <c r="N661" i="1"/>
  <c r="N711" i="1"/>
  <c r="N669" i="1"/>
  <c r="N719" i="1"/>
  <c r="N681" i="1"/>
  <c r="N731" i="1"/>
  <c r="N693" i="1"/>
  <c r="N743" i="1"/>
  <c r="N705" i="1"/>
  <c r="N755" i="1"/>
  <c r="N717" i="1"/>
  <c r="N767" i="1"/>
  <c r="N729" i="1"/>
  <c r="N779" i="1"/>
  <c r="N765" i="1"/>
  <c r="N815" i="1"/>
  <c r="N773" i="1"/>
  <c r="N823" i="1"/>
  <c r="N785" i="1"/>
  <c r="N835" i="1"/>
  <c r="N793" i="1"/>
  <c r="N843" i="1"/>
  <c r="N805" i="1"/>
  <c r="N855" i="1"/>
  <c r="N817" i="1"/>
  <c r="N867" i="1"/>
  <c r="N833" i="1"/>
  <c r="N883" i="1"/>
  <c r="N841" i="1"/>
  <c r="N891" i="1"/>
  <c r="N853" i="1"/>
  <c r="N903" i="1"/>
  <c r="N861" i="1"/>
  <c r="N911" i="1"/>
  <c r="N923" i="1"/>
  <c r="N873" i="1"/>
  <c r="N885" i="1"/>
  <c r="N935" i="1"/>
  <c r="N897" i="1"/>
  <c r="N947" i="1"/>
  <c r="N905" i="1"/>
  <c r="N955" i="1"/>
  <c r="N913" i="1"/>
  <c r="N963" i="1"/>
  <c r="N925" i="1"/>
  <c r="N975" i="1"/>
  <c r="N933" i="1"/>
  <c r="N983" i="1"/>
  <c r="N945" i="1"/>
  <c r="N995" i="1"/>
  <c r="N961" i="1"/>
  <c r="N1011" i="1"/>
  <c r="N969" i="1"/>
  <c r="N1019" i="1"/>
  <c r="N981" i="1"/>
  <c r="N1031" i="1"/>
  <c r="N993" i="1"/>
  <c r="N1043" i="1"/>
  <c r="N1009" i="1"/>
  <c r="N1059" i="1"/>
  <c r="N1021" i="1"/>
  <c r="N1071" i="1"/>
  <c r="N1029" i="1"/>
  <c r="N1079" i="1"/>
  <c r="N1041" i="1"/>
  <c r="N1091" i="1"/>
  <c r="N1053" i="1"/>
  <c r="N1103" i="1"/>
  <c r="N1065" i="1"/>
  <c r="N1115" i="1"/>
  <c r="N1073" i="1"/>
  <c r="N1123" i="1"/>
  <c r="N1085" i="1"/>
  <c r="N1135" i="1"/>
  <c r="N1097" i="1"/>
  <c r="N1147" i="1"/>
  <c r="N1109" i="1"/>
  <c r="N1159" i="1"/>
  <c r="N1121" i="1"/>
  <c r="N1171" i="1"/>
  <c r="N1149" i="1"/>
  <c r="N1199" i="1"/>
  <c r="N1157" i="1"/>
  <c r="N1207" i="1"/>
  <c r="N1173" i="1"/>
  <c r="N1223" i="1"/>
  <c r="N1185" i="1"/>
  <c r="N1235" i="1"/>
  <c r="N1197" i="1"/>
  <c r="N1247" i="1"/>
  <c r="N1205" i="1"/>
  <c r="N1255" i="1"/>
  <c r="N1221" i="1"/>
  <c r="N1271" i="1"/>
  <c r="N1233" i="1"/>
  <c r="N1283" i="1"/>
  <c r="N1241" i="1"/>
  <c r="N1291" i="1"/>
  <c r="N1249" i="1"/>
  <c r="N1299" i="1"/>
  <c r="N1261" i="1"/>
  <c r="N1311" i="1"/>
  <c r="N1277" i="1"/>
  <c r="N1327" i="1"/>
  <c r="N1289" i="1"/>
  <c r="N1339" i="1"/>
  <c r="N1297" i="1"/>
  <c r="N1347" i="1"/>
  <c r="N1309" i="1"/>
  <c r="N1359" i="1"/>
  <c r="N1321" i="1"/>
  <c r="N1371" i="1"/>
  <c r="N1329" i="1"/>
  <c r="N1379" i="1"/>
  <c r="N1345" i="1"/>
  <c r="N1395" i="1"/>
  <c r="N1353" i="1"/>
  <c r="N1403" i="1"/>
  <c r="N1365" i="1"/>
  <c r="N1415" i="1"/>
  <c r="N1381" i="1"/>
  <c r="N1431" i="1"/>
  <c r="N1393" i="1"/>
  <c r="N1443" i="1"/>
  <c r="N1401" i="1"/>
  <c r="N1451" i="1"/>
  <c r="N1413" i="1"/>
  <c r="N1463" i="1"/>
  <c r="N249" i="1"/>
  <c r="N415" i="1"/>
  <c r="N967" i="1"/>
  <c r="N263" i="1"/>
  <c r="N213" i="1"/>
  <c r="N271" i="1"/>
  <c r="N221" i="1"/>
  <c r="N287" i="1"/>
  <c r="N237" i="1"/>
  <c r="N295" i="1"/>
  <c r="N245" i="1"/>
  <c r="N303" i="1"/>
  <c r="N253" i="1"/>
  <c r="N315" i="1"/>
  <c r="N265" i="1"/>
  <c r="N327" i="1"/>
  <c r="N277" i="1"/>
  <c r="N339" i="1"/>
  <c r="N289" i="1"/>
  <c r="N351" i="1"/>
  <c r="N301" i="1"/>
  <c r="N359" i="1"/>
  <c r="N309" i="1"/>
  <c r="N371" i="1"/>
  <c r="N321" i="1"/>
  <c r="N383" i="1"/>
  <c r="N333" i="1"/>
  <c r="N395" i="1"/>
  <c r="N345" i="1"/>
  <c r="N427" i="1"/>
  <c r="N377" i="1"/>
  <c r="N443" i="1"/>
  <c r="N393" i="1"/>
  <c r="N451" i="1"/>
  <c r="N401" i="1"/>
  <c r="N417" i="1"/>
  <c r="N467" i="1"/>
  <c r="N425" i="1"/>
  <c r="N475" i="1"/>
  <c r="N433" i="1"/>
  <c r="N483" i="1"/>
  <c r="N445" i="1"/>
  <c r="N495" i="1"/>
  <c r="N457" i="1"/>
  <c r="N507" i="1"/>
  <c r="N469" i="1"/>
  <c r="N519" i="1"/>
  <c r="N477" i="1"/>
  <c r="N527" i="1"/>
  <c r="N485" i="1"/>
  <c r="N535" i="1"/>
  <c r="N497" i="1"/>
  <c r="N547" i="1"/>
  <c r="N509" i="1"/>
  <c r="N559" i="1"/>
  <c r="N521" i="1"/>
  <c r="N571" i="1"/>
  <c r="N533" i="1"/>
  <c r="N583" i="1"/>
  <c r="N549" i="1"/>
  <c r="N599" i="1"/>
  <c r="N557" i="1"/>
  <c r="N607" i="1"/>
  <c r="N569" i="1"/>
  <c r="N619" i="1"/>
  <c r="N585" i="1"/>
  <c r="N635" i="1"/>
  <c r="N593" i="1"/>
  <c r="N643" i="1"/>
  <c r="N609" i="1"/>
  <c r="N659" i="1"/>
  <c r="N617" i="1"/>
  <c r="N667" i="1"/>
  <c r="N629" i="1"/>
  <c r="N679" i="1"/>
  <c r="N633" i="1"/>
  <c r="N683" i="1"/>
  <c r="N645" i="1"/>
  <c r="N695" i="1"/>
  <c r="N657" i="1"/>
  <c r="N707" i="1"/>
  <c r="N673" i="1"/>
  <c r="N723" i="1"/>
  <c r="N685" i="1"/>
  <c r="N735" i="1"/>
  <c r="N697" i="1"/>
  <c r="N747" i="1"/>
  <c r="N709" i="1"/>
  <c r="N759" i="1"/>
  <c r="N721" i="1"/>
  <c r="N771" i="1"/>
  <c r="N733" i="1"/>
  <c r="N783" i="1"/>
  <c r="N741" i="1"/>
  <c r="N791" i="1"/>
  <c r="N753" i="1"/>
  <c r="N803" i="1"/>
  <c r="N761" i="1"/>
  <c r="N811" i="1"/>
  <c r="N769" i="1"/>
  <c r="N819" i="1"/>
  <c r="N781" i="1"/>
  <c r="N831" i="1"/>
  <c r="N797" i="1"/>
  <c r="N847" i="1"/>
  <c r="N809" i="1"/>
  <c r="N859" i="1"/>
  <c r="N821" i="1"/>
  <c r="N871" i="1"/>
  <c r="N829" i="1"/>
  <c r="N879" i="1"/>
  <c r="N895" i="1"/>
  <c r="N845" i="1"/>
  <c r="N907" i="1"/>
  <c r="N857" i="1"/>
  <c r="N915" i="1"/>
  <c r="N865" i="1"/>
  <c r="N877" i="1"/>
  <c r="N927" i="1"/>
  <c r="N889" i="1"/>
  <c r="N939" i="1"/>
  <c r="N929" i="1"/>
  <c r="N979" i="1"/>
  <c r="N941" i="1"/>
  <c r="N991" i="1"/>
  <c r="N949" i="1"/>
  <c r="N999" i="1"/>
  <c r="N957" i="1"/>
  <c r="N1007" i="1"/>
  <c r="N973" i="1"/>
  <c r="N1023" i="1"/>
  <c r="N985" i="1"/>
  <c r="N1035" i="1"/>
  <c r="N997" i="1"/>
  <c r="N1047" i="1"/>
  <c r="N1005" i="1"/>
  <c r="N1055" i="1"/>
  <c r="N1017" i="1"/>
  <c r="N1067" i="1"/>
  <c r="N1033" i="1"/>
  <c r="N1083" i="1"/>
  <c r="N1045" i="1"/>
  <c r="N1095" i="1"/>
  <c r="N1057" i="1"/>
  <c r="N1107" i="1"/>
  <c r="N1069" i="1"/>
  <c r="N1119" i="1"/>
  <c r="N1081" i="1"/>
  <c r="N1131" i="1"/>
  <c r="N1093" i="1"/>
  <c r="N1143" i="1"/>
  <c r="N1105" i="1"/>
  <c r="N1155" i="1"/>
  <c r="N1117" i="1"/>
  <c r="N1167" i="1"/>
  <c r="N1125" i="1"/>
  <c r="N1175" i="1"/>
  <c r="N1137" i="1"/>
  <c r="N1187" i="1"/>
  <c r="N1145" i="1"/>
  <c r="N1195" i="1"/>
  <c r="N1161" i="1"/>
  <c r="N1211" i="1"/>
  <c r="N1169" i="1"/>
  <c r="N1219" i="1"/>
  <c r="N1181" i="1"/>
  <c r="N1231" i="1"/>
  <c r="N1193" i="1"/>
  <c r="N1243" i="1"/>
  <c r="N1209" i="1"/>
  <c r="N1259" i="1"/>
  <c r="N1217" i="1"/>
  <c r="N1267" i="1"/>
  <c r="N1225" i="1"/>
  <c r="N1275" i="1"/>
  <c r="N1237" i="1"/>
  <c r="N1287" i="1"/>
  <c r="N1253" i="1"/>
  <c r="N1303" i="1"/>
  <c r="N1265" i="1"/>
  <c r="N1315" i="1"/>
  <c r="N1273" i="1"/>
  <c r="N1323" i="1"/>
  <c r="N1285" i="1"/>
  <c r="N1335" i="1"/>
  <c r="N1301" i="1"/>
  <c r="N1351" i="1"/>
  <c r="N1313" i="1"/>
  <c r="N1363" i="1"/>
  <c r="N1317" i="1"/>
  <c r="N1367" i="1"/>
  <c r="N1333" i="1"/>
  <c r="N1383" i="1"/>
  <c r="N1341" i="1"/>
  <c r="N1391" i="1"/>
  <c r="N1357" i="1"/>
  <c r="N1407" i="1"/>
  <c r="N1369" i="1"/>
  <c r="N1419" i="1"/>
  <c r="N1377" i="1"/>
  <c r="N1427" i="1"/>
  <c r="N1389" i="1"/>
  <c r="N1439" i="1"/>
  <c r="N1397" i="1"/>
  <c r="N1447" i="1"/>
  <c r="N1409" i="1"/>
  <c r="N1459" i="1"/>
  <c r="N543" i="1"/>
  <c r="S205" i="1"/>
  <c r="N155" i="1"/>
  <c r="N267" i="1"/>
  <c r="N217" i="1"/>
  <c r="N279" i="1"/>
  <c r="N229" i="1"/>
  <c r="N311" i="1"/>
  <c r="N261" i="1"/>
  <c r="N323" i="1"/>
  <c r="N273" i="1"/>
  <c r="N335" i="1"/>
  <c r="N285" i="1"/>
  <c r="N355" i="1"/>
  <c r="N305" i="1"/>
  <c r="N367" i="1"/>
  <c r="N317" i="1"/>
  <c r="N379" i="1"/>
  <c r="N329" i="1"/>
  <c r="N391" i="1"/>
  <c r="N341" i="1"/>
  <c r="N403" i="1"/>
  <c r="N353" i="1"/>
  <c r="N411" i="1"/>
  <c r="N361" i="1"/>
  <c r="N423" i="1"/>
  <c r="N373" i="1"/>
  <c r="N435" i="1"/>
  <c r="N385" i="1"/>
  <c r="N397" i="1"/>
  <c r="N447" i="1"/>
  <c r="N409" i="1"/>
  <c r="N459" i="1"/>
  <c r="N429" i="1"/>
  <c r="N479" i="1"/>
  <c r="N441" i="1"/>
  <c r="N491" i="1"/>
  <c r="N453" i="1"/>
  <c r="N503" i="1"/>
  <c r="N465" i="1"/>
  <c r="N515" i="1"/>
  <c r="N505" i="1"/>
  <c r="N555" i="1"/>
  <c r="N517" i="1"/>
  <c r="N567" i="1"/>
  <c r="N529" i="1"/>
  <c r="N579" i="1"/>
  <c r="N541" i="1"/>
  <c r="N591" i="1"/>
  <c r="N553" i="1"/>
  <c r="N603" i="1"/>
  <c r="N565" i="1"/>
  <c r="N615" i="1"/>
  <c r="N577" i="1"/>
  <c r="N627" i="1"/>
  <c r="N589" i="1"/>
  <c r="N639" i="1"/>
  <c r="N601" i="1"/>
  <c r="N651" i="1"/>
  <c r="N613" i="1"/>
  <c r="N663" i="1"/>
  <c r="N625" i="1"/>
  <c r="N675" i="1"/>
  <c r="N641" i="1"/>
  <c r="N691" i="1"/>
  <c r="N653" i="1"/>
  <c r="N703" i="1"/>
  <c r="N665" i="1"/>
  <c r="N715" i="1"/>
  <c r="N677" i="1"/>
  <c r="N727" i="1"/>
  <c r="N689" i="1"/>
  <c r="N739" i="1"/>
  <c r="N701" i="1"/>
  <c r="N751" i="1"/>
  <c r="N713" i="1"/>
  <c r="N763" i="1"/>
  <c r="N725" i="1"/>
  <c r="N775" i="1"/>
  <c r="N737" i="1"/>
  <c r="N787" i="1"/>
  <c r="N745" i="1"/>
  <c r="N795" i="1"/>
  <c r="N757" i="1"/>
  <c r="N807" i="1"/>
  <c r="N777" i="1"/>
  <c r="N827" i="1"/>
  <c r="N789" i="1"/>
  <c r="N839" i="1"/>
  <c r="N801" i="1"/>
  <c r="N851" i="1"/>
  <c r="N813" i="1"/>
  <c r="N863" i="1"/>
  <c r="N825" i="1"/>
  <c r="N875" i="1"/>
  <c r="N837" i="1"/>
  <c r="N887" i="1"/>
  <c r="N849" i="1"/>
  <c r="N899" i="1"/>
  <c r="N869" i="1"/>
  <c r="N919" i="1"/>
  <c r="N931" i="1"/>
  <c r="N881" i="1"/>
  <c r="N893" i="1"/>
  <c r="N943" i="1"/>
  <c r="N901" i="1"/>
  <c r="N951" i="1"/>
  <c r="N909" i="1"/>
  <c r="N959" i="1"/>
  <c r="N921" i="1"/>
  <c r="N971" i="1"/>
  <c r="N937" i="1"/>
  <c r="N987" i="1"/>
  <c r="N953" i="1"/>
  <c r="N1003" i="1"/>
  <c r="N965" i="1"/>
  <c r="N1015" i="1"/>
  <c r="N977" i="1"/>
  <c r="N1027" i="1"/>
  <c r="N989" i="1"/>
  <c r="N1039" i="1"/>
  <c r="N1001" i="1"/>
  <c r="N1051" i="1"/>
  <c r="N1013" i="1"/>
  <c r="N1063" i="1"/>
  <c r="N1025" i="1"/>
  <c r="N1075" i="1"/>
  <c r="N1037" i="1"/>
  <c r="N1087" i="1"/>
  <c r="N1049" i="1"/>
  <c r="N1099" i="1"/>
  <c r="N1061" i="1"/>
  <c r="N1111" i="1"/>
  <c r="N1077" i="1"/>
  <c r="N1127" i="1"/>
  <c r="N1089" i="1"/>
  <c r="N1139" i="1"/>
  <c r="N1101" i="1"/>
  <c r="N1151" i="1"/>
  <c r="N1113" i="1"/>
  <c r="N1163" i="1"/>
  <c r="N1129" i="1"/>
  <c r="N1179" i="1"/>
  <c r="N1141" i="1"/>
  <c r="N1191" i="1"/>
  <c r="N1153" i="1"/>
  <c r="N1203" i="1"/>
  <c r="N1165" i="1"/>
  <c r="N1215" i="1"/>
  <c r="N1177" i="1"/>
  <c r="N1227" i="1"/>
  <c r="N1189" i="1"/>
  <c r="N1239" i="1"/>
  <c r="N1201" i="1"/>
  <c r="N1251" i="1"/>
  <c r="N1213" i="1"/>
  <c r="N1263" i="1"/>
  <c r="N1229" i="1"/>
  <c r="N1279" i="1"/>
  <c r="N1245" i="1"/>
  <c r="N1295" i="1"/>
  <c r="N1257" i="1"/>
  <c r="N1307" i="1"/>
  <c r="N1269" i="1"/>
  <c r="N1319" i="1"/>
  <c r="N1281" i="1"/>
  <c r="N1331" i="1"/>
  <c r="N1293" i="1"/>
  <c r="N1343" i="1"/>
  <c r="N1305" i="1"/>
  <c r="N1355" i="1"/>
  <c r="N1325" i="1"/>
  <c r="N1375" i="1"/>
  <c r="N1337" i="1"/>
  <c r="N1387" i="1"/>
  <c r="N1349" i="1"/>
  <c r="N1399" i="1"/>
  <c r="N1361" i="1"/>
  <c r="N1411" i="1"/>
  <c r="N1373" i="1"/>
  <c r="N1423" i="1"/>
  <c r="N1385" i="1"/>
  <c r="N1435" i="1"/>
  <c r="N1405" i="1"/>
  <c r="N1455" i="1"/>
  <c r="N209" i="1"/>
  <c r="N671" i="1"/>
  <c r="N1183" i="1"/>
  <c r="S141" i="1"/>
  <c r="N141" i="1"/>
  <c r="N91" i="1"/>
  <c r="S144" i="1"/>
  <c r="N94" i="1"/>
  <c r="N144" i="1"/>
  <c r="S150" i="1"/>
  <c r="N150" i="1"/>
  <c r="N100" i="1"/>
  <c r="S80" i="1"/>
  <c r="N30" i="1"/>
  <c r="S86" i="1"/>
  <c r="N86" i="1"/>
  <c r="F48" i="1" l="1"/>
  <c r="F47" i="1"/>
  <c r="F46" i="1"/>
  <c r="O10" i="1"/>
  <c r="O11" i="1" s="1"/>
  <c r="O12" i="1" s="1"/>
  <c r="O13" i="1" s="1"/>
  <c r="O14" i="1" s="1"/>
  <c r="O15" i="1" s="1"/>
  <c r="O16" i="1" s="1"/>
  <c r="O17" i="1" s="1"/>
  <c r="O18" i="1" s="1"/>
  <c r="O19" i="1" s="1"/>
  <c r="O20" i="1" s="1"/>
  <c r="O21" i="1" s="1"/>
  <c r="O22" i="1" s="1"/>
  <c r="O23" i="1" s="1"/>
  <c r="O24" i="1" s="1"/>
  <c r="O25" i="1" s="1"/>
  <c r="O26" i="1" s="1"/>
  <c r="O27" i="1" s="1"/>
  <c r="O28" i="1" s="1"/>
  <c r="O29" i="1" s="1"/>
  <c r="O30" i="1" s="1"/>
  <c r="O31" i="1" s="1"/>
  <c r="O32" i="1" s="1"/>
  <c r="O33" i="1" s="1"/>
  <c r="O34" i="1" s="1"/>
  <c r="O35" i="1" s="1"/>
  <c r="O36" i="1" s="1"/>
  <c r="O37" i="1" s="1"/>
  <c r="O38" i="1" s="1"/>
  <c r="O39" i="1" s="1"/>
  <c r="O40" i="1" s="1"/>
  <c r="O41" i="1" s="1"/>
  <c r="O42" i="1" s="1"/>
  <c r="O43" i="1" s="1"/>
  <c r="O44" i="1" s="1"/>
  <c r="O45" i="1" s="1"/>
  <c r="O46" i="1" s="1"/>
  <c r="O47" i="1" s="1"/>
  <c r="O48" i="1" s="1"/>
  <c r="O49" i="1" s="1"/>
  <c r="O50" i="1" s="1"/>
  <c r="O51" i="1" s="1"/>
  <c r="O52" i="1" s="1"/>
  <c r="O53" i="1" s="1"/>
  <c r="O54" i="1" s="1"/>
  <c r="O55" i="1" s="1"/>
  <c r="O56" i="1" s="1"/>
  <c r="O57" i="1" s="1"/>
  <c r="O58" i="1" s="1"/>
  <c r="O59" i="1" s="1"/>
  <c r="O60" i="1" s="1"/>
  <c r="O61" i="1" s="1"/>
  <c r="O62" i="1" s="1"/>
  <c r="O63" i="1" s="1"/>
  <c r="O64" i="1" s="1"/>
  <c r="O65" i="1" s="1"/>
  <c r="O66" i="1" s="1"/>
  <c r="O67" i="1" s="1"/>
  <c r="O68" i="1" s="1"/>
  <c r="O69" i="1" s="1"/>
  <c r="O70" i="1" s="1"/>
  <c r="O71" i="1" s="1"/>
  <c r="O72" i="1" s="1"/>
  <c r="O73" i="1" s="1"/>
  <c r="O74" i="1" s="1"/>
  <c r="O75" i="1" s="1"/>
  <c r="O76" i="1" s="1"/>
  <c r="O77" i="1" s="1"/>
  <c r="O78" i="1" s="1"/>
  <c r="O79" i="1" s="1"/>
  <c r="O80" i="1" s="1"/>
  <c r="O81" i="1" s="1"/>
  <c r="O82" i="1" s="1"/>
  <c r="O83" i="1" s="1"/>
  <c r="O84" i="1" s="1"/>
  <c r="O85" i="1" s="1"/>
  <c r="O86" i="1" s="1"/>
  <c r="O87" i="1" s="1"/>
  <c r="O88" i="1" s="1"/>
  <c r="O89" i="1" s="1"/>
  <c r="O90" i="1" s="1"/>
  <c r="O91" i="1" s="1"/>
  <c r="O92" i="1" s="1"/>
  <c r="O93" i="1" s="1"/>
  <c r="O94" i="1" s="1"/>
  <c r="O95" i="1" s="1"/>
  <c r="O96" i="1" s="1"/>
  <c r="O97" i="1" s="1"/>
  <c r="O98" i="1" s="1"/>
  <c r="O99" i="1" s="1"/>
  <c r="O100" i="1" s="1"/>
  <c r="O101" i="1" s="1"/>
  <c r="O102" i="1" s="1"/>
  <c r="O103" i="1" s="1"/>
  <c r="O104" i="1" s="1"/>
  <c r="O105" i="1" s="1"/>
  <c r="O106" i="1" s="1"/>
  <c r="O107" i="1" s="1"/>
  <c r="O108" i="1" s="1"/>
  <c r="O109" i="1" s="1"/>
  <c r="O110" i="1" s="1"/>
  <c r="O111" i="1" s="1"/>
  <c r="O112" i="1" s="1"/>
  <c r="O113" i="1" s="1"/>
  <c r="O114" i="1" s="1"/>
  <c r="O115" i="1" s="1"/>
  <c r="O116" i="1" s="1"/>
  <c r="O117" i="1" s="1"/>
  <c r="O118" i="1" s="1"/>
  <c r="O119" i="1" s="1"/>
  <c r="O120" i="1" s="1"/>
  <c r="O121" i="1" s="1"/>
  <c r="O122" i="1" s="1"/>
  <c r="O123" i="1" s="1"/>
  <c r="O124" i="1" s="1"/>
  <c r="O125" i="1" s="1"/>
  <c r="O126" i="1" s="1"/>
  <c r="O127" i="1" s="1"/>
  <c r="O128" i="1" s="1"/>
  <c r="O129" i="1" s="1"/>
  <c r="O130" i="1" s="1"/>
  <c r="O131" i="1" s="1"/>
  <c r="O132" i="1" s="1"/>
  <c r="O133" i="1" s="1"/>
  <c r="O134" i="1" s="1"/>
  <c r="O135" i="1" s="1"/>
  <c r="O136" i="1" s="1"/>
  <c r="O137" i="1" s="1"/>
  <c r="O138" i="1" s="1"/>
  <c r="O139" i="1" s="1"/>
  <c r="O140" i="1" s="1"/>
  <c r="O141" i="1" s="1"/>
  <c r="O142" i="1" s="1"/>
  <c r="O143" i="1" s="1"/>
  <c r="O144" i="1" s="1"/>
  <c r="O145" i="1" s="1"/>
  <c r="O146" i="1" s="1"/>
  <c r="O147" i="1" s="1"/>
  <c r="O148" i="1" s="1"/>
  <c r="O149" i="1" s="1"/>
  <c r="O150" i="1" s="1"/>
  <c r="O151" i="1" s="1"/>
  <c r="O152" i="1" s="1"/>
  <c r="O153" i="1" s="1"/>
  <c r="O154" i="1" s="1"/>
  <c r="O155" i="1" s="1"/>
  <c r="O156" i="1" s="1"/>
  <c r="O157" i="1" s="1"/>
  <c r="O158" i="1" s="1"/>
  <c r="O159" i="1" s="1"/>
  <c r="O160" i="1" s="1"/>
  <c r="O161" i="1" s="1"/>
  <c r="O162" i="1" s="1"/>
  <c r="O163" i="1" s="1"/>
  <c r="O164" i="1" s="1"/>
  <c r="O165" i="1" s="1"/>
  <c r="O166" i="1" s="1"/>
  <c r="O167" i="1" s="1"/>
  <c r="O168" i="1" s="1"/>
  <c r="O169" i="1" s="1"/>
  <c r="O170" i="1" s="1"/>
  <c r="O171" i="1" s="1"/>
  <c r="O172" i="1" s="1"/>
  <c r="O173" i="1" s="1"/>
  <c r="O174" i="1" s="1"/>
  <c r="O175" i="1" s="1"/>
  <c r="O176" i="1" s="1"/>
  <c r="O177" i="1" s="1"/>
  <c r="O178" i="1" s="1"/>
  <c r="O179" i="1" s="1"/>
  <c r="O180" i="1" s="1"/>
  <c r="O181" i="1" s="1"/>
  <c r="O182" i="1" s="1"/>
  <c r="O183" i="1" s="1"/>
  <c r="O184" i="1" s="1"/>
  <c r="O185" i="1" s="1"/>
  <c r="O186" i="1" s="1"/>
  <c r="O187" i="1" s="1"/>
  <c r="O188" i="1" s="1"/>
  <c r="O189" i="1" s="1"/>
  <c r="O190" i="1" s="1"/>
  <c r="O191" i="1" s="1"/>
  <c r="O192" i="1" s="1"/>
  <c r="O193" i="1" s="1"/>
  <c r="O194" i="1" s="1"/>
  <c r="O195" i="1" s="1"/>
  <c r="O196" i="1" s="1"/>
  <c r="O197" i="1" s="1"/>
  <c r="O198" i="1" s="1"/>
  <c r="O199" i="1" s="1"/>
  <c r="O200" i="1" s="1"/>
  <c r="O201" i="1" s="1"/>
  <c r="O202" i="1" s="1"/>
  <c r="O203" i="1" s="1"/>
  <c r="O204" i="1" s="1"/>
  <c r="O205" i="1" s="1"/>
  <c r="O206" i="1" s="1"/>
  <c r="O207" i="1" s="1"/>
  <c r="O208" i="1" s="1"/>
  <c r="O209" i="1" s="1"/>
  <c r="O210" i="1" s="1"/>
  <c r="O211" i="1" s="1"/>
  <c r="O212" i="1" s="1"/>
  <c r="O213" i="1" s="1"/>
  <c r="O214" i="1" s="1"/>
  <c r="O215" i="1" s="1"/>
  <c r="O216" i="1" s="1"/>
  <c r="O217" i="1" s="1"/>
  <c r="O218" i="1" s="1"/>
  <c r="O219" i="1" s="1"/>
  <c r="O220" i="1" s="1"/>
  <c r="O221" i="1" s="1"/>
  <c r="O222" i="1" s="1"/>
  <c r="O223" i="1" s="1"/>
  <c r="O224" i="1" s="1"/>
  <c r="O225" i="1" s="1"/>
  <c r="O226" i="1" s="1"/>
  <c r="O227" i="1" s="1"/>
  <c r="O228" i="1" s="1"/>
  <c r="O229" i="1" s="1"/>
  <c r="O230" i="1" s="1"/>
  <c r="O231" i="1" s="1"/>
  <c r="O232" i="1" s="1"/>
  <c r="O233" i="1" s="1"/>
  <c r="O234" i="1" s="1"/>
  <c r="O235" i="1" s="1"/>
  <c r="O236" i="1" s="1"/>
  <c r="O237" i="1" s="1"/>
  <c r="O238" i="1" s="1"/>
  <c r="O239" i="1" s="1"/>
  <c r="O240" i="1" s="1"/>
  <c r="O241" i="1" s="1"/>
  <c r="O242" i="1" s="1"/>
  <c r="O243" i="1" s="1"/>
  <c r="O244" i="1" s="1"/>
  <c r="O245" i="1" s="1"/>
  <c r="O246" i="1" s="1"/>
  <c r="O247" i="1" s="1"/>
  <c r="O248" i="1" s="1"/>
  <c r="O249" i="1" s="1"/>
  <c r="O250" i="1" s="1"/>
  <c r="O251" i="1" s="1"/>
  <c r="O252" i="1" s="1"/>
  <c r="O253" i="1" s="1"/>
  <c r="O254" i="1" s="1"/>
  <c r="O255" i="1" s="1"/>
  <c r="O256" i="1" s="1"/>
  <c r="O257" i="1" s="1"/>
  <c r="O258" i="1" s="1"/>
  <c r="O259" i="1" s="1"/>
  <c r="O260" i="1" s="1"/>
  <c r="O261" i="1" s="1"/>
  <c r="O262" i="1" s="1"/>
  <c r="O263" i="1" s="1"/>
  <c r="O264" i="1" s="1"/>
  <c r="O265" i="1" s="1"/>
  <c r="O266" i="1" s="1"/>
  <c r="O267" i="1" s="1"/>
  <c r="O268" i="1" s="1"/>
  <c r="O269" i="1" s="1"/>
  <c r="O270" i="1" s="1"/>
  <c r="O271" i="1" s="1"/>
  <c r="O272" i="1" s="1"/>
  <c r="O273" i="1" s="1"/>
  <c r="O274" i="1" s="1"/>
  <c r="O275" i="1" s="1"/>
  <c r="O276" i="1" s="1"/>
  <c r="O277" i="1" s="1"/>
  <c r="O278" i="1" s="1"/>
  <c r="O279" i="1" s="1"/>
  <c r="O280" i="1" s="1"/>
  <c r="O281" i="1" s="1"/>
  <c r="O282" i="1" s="1"/>
  <c r="O283" i="1" s="1"/>
  <c r="O284" i="1" s="1"/>
  <c r="O285" i="1" s="1"/>
  <c r="O286" i="1" s="1"/>
  <c r="O287" i="1" s="1"/>
  <c r="O288" i="1" s="1"/>
  <c r="O289" i="1" s="1"/>
  <c r="O290" i="1" s="1"/>
  <c r="O291" i="1" s="1"/>
  <c r="O292" i="1" s="1"/>
  <c r="O293" i="1" s="1"/>
  <c r="O294" i="1" s="1"/>
  <c r="O295" i="1" s="1"/>
  <c r="O296" i="1" s="1"/>
  <c r="O297" i="1" s="1"/>
  <c r="O298" i="1" s="1"/>
  <c r="O299" i="1" s="1"/>
  <c r="O300" i="1" s="1"/>
  <c r="O301" i="1" s="1"/>
  <c r="O302" i="1" s="1"/>
  <c r="O303" i="1" s="1"/>
  <c r="O304" i="1" s="1"/>
  <c r="O305" i="1" s="1"/>
  <c r="O306" i="1" s="1"/>
  <c r="O307" i="1" s="1"/>
  <c r="O308" i="1" s="1"/>
  <c r="O309" i="1" s="1"/>
  <c r="O310" i="1" s="1"/>
  <c r="O311" i="1" s="1"/>
  <c r="O312" i="1" s="1"/>
  <c r="O313" i="1" s="1"/>
  <c r="O314" i="1" s="1"/>
  <c r="O315" i="1" s="1"/>
  <c r="O316" i="1" s="1"/>
  <c r="O317" i="1" s="1"/>
  <c r="O318" i="1" s="1"/>
  <c r="O319" i="1" s="1"/>
  <c r="O320" i="1" s="1"/>
  <c r="O321" i="1" s="1"/>
  <c r="O322" i="1" s="1"/>
  <c r="O323" i="1" s="1"/>
  <c r="O324" i="1" s="1"/>
  <c r="O325" i="1" s="1"/>
  <c r="O326" i="1" s="1"/>
  <c r="O327" i="1" s="1"/>
  <c r="O328" i="1" s="1"/>
  <c r="O329" i="1" s="1"/>
  <c r="O330" i="1" s="1"/>
  <c r="O331" i="1" s="1"/>
  <c r="O332" i="1" s="1"/>
  <c r="O333" i="1" s="1"/>
  <c r="O334" i="1" s="1"/>
  <c r="O335" i="1" s="1"/>
  <c r="O336" i="1" s="1"/>
  <c r="O337" i="1" s="1"/>
  <c r="O338" i="1" s="1"/>
  <c r="O339" i="1" s="1"/>
  <c r="O340" i="1" s="1"/>
  <c r="O341" i="1" s="1"/>
  <c r="O342" i="1" s="1"/>
  <c r="O343" i="1" s="1"/>
  <c r="O344" i="1" s="1"/>
  <c r="O345" i="1" s="1"/>
  <c r="O346" i="1" s="1"/>
  <c r="O347" i="1" s="1"/>
  <c r="O348" i="1" s="1"/>
  <c r="O349" i="1" s="1"/>
  <c r="O350" i="1" s="1"/>
  <c r="O351" i="1" s="1"/>
  <c r="O352" i="1" s="1"/>
  <c r="O353" i="1" s="1"/>
  <c r="O354" i="1" s="1"/>
  <c r="O355" i="1" s="1"/>
  <c r="O356" i="1" s="1"/>
  <c r="O357" i="1" s="1"/>
  <c r="O358" i="1" s="1"/>
  <c r="O359" i="1" s="1"/>
  <c r="O360" i="1" s="1"/>
  <c r="O361" i="1" s="1"/>
  <c r="O362" i="1" s="1"/>
  <c r="O363" i="1" s="1"/>
  <c r="O364" i="1" s="1"/>
  <c r="O365" i="1" s="1"/>
  <c r="O366" i="1" s="1"/>
  <c r="O367" i="1" s="1"/>
  <c r="O368" i="1" s="1"/>
  <c r="O369" i="1" s="1"/>
  <c r="O370" i="1" s="1"/>
  <c r="O371" i="1" s="1"/>
  <c r="O372" i="1" s="1"/>
  <c r="O373" i="1" s="1"/>
  <c r="O374" i="1" s="1"/>
  <c r="O375" i="1" s="1"/>
  <c r="O376" i="1" s="1"/>
  <c r="O377" i="1" s="1"/>
  <c r="O378" i="1" s="1"/>
  <c r="O379" i="1" s="1"/>
  <c r="O380" i="1" s="1"/>
  <c r="O381" i="1" s="1"/>
  <c r="O382" i="1" s="1"/>
  <c r="O383" i="1" s="1"/>
  <c r="O384" i="1" s="1"/>
  <c r="O385" i="1" s="1"/>
  <c r="O386" i="1" s="1"/>
  <c r="O387" i="1" s="1"/>
  <c r="O388" i="1" s="1"/>
  <c r="O389" i="1" s="1"/>
  <c r="O390" i="1" s="1"/>
  <c r="O391" i="1" s="1"/>
  <c r="O392" i="1" s="1"/>
  <c r="O393" i="1" s="1"/>
  <c r="O394" i="1" s="1"/>
  <c r="O395" i="1" s="1"/>
  <c r="O396" i="1" s="1"/>
  <c r="O397" i="1" s="1"/>
  <c r="O398" i="1" s="1"/>
  <c r="O399" i="1" s="1"/>
  <c r="O400" i="1" s="1"/>
  <c r="O401" i="1" s="1"/>
  <c r="O402" i="1" s="1"/>
  <c r="O403" i="1" s="1"/>
  <c r="O404" i="1" s="1"/>
  <c r="O405" i="1" s="1"/>
  <c r="O406" i="1" s="1"/>
  <c r="O407" i="1" s="1"/>
  <c r="O408" i="1" s="1"/>
  <c r="O409" i="1" s="1"/>
  <c r="O410" i="1" s="1"/>
  <c r="O411" i="1" s="1"/>
  <c r="O412" i="1" s="1"/>
  <c r="O413" i="1" s="1"/>
  <c r="O414" i="1" s="1"/>
  <c r="O415" i="1" s="1"/>
  <c r="O416" i="1" s="1"/>
  <c r="O417" i="1" s="1"/>
  <c r="O418" i="1" s="1"/>
  <c r="O419" i="1" s="1"/>
  <c r="O420" i="1" s="1"/>
  <c r="O421" i="1" s="1"/>
  <c r="O422" i="1" s="1"/>
  <c r="O423" i="1" s="1"/>
  <c r="O424" i="1" s="1"/>
  <c r="O425" i="1" s="1"/>
  <c r="O426" i="1" s="1"/>
  <c r="O427" i="1" s="1"/>
  <c r="O428" i="1" s="1"/>
  <c r="O429" i="1" s="1"/>
  <c r="O430" i="1" s="1"/>
  <c r="O431" i="1" s="1"/>
  <c r="O432" i="1" s="1"/>
  <c r="O433" i="1" s="1"/>
  <c r="O434" i="1" s="1"/>
  <c r="O435" i="1" s="1"/>
  <c r="O436" i="1" s="1"/>
  <c r="O437" i="1" s="1"/>
  <c r="O438" i="1" s="1"/>
  <c r="O439" i="1" s="1"/>
  <c r="O440" i="1" s="1"/>
  <c r="O441" i="1" s="1"/>
  <c r="O442" i="1" s="1"/>
  <c r="O443" i="1" s="1"/>
  <c r="O444" i="1" s="1"/>
  <c r="O445" i="1" s="1"/>
  <c r="O446" i="1" s="1"/>
  <c r="O447" i="1" s="1"/>
  <c r="O448" i="1" s="1"/>
  <c r="O449" i="1" s="1"/>
  <c r="O450" i="1" s="1"/>
  <c r="O451" i="1" s="1"/>
  <c r="O452" i="1" s="1"/>
  <c r="O453" i="1" s="1"/>
  <c r="O454" i="1" s="1"/>
  <c r="O455" i="1" s="1"/>
  <c r="O456" i="1" s="1"/>
  <c r="O457" i="1" s="1"/>
  <c r="O458" i="1" s="1"/>
  <c r="O459" i="1" s="1"/>
  <c r="O460" i="1" s="1"/>
  <c r="O461" i="1" s="1"/>
  <c r="O462" i="1" s="1"/>
  <c r="O463" i="1" s="1"/>
  <c r="O464" i="1" s="1"/>
  <c r="O465" i="1" s="1"/>
  <c r="O466" i="1" s="1"/>
  <c r="O467" i="1" s="1"/>
  <c r="O468" i="1" s="1"/>
  <c r="O469" i="1" s="1"/>
  <c r="O470" i="1" s="1"/>
  <c r="O471" i="1" s="1"/>
  <c r="O472" i="1" s="1"/>
  <c r="O473" i="1" s="1"/>
  <c r="O474" i="1" s="1"/>
  <c r="O475" i="1" s="1"/>
  <c r="O476" i="1" s="1"/>
  <c r="O477" i="1" s="1"/>
  <c r="O478" i="1" s="1"/>
  <c r="O479" i="1" s="1"/>
  <c r="O480" i="1" s="1"/>
  <c r="O481" i="1" s="1"/>
  <c r="O482" i="1" s="1"/>
  <c r="O483" i="1" s="1"/>
  <c r="O484" i="1" s="1"/>
  <c r="O485" i="1" s="1"/>
  <c r="O486" i="1" s="1"/>
  <c r="O487" i="1" s="1"/>
  <c r="O488" i="1" s="1"/>
  <c r="O489" i="1" s="1"/>
  <c r="O490" i="1" s="1"/>
  <c r="O491" i="1" s="1"/>
  <c r="O492" i="1" s="1"/>
  <c r="O493" i="1" s="1"/>
  <c r="O494" i="1" s="1"/>
  <c r="O495" i="1" s="1"/>
  <c r="O496" i="1" s="1"/>
  <c r="O497" i="1" s="1"/>
  <c r="O498" i="1" s="1"/>
  <c r="O499" i="1" s="1"/>
  <c r="O500" i="1" s="1"/>
  <c r="O501" i="1" s="1"/>
  <c r="O502" i="1" s="1"/>
  <c r="O503" i="1" s="1"/>
  <c r="O504" i="1" s="1"/>
  <c r="O505" i="1" s="1"/>
  <c r="O506" i="1" s="1"/>
  <c r="O507" i="1" s="1"/>
  <c r="O508" i="1" s="1"/>
  <c r="O509" i="1" s="1"/>
  <c r="O510" i="1" s="1"/>
  <c r="O511" i="1" s="1"/>
  <c r="O512" i="1" s="1"/>
  <c r="O513" i="1" s="1"/>
  <c r="O514" i="1" s="1"/>
  <c r="O515" i="1" s="1"/>
  <c r="O516" i="1" s="1"/>
  <c r="O517" i="1" s="1"/>
  <c r="O518" i="1" s="1"/>
  <c r="O519" i="1" s="1"/>
  <c r="O520" i="1" s="1"/>
  <c r="O521" i="1" s="1"/>
  <c r="O522" i="1" s="1"/>
  <c r="O523" i="1" s="1"/>
  <c r="O524" i="1" s="1"/>
  <c r="O525" i="1" s="1"/>
  <c r="O526" i="1" s="1"/>
  <c r="O527" i="1" s="1"/>
  <c r="O528" i="1" s="1"/>
  <c r="O529" i="1" s="1"/>
  <c r="O530" i="1" s="1"/>
  <c r="O531" i="1" s="1"/>
  <c r="O532" i="1" s="1"/>
  <c r="O533" i="1" s="1"/>
  <c r="O534" i="1" s="1"/>
  <c r="O535" i="1" s="1"/>
  <c r="O536" i="1" s="1"/>
  <c r="O537" i="1" s="1"/>
  <c r="O538" i="1" s="1"/>
  <c r="O539" i="1" s="1"/>
  <c r="O540" i="1" s="1"/>
  <c r="O541" i="1" s="1"/>
  <c r="O542" i="1" s="1"/>
  <c r="O543" i="1" s="1"/>
  <c r="O544" i="1" s="1"/>
  <c r="O545" i="1" s="1"/>
  <c r="O546" i="1" s="1"/>
  <c r="O547" i="1" s="1"/>
  <c r="O548" i="1" s="1"/>
  <c r="O549" i="1" s="1"/>
  <c r="O550" i="1" s="1"/>
  <c r="O551" i="1" s="1"/>
  <c r="O552" i="1" s="1"/>
  <c r="O553" i="1" s="1"/>
  <c r="O554" i="1" s="1"/>
  <c r="O555" i="1" s="1"/>
  <c r="O556" i="1" s="1"/>
  <c r="O557" i="1" s="1"/>
  <c r="O558" i="1" s="1"/>
  <c r="O559" i="1" s="1"/>
  <c r="O560" i="1" s="1"/>
  <c r="O561" i="1" s="1"/>
  <c r="O562" i="1" s="1"/>
  <c r="O563" i="1" s="1"/>
  <c r="O564" i="1" s="1"/>
  <c r="O565" i="1" s="1"/>
  <c r="O566" i="1" s="1"/>
  <c r="O567" i="1" s="1"/>
  <c r="O568" i="1" s="1"/>
  <c r="O569" i="1" s="1"/>
  <c r="O570" i="1" s="1"/>
  <c r="O571" i="1" s="1"/>
  <c r="O572" i="1" s="1"/>
  <c r="O573" i="1" s="1"/>
  <c r="O574" i="1" s="1"/>
  <c r="O575" i="1" s="1"/>
  <c r="O576" i="1" s="1"/>
  <c r="O577" i="1" s="1"/>
  <c r="O578" i="1" s="1"/>
  <c r="O579" i="1" s="1"/>
  <c r="O580" i="1" s="1"/>
  <c r="O581" i="1" s="1"/>
  <c r="O582" i="1" s="1"/>
  <c r="O583" i="1" s="1"/>
  <c r="O584" i="1" s="1"/>
  <c r="O585" i="1" s="1"/>
  <c r="O586" i="1" s="1"/>
  <c r="O587" i="1" s="1"/>
  <c r="O588" i="1" s="1"/>
  <c r="O589" i="1" s="1"/>
  <c r="O590" i="1" s="1"/>
  <c r="O591" i="1" s="1"/>
  <c r="O592" i="1" s="1"/>
  <c r="O593" i="1" s="1"/>
  <c r="O594" i="1" s="1"/>
  <c r="O595" i="1" s="1"/>
  <c r="O596" i="1" s="1"/>
  <c r="O597" i="1" s="1"/>
  <c r="O598" i="1" s="1"/>
  <c r="O599" i="1" s="1"/>
  <c r="O600" i="1" s="1"/>
  <c r="O601" i="1" s="1"/>
  <c r="O602" i="1" s="1"/>
  <c r="O603" i="1" s="1"/>
  <c r="O604" i="1" s="1"/>
  <c r="O605" i="1" s="1"/>
  <c r="O606" i="1" s="1"/>
  <c r="O607" i="1" s="1"/>
  <c r="O608" i="1" s="1"/>
  <c r="O609" i="1" s="1"/>
  <c r="O610" i="1" s="1"/>
  <c r="O611" i="1" s="1"/>
  <c r="O612" i="1" s="1"/>
  <c r="O613" i="1" s="1"/>
  <c r="O614" i="1" s="1"/>
  <c r="O615" i="1" s="1"/>
  <c r="O616" i="1" s="1"/>
  <c r="O617" i="1" s="1"/>
  <c r="O618" i="1" s="1"/>
  <c r="O619" i="1" s="1"/>
  <c r="O620" i="1" s="1"/>
  <c r="O621" i="1" s="1"/>
  <c r="O622" i="1" s="1"/>
  <c r="O623" i="1" s="1"/>
  <c r="O624" i="1" s="1"/>
  <c r="O625" i="1" s="1"/>
  <c r="O626" i="1" s="1"/>
  <c r="O627" i="1" s="1"/>
  <c r="O628" i="1" s="1"/>
  <c r="O629" i="1" s="1"/>
  <c r="O630" i="1" s="1"/>
  <c r="O631" i="1" s="1"/>
  <c r="O632" i="1" s="1"/>
  <c r="O633" i="1" s="1"/>
  <c r="O634" i="1" s="1"/>
  <c r="O635" i="1" s="1"/>
  <c r="O636" i="1" s="1"/>
  <c r="O637" i="1" s="1"/>
  <c r="O638" i="1" s="1"/>
  <c r="O639" i="1" s="1"/>
  <c r="O640" i="1" s="1"/>
  <c r="O641" i="1" s="1"/>
  <c r="O642" i="1" s="1"/>
  <c r="O643" i="1" s="1"/>
  <c r="O644" i="1" s="1"/>
  <c r="O645" i="1" s="1"/>
  <c r="O646" i="1" s="1"/>
  <c r="O647" i="1" s="1"/>
  <c r="O648" i="1" s="1"/>
  <c r="O649" i="1" s="1"/>
  <c r="O650" i="1" s="1"/>
  <c r="O651" i="1" s="1"/>
  <c r="O652" i="1" s="1"/>
  <c r="O653" i="1" s="1"/>
  <c r="O654" i="1" s="1"/>
  <c r="O655" i="1" s="1"/>
  <c r="O656" i="1" s="1"/>
  <c r="O657" i="1" s="1"/>
  <c r="O658" i="1" s="1"/>
  <c r="O659" i="1" s="1"/>
  <c r="O660" i="1" s="1"/>
  <c r="O661" i="1" s="1"/>
  <c r="O662" i="1" s="1"/>
  <c r="O663" i="1" s="1"/>
  <c r="O664" i="1" s="1"/>
  <c r="O665" i="1" s="1"/>
  <c r="O666" i="1" s="1"/>
  <c r="O667" i="1" s="1"/>
  <c r="O668" i="1" s="1"/>
  <c r="O669" i="1" s="1"/>
  <c r="O670" i="1" s="1"/>
  <c r="O671" i="1" s="1"/>
  <c r="O672" i="1" s="1"/>
  <c r="O673" i="1" s="1"/>
  <c r="O674" i="1" s="1"/>
  <c r="O675" i="1" s="1"/>
  <c r="O676" i="1" s="1"/>
  <c r="O677" i="1" s="1"/>
  <c r="O678" i="1" s="1"/>
  <c r="O679" i="1" s="1"/>
  <c r="O680" i="1" s="1"/>
  <c r="O681" i="1" s="1"/>
  <c r="O682" i="1" s="1"/>
  <c r="O683" i="1" s="1"/>
  <c r="O684" i="1" s="1"/>
  <c r="O685" i="1" s="1"/>
  <c r="O686" i="1" s="1"/>
  <c r="O687" i="1" s="1"/>
  <c r="O688" i="1" s="1"/>
  <c r="O689" i="1" s="1"/>
  <c r="O690" i="1" s="1"/>
  <c r="O691" i="1" s="1"/>
  <c r="O692" i="1" s="1"/>
  <c r="O693" i="1" s="1"/>
  <c r="O694" i="1" s="1"/>
  <c r="O695" i="1" s="1"/>
  <c r="O696" i="1" s="1"/>
  <c r="O697" i="1" s="1"/>
  <c r="O698" i="1" s="1"/>
  <c r="O699" i="1" s="1"/>
  <c r="O700" i="1" s="1"/>
  <c r="O701" i="1" s="1"/>
  <c r="O702" i="1" s="1"/>
  <c r="O703" i="1" s="1"/>
  <c r="O704" i="1" s="1"/>
  <c r="O705" i="1" s="1"/>
  <c r="O706" i="1" s="1"/>
  <c r="O707" i="1" s="1"/>
  <c r="O708" i="1" s="1"/>
  <c r="O709" i="1" s="1"/>
  <c r="O710" i="1" s="1"/>
  <c r="O711" i="1" s="1"/>
  <c r="O712" i="1" s="1"/>
  <c r="O713" i="1" s="1"/>
  <c r="O714" i="1" s="1"/>
  <c r="O715" i="1" s="1"/>
  <c r="O716" i="1" s="1"/>
  <c r="O717" i="1" s="1"/>
  <c r="O718" i="1" s="1"/>
  <c r="O719" i="1" s="1"/>
  <c r="O720" i="1" s="1"/>
  <c r="O721" i="1" s="1"/>
  <c r="O722" i="1" s="1"/>
  <c r="O723" i="1" s="1"/>
  <c r="O724" i="1" s="1"/>
  <c r="O725" i="1" s="1"/>
  <c r="O726" i="1" s="1"/>
  <c r="O727" i="1" s="1"/>
  <c r="O728" i="1" s="1"/>
  <c r="O729" i="1" s="1"/>
  <c r="O730" i="1" s="1"/>
  <c r="O731" i="1" s="1"/>
  <c r="O732" i="1" s="1"/>
  <c r="O733" i="1" s="1"/>
  <c r="O734" i="1" s="1"/>
  <c r="O735" i="1" s="1"/>
  <c r="O736" i="1" s="1"/>
  <c r="O737" i="1" s="1"/>
  <c r="O738" i="1" s="1"/>
  <c r="O739" i="1" s="1"/>
  <c r="O740" i="1" s="1"/>
  <c r="O741" i="1" s="1"/>
  <c r="O742" i="1" s="1"/>
  <c r="O743" i="1" s="1"/>
  <c r="O744" i="1" s="1"/>
  <c r="O745" i="1" s="1"/>
  <c r="O746" i="1" s="1"/>
  <c r="O747" i="1" s="1"/>
  <c r="O748" i="1" s="1"/>
  <c r="O749" i="1" s="1"/>
  <c r="O750" i="1" s="1"/>
  <c r="O751" i="1" s="1"/>
  <c r="O752" i="1" s="1"/>
  <c r="O753" i="1" s="1"/>
  <c r="O754" i="1" s="1"/>
  <c r="O755" i="1" s="1"/>
  <c r="O756" i="1" s="1"/>
  <c r="O757" i="1" s="1"/>
  <c r="O758" i="1" s="1"/>
  <c r="O759" i="1" s="1"/>
  <c r="O760" i="1" s="1"/>
  <c r="O761" i="1" s="1"/>
  <c r="O762" i="1" s="1"/>
  <c r="O763" i="1" s="1"/>
  <c r="O764" i="1" s="1"/>
  <c r="O765" i="1" s="1"/>
  <c r="O766" i="1" s="1"/>
  <c r="O767" i="1" s="1"/>
  <c r="O768" i="1" s="1"/>
  <c r="O769" i="1" s="1"/>
  <c r="O770" i="1" s="1"/>
  <c r="O771" i="1" s="1"/>
  <c r="O772" i="1" s="1"/>
  <c r="O773" i="1" s="1"/>
  <c r="O774" i="1" s="1"/>
  <c r="O775" i="1" s="1"/>
  <c r="O776" i="1" s="1"/>
  <c r="O777" i="1" s="1"/>
  <c r="O778" i="1" s="1"/>
  <c r="O779" i="1" s="1"/>
  <c r="O780" i="1" s="1"/>
  <c r="O781" i="1" s="1"/>
  <c r="O782" i="1" s="1"/>
  <c r="O783" i="1" s="1"/>
  <c r="O784" i="1" s="1"/>
  <c r="O785" i="1" s="1"/>
  <c r="O786" i="1" s="1"/>
  <c r="O787" i="1" s="1"/>
  <c r="O788" i="1" s="1"/>
  <c r="O789" i="1" s="1"/>
  <c r="O790" i="1" s="1"/>
  <c r="O791" i="1" s="1"/>
  <c r="O792" i="1" s="1"/>
  <c r="O793" i="1" s="1"/>
  <c r="O794" i="1" s="1"/>
  <c r="O795" i="1" s="1"/>
  <c r="O796" i="1" s="1"/>
  <c r="O797" i="1" s="1"/>
  <c r="O798" i="1" s="1"/>
  <c r="O799" i="1" s="1"/>
  <c r="O800" i="1" s="1"/>
  <c r="O801" i="1" s="1"/>
  <c r="O802" i="1" s="1"/>
  <c r="O803" i="1" s="1"/>
  <c r="O804" i="1" s="1"/>
  <c r="O805" i="1" s="1"/>
  <c r="O806" i="1" s="1"/>
  <c r="O807" i="1" s="1"/>
  <c r="O808" i="1" s="1"/>
  <c r="O809" i="1" s="1"/>
  <c r="O810" i="1" s="1"/>
  <c r="O811" i="1" s="1"/>
  <c r="O812" i="1" s="1"/>
  <c r="O813" i="1" s="1"/>
  <c r="O814" i="1" s="1"/>
  <c r="O815" i="1" s="1"/>
  <c r="O816" i="1" s="1"/>
  <c r="O817" i="1" s="1"/>
  <c r="O818" i="1" s="1"/>
  <c r="O819" i="1" s="1"/>
  <c r="O820" i="1" s="1"/>
  <c r="O821" i="1" s="1"/>
  <c r="O822" i="1" s="1"/>
  <c r="O823" i="1" s="1"/>
  <c r="O824" i="1" s="1"/>
  <c r="O825" i="1" s="1"/>
  <c r="O826" i="1" s="1"/>
  <c r="O827" i="1" s="1"/>
  <c r="O828" i="1" s="1"/>
  <c r="O829" i="1" s="1"/>
  <c r="O830" i="1" s="1"/>
  <c r="O831" i="1" s="1"/>
  <c r="O832" i="1" s="1"/>
  <c r="O833" i="1" s="1"/>
  <c r="O834" i="1" s="1"/>
  <c r="O835" i="1" s="1"/>
  <c r="O836" i="1" s="1"/>
  <c r="O837" i="1" s="1"/>
  <c r="O838" i="1" s="1"/>
  <c r="O839" i="1" s="1"/>
  <c r="O840" i="1" s="1"/>
  <c r="O841" i="1" s="1"/>
  <c r="O842" i="1" s="1"/>
  <c r="O843" i="1" s="1"/>
  <c r="O844" i="1" s="1"/>
  <c r="O845" i="1" s="1"/>
  <c r="O846" i="1" s="1"/>
  <c r="O847" i="1" s="1"/>
  <c r="O848" i="1" s="1"/>
  <c r="O849" i="1" s="1"/>
  <c r="O850" i="1" s="1"/>
  <c r="O851" i="1" s="1"/>
  <c r="O852" i="1" s="1"/>
  <c r="O853" i="1" s="1"/>
  <c r="O854" i="1" s="1"/>
  <c r="O855" i="1" s="1"/>
  <c r="O856" i="1" s="1"/>
  <c r="O857" i="1" s="1"/>
  <c r="O858" i="1" s="1"/>
  <c r="O859" i="1" s="1"/>
  <c r="O860" i="1" s="1"/>
  <c r="O861" i="1" s="1"/>
  <c r="O862" i="1" s="1"/>
  <c r="O863" i="1" s="1"/>
  <c r="O864" i="1" s="1"/>
  <c r="O865" i="1" s="1"/>
  <c r="O866" i="1" s="1"/>
  <c r="O867" i="1" s="1"/>
  <c r="O868" i="1" s="1"/>
  <c r="O869" i="1" s="1"/>
  <c r="O870" i="1" s="1"/>
  <c r="O871" i="1" s="1"/>
  <c r="O872" i="1" s="1"/>
  <c r="O873" i="1" s="1"/>
  <c r="O874" i="1" s="1"/>
  <c r="O875" i="1" s="1"/>
  <c r="O876" i="1" s="1"/>
  <c r="O877" i="1" s="1"/>
  <c r="O878" i="1" s="1"/>
  <c r="O879" i="1" s="1"/>
  <c r="O880" i="1" s="1"/>
  <c r="O881" i="1" s="1"/>
  <c r="O882" i="1" s="1"/>
  <c r="O883" i="1" s="1"/>
  <c r="O884" i="1" s="1"/>
  <c r="O885" i="1" s="1"/>
  <c r="O886" i="1" s="1"/>
  <c r="O887" i="1" s="1"/>
  <c r="O888" i="1" s="1"/>
  <c r="O889" i="1" s="1"/>
  <c r="O890" i="1" s="1"/>
  <c r="O891" i="1" s="1"/>
  <c r="O892" i="1" s="1"/>
  <c r="O893" i="1" s="1"/>
  <c r="O894" i="1" s="1"/>
  <c r="O895" i="1" s="1"/>
  <c r="O896" i="1" s="1"/>
  <c r="O897" i="1" s="1"/>
  <c r="O898" i="1" s="1"/>
  <c r="O899" i="1" s="1"/>
  <c r="O900" i="1" s="1"/>
  <c r="O901" i="1" s="1"/>
  <c r="O902" i="1" s="1"/>
  <c r="O903" i="1" s="1"/>
  <c r="O904" i="1" s="1"/>
  <c r="O905" i="1" s="1"/>
  <c r="O906" i="1" s="1"/>
  <c r="O907" i="1" s="1"/>
  <c r="O908" i="1" s="1"/>
  <c r="O909" i="1" s="1"/>
  <c r="O910" i="1" s="1"/>
  <c r="O911" i="1" s="1"/>
  <c r="O912" i="1" s="1"/>
  <c r="O913" i="1" s="1"/>
  <c r="O914" i="1" s="1"/>
  <c r="O915" i="1" s="1"/>
  <c r="O916" i="1" s="1"/>
  <c r="O917" i="1" s="1"/>
  <c r="O918" i="1" s="1"/>
  <c r="O919" i="1" s="1"/>
  <c r="O920" i="1" s="1"/>
  <c r="O921" i="1" s="1"/>
  <c r="O922" i="1" s="1"/>
  <c r="O923" i="1" s="1"/>
  <c r="O924" i="1" s="1"/>
  <c r="O925" i="1" s="1"/>
  <c r="O926" i="1" s="1"/>
  <c r="O927" i="1" s="1"/>
  <c r="O928" i="1" s="1"/>
  <c r="O929" i="1" s="1"/>
  <c r="O930" i="1" s="1"/>
  <c r="O931" i="1" s="1"/>
  <c r="O932" i="1" s="1"/>
  <c r="O933" i="1" s="1"/>
  <c r="O934" i="1" s="1"/>
  <c r="O935" i="1" s="1"/>
  <c r="O936" i="1" s="1"/>
  <c r="O937" i="1" s="1"/>
  <c r="O938" i="1" s="1"/>
  <c r="O939" i="1" s="1"/>
  <c r="O940" i="1" s="1"/>
  <c r="O941" i="1" s="1"/>
  <c r="O942" i="1" s="1"/>
  <c r="O943" i="1" s="1"/>
  <c r="O944" i="1" s="1"/>
  <c r="O945" i="1" s="1"/>
  <c r="O946" i="1" s="1"/>
  <c r="O947" i="1" s="1"/>
  <c r="O948" i="1" s="1"/>
  <c r="O949" i="1" s="1"/>
  <c r="O950" i="1" s="1"/>
  <c r="O951" i="1" s="1"/>
  <c r="O952" i="1" s="1"/>
  <c r="O953" i="1" s="1"/>
  <c r="O954" i="1" s="1"/>
  <c r="O955" i="1" s="1"/>
  <c r="O956" i="1" s="1"/>
  <c r="O957" i="1" s="1"/>
  <c r="O958" i="1" s="1"/>
  <c r="O959" i="1" s="1"/>
  <c r="O960" i="1" s="1"/>
  <c r="O961" i="1" s="1"/>
  <c r="O962" i="1" s="1"/>
  <c r="O963" i="1" s="1"/>
  <c r="O964" i="1" s="1"/>
  <c r="O965" i="1" s="1"/>
  <c r="O966" i="1" s="1"/>
  <c r="O967" i="1" s="1"/>
  <c r="O968" i="1" s="1"/>
  <c r="O969" i="1" s="1"/>
  <c r="O970" i="1" s="1"/>
  <c r="O971" i="1" s="1"/>
  <c r="O972" i="1" s="1"/>
  <c r="O973" i="1" s="1"/>
  <c r="O974" i="1" s="1"/>
  <c r="O975" i="1" s="1"/>
  <c r="O976" i="1" s="1"/>
  <c r="O977" i="1" s="1"/>
  <c r="O978" i="1" s="1"/>
  <c r="O979" i="1" s="1"/>
  <c r="O980" i="1" s="1"/>
  <c r="O981" i="1" s="1"/>
  <c r="O982" i="1" s="1"/>
  <c r="O983" i="1" s="1"/>
  <c r="O984" i="1" s="1"/>
  <c r="O985" i="1" s="1"/>
  <c r="O986" i="1" s="1"/>
  <c r="O987" i="1" s="1"/>
  <c r="O988" i="1" s="1"/>
  <c r="O989" i="1" s="1"/>
  <c r="O990" i="1" s="1"/>
  <c r="O991" i="1" s="1"/>
  <c r="O992" i="1" s="1"/>
  <c r="O993" i="1" s="1"/>
  <c r="O994" i="1" s="1"/>
  <c r="O995" i="1" s="1"/>
  <c r="O996" i="1" s="1"/>
  <c r="O997" i="1" s="1"/>
  <c r="O998" i="1" s="1"/>
  <c r="O999" i="1" s="1"/>
  <c r="O1000" i="1" s="1"/>
  <c r="O1001" i="1" s="1"/>
  <c r="O1002" i="1" s="1"/>
  <c r="O1003" i="1" s="1"/>
  <c r="O1004" i="1" s="1"/>
  <c r="O1005" i="1" s="1"/>
  <c r="O1006" i="1" s="1"/>
  <c r="O1007" i="1" s="1"/>
  <c r="O1008" i="1" s="1"/>
  <c r="O1009" i="1" s="1"/>
  <c r="F58" i="1"/>
  <c r="F59" i="1"/>
  <c r="O1010" i="1" l="1"/>
  <c r="O1011" i="1" s="1"/>
  <c r="O1012" i="1" s="1"/>
  <c r="O1013" i="1" s="1"/>
  <c r="O1014" i="1" s="1"/>
  <c r="O1015" i="1" s="1"/>
  <c r="O1016" i="1" s="1"/>
  <c r="O1017" i="1" s="1"/>
  <c r="O1018" i="1" s="1"/>
  <c r="O1019" i="1" s="1"/>
  <c r="O1020" i="1" s="1"/>
  <c r="O1021" i="1" s="1"/>
  <c r="O1022" i="1" s="1"/>
  <c r="O1023" i="1" s="1"/>
  <c r="O1024" i="1" s="1"/>
  <c r="O1025" i="1" s="1"/>
  <c r="O1026" i="1" s="1"/>
  <c r="O1027" i="1" s="1"/>
  <c r="O1028" i="1" s="1"/>
  <c r="O1029" i="1" s="1"/>
  <c r="O1030" i="1" s="1"/>
  <c r="O1031" i="1" s="1"/>
  <c r="O1032" i="1" s="1"/>
  <c r="O1033" i="1" s="1"/>
  <c r="O1034" i="1" s="1"/>
  <c r="O1035" i="1" s="1"/>
  <c r="O1036" i="1" s="1"/>
  <c r="O1037" i="1" s="1"/>
  <c r="O1038" i="1" s="1"/>
  <c r="O1039" i="1" s="1"/>
  <c r="O1040" i="1" s="1"/>
  <c r="O1041" i="1" s="1"/>
  <c r="O1042" i="1" s="1"/>
  <c r="O1043" i="1" s="1"/>
  <c r="O1044" i="1" s="1"/>
  <c r="O1045" i="1" s="1"/>
  <c r="O1046" i="1" s="1"/>
  <c r="O1047" i="1" s="1"/>
  <c r="O1048" i="1" s="1"/>
  <c r="O1049" i="1" s="1"/>
  <c r="O1050" i="1" s="1"/>
  <c r="O1051" i="1" s="1"/>
  <c r="O1052" i="1" s="1"/>
  <c r="O1053" i="1" s="1"/>
  <c r="O1054" i="1" s="1"/>
  <c r="O1055" i="1" s="1"/>
  <c r="O1056" i="1" s="1"/>
  <c r="O1057" i="1" s="1"/>
  <c r="O1058" i="1" s="1"/>
  <c r="O1059" i="1" s="1"/>
  <c r="O1060" i="1" s="1"/>
  <c r="O1061" i="1" s="1"/>
  <c r="O1062" i="1" s="1"/>
  <c r="O1063" i="1" s="1"/>
  <c r="O1064" i="1" s="1"/>
  <c r="O1065" i="1" s="1"/>
  <c r="O1066" i="1" s="1"/>
  <c r="O1067" i="1" s="1"/>
  <c r="O1068" i="1" s="1"/>
  <c r="O1069" i="1" s="1"/>
  <c r="O1070" i="1" s="1"/>
  <c r="O1071" i="1" s="1"/>
  <c r="O1072" i="1" s="1"/>
  <c r="O1073" i="1" s="1"/>
  <c r="O1074" i="1" s="1"/>
  <c r="O1075" i="1" s="1"/>
  <c r="O1076" i="1" s="1"/>
  <c r="O1077" i="1" s="1"/>
  <c r="O1078" i="1" s="1"/>
  <c r="O1079" i="1" s="1"/>
  <c r="O1080" i="1" s="1"/>
  <c r="O1081" i="1" s="1"/>
  <c r="O1082" i="1" s="1"/>
  <c r="O1083" i="1" s="1"/>
  <c r="O1084" i="1" s="1"/>
  <c r="O1085" i="1" s="1"/>
  <c r="O1086" i="1" s="1"/>
  <c r="O1087" i="1" s="1"/>
  <c r="O1088" i="1" s="1"/>
  <c r="O1089" i="1" s="1"/>
  <c r="O1090" i="1" s="1"/>
  <c r="O1091" i="1" s="1"/>
  <c r="O1092" i="1" s="1"/>
  <c r="O1093" i="1" s="1"/>
  <c r="O1094" i="1" s="1"/>
  <c r="O1095" i="1" s="1"/>
  <c r="O1096" i="1" s="1"/>
  <c r="O1097" i="1" s="1"/>
  <c r="O1098" i="1" s="1"/>
  <c r="O1099" i="1" s="1"/>
  <c r="O1100" i="1" s="1"/>
  <c r="O1101" i="1" s="1"/>
  <c r="O1102" i="1" s="1"/>
  <c r="O1103" i="1" s="1"/>
  <c r="O1104" i="1" s="1"/>
  <c r="O1105" i="1" s="1"/>
  <c r="O1106" i="1" s="1"/>
  <c r="O1107" i="1" s="1"/>
  <c r="O1108" i="1" s="1"/>
  <c r="O1109" i="1" s="1"/>
  <c r="O1110" i="1" s="1"/>
  <c r="O1111" i="1" s="1"/>
  <c r="O1112" i="1" s="1"/>
  <c r="O1113" i="1" s="1"/>
  <c r="O1114" i="1" s="1"/>
  <c r="O1115" i="1" s="1"/>
  <c r="O1116" i="1" s="1"/>
  <c r="O1117" i="1" s="1"/>
  <c r="O1118" i="1" s="1"/>
  <c r="O1119" i="1" s="1"/>
  <c r="O1120" i="1" s="1"/>
  <c r="O1121" i="1" s="1"/>
  <c r="O1122" i="1" s="1"/>
  <c r="O1123" i="1" s="1"/>
  <c r="O1124" i="1" s="1"/>
  <c r="O1125" i="1" s="1"/>
  <c r="O1126" i="1" s="1"/>
  <c r="O1127" i="1" s="1"/>
  <c r="O1128" i="1" s="1"/>
  <c r="O1129" i="1" s="1"/>
  <c r="O1130" i="1" s="1"/>
  <c r="O1131" i="1" s="1"/>
  <c r="O1132" i="1" s="1"/>
  <c r="O1133" i="1" s="1"/>
  <c r="O1134" i="1" s="1"/>
  <c r="O1135" i="1" s="1"/>
  <c r="O1136" i="1" s="1"/>
  <c r="O1137" i="1" s="1"/>
  <c r="O1138" i="1" s="1"/>
  <c r="O1139" i="1" s="1"/>
  <c r="O1140" i="1" s="1"/>
  <c r="O1141" i="1" s="1"/>
  <c r="O1142" i="1" s="1"/>
  <c r="O1143" i="1" s="1"/>
  <c r="O1144" i="1" s="1"/>
  <c r="O1145" i="1" s="1"/>
  <c r="O1146" i="1" s="1"/>
  <c r="O1147" i="1" s="1"/>
  <c r="O1148" i="1" s="1"/>
  <c r="O1149" i="1" s="1"/>
  <c r="O1150" i="1" s="1"/>
  <c r="O1151" i="1" s="1"/>
  <c r="O1152" i="1" s="1"/>
  <c r="O1153" i="1" s="1"/>
  <c r="O1154" i="1" s="1"/>
  <c r="O1155" i="1" s="1"/>
  <c r="O1156" i="1" s="1"/>
  <c r="O1157" i="1" s="1"/>
  <c r="O1158" i="1" s="1"/>
  <c r="O1159" i="1" s="1"/>
  <c r="O1160" i="1" s="1"/>
  <c r="O1161" i="1" s="1"/>
  <c r="O1162" i="1" s="1"/>
  <c r="O1163" i="1" s="1"/>
  <c r="O1164" i="1" s="1"/>
  <c r="O1165" i="1" s="1"/>
  <c r="O1166" i="1" s="1"/>
  <c r="O1167" i="1" s="1"/>
  <c r="O1168" i="1" s="1"/>
  <c r="O1169" i="1" s="1"/>
  <c r="O1170" i="1" s="1"/>
  <c r="O1171" i="1" s="1"/>
  <c r="O1172" i="1" s="1"/>
  <c r="O1173" i="1" s="1"/>
  <c r="O1174" i="1" s="1"/>
  <c r="O1175" i="1" s="1"/>
  <c r="O1176" i="1" s="1"/>
  <c r="O1177" i="1" s="1"/>
  <c r="O1178" i="1" s="1"/>
  <c r="O1179" i="1" s="1"/>
  <c r="O1180" i="1" s="1"/>
  <c r="O1181" i="1" s="1"/>
  <c r="O1182" i="1" s="1"/>
  <c r="O1183" i="1" s="1"/>
  <c r="O1184" i="1" s="1"/>
  <c r="O1185" i="1" s="1"/>
  <c r="O1186" i="1" s="1"/>
  <c r="O1187" i="1" s="1"/>
  <c r="O1188" i="1" s="1"/>
  <c r="O1189" i="1" s="1"/>
  <c r="O1190" i="1" s="1"/>
  <c r="O1191" i="1" s="1"/>
  <c r="O1192" i="1" s="1"/>
  <c r="O1193" i="1" s="1"/>
  <c r="O1194" i="1" s="1"/>
  <c r="O1195" i="1" s="1"/>
  <c r="O1196" i="1" s="1"/>
  <c r="O1197" i="1" s="1"/>
  <c r="O1198" i="1" s="1"/>
  <c r="O1199" i="1" s="1"/>
  <c r="O1200" i="1" s="1"/>
  <c r="O1201" i="1" s="1"/>
  <c r="O1202" i="1" s="1"/>
  <c r="O1203" i="1" s="1"/>
  <c r="O1204" i="1" s="1"/>
  <c r="O1205" i="1" s="1"/>
  <c r="O1206" i="1" s="1"/>
  <c r="O1207" i="1" s="1"/>
  <c r="O1208" i="1" s="1"/>
  <c r="O1209" i="1" s="1"/>
  <c r="O1210" i="1" s="1"/>
  <c r="O1211" i="1" s="1"/>
  <c r="O1212" i="1" s="1"/>
  <c r="O1213" i="1" s="1"/>
  <c r="O1214" i="1" s="1"/>
  <c r="O1215" i="1" s="1"/>
  <c r="O1216" i="1" s="1"/>
  <c r="O1217" i="1" s="1"/>
  <c r="O1218" i="1" s="1"/>
  <c r="O1219" i="1" s="1"/>
  <c r="O1220" i="1" s="1"/>
  <c r="O1221" i="1" s="1"/>
  <c r="O1222" i="1" s="1"/>
  <c r="O1223" i="1" s="1"/>
  <c r="O1224" i="1" s="1"/>
  <c r="O1225" i="1" s="1"/>
  <c r="O1226" i="1" s="1"/>
  <c r="O1227" i="1" s="1"/>
  <c r="O1228" i="1" s="1"/>
  <c r="O1229" i="1" s="1"/>
  <c r="O1230" i="1" s="1"/>
  <c r="O1231" i="1" s="1"/>
  <c r="O1232" i="1" s="1"/>
  <c r="O1233" i="1" s="1"/>
  <c r="O1234" i="1" s="1"/>
  <c r="O1235" i="1" s="1"/>
  <c r="O1236" i="1" s="1"/>
  <c r="O1237" i="1" s="1"/>
  <c r="O1238" i="1" s="1"/>
  <c r="O1239" i="1" s="1"/>
  <c r="O1240" i="1" s="1"/>
  <c r="O1241" i="1" s="1"/>
  <c r="O1242" i="1" s="1"/>
  <c r="O1243" i="1" s="1"/>
  <c r="O1244" i="1" s="1"/>
  <c r="O1245" i="1" s="1"/>
  <c r="O1246" i="1" s="1"/>
  <c r="O1247" i="1" s="1"/>
  <c r="O1248" i="1" s="1"/>
  <c r="O1249" i="1" s="1"/>
  <c r="O1250" i="1" s="1"/>
  <c r="O1251" i="1" s="1"/>
  <c r="O1252" i="1" s="1"/>
  <c r="O1253" i="1" s="1"/>
  <c r="O1254" i="1" s="1"/>
  <c r="O1255" i="1" s="1"/>
  <c r="O1256" i="1" s="1"/>
  <c r="O1257" i="1" s="1"/>
  <c r="O1258" i="1" s="1"/>
  <c r="O1259" i="1" s="1"/>
  <c r="O1260" i="1" s="1"/>
  <c r="O1261" i="1" s="1"/>
  <c r="O1262" i="1" s="1"/>
  <c r="O1263" i="1" s="1"/>
  <c r="O1264" i="1" s="1"/>
  <c r="O1265" i="1" s="1"/>
  <c r="O1266" i="1" s="1"/>
  <c r="O1267" i="1" s="1"/>
  <c r="O1268" i="1" s="1"/>
  <c r="O1269" i="1" s="1"/>
  <c r="O1270" i="1" s="1"/>
  <c r="O1271" i="1" s="1"/>
  <c r="O1272" i="1" s="1"/>
  <c r="O1273" i="1" s="1"/>
  <c r="O1274" i="1" s="1"/>
  <c r="O1275" i="1" s="1"/>
  <c r="O1276" i="1" s="1"/>
  <c r="O1277" i="1" s="1"/>
  <c r="O1278" i="1" s="1"/>
  <c r="O1279" i="1" s="1"/>
  <c r="O1280" i="1" s="1"/>
  <c r="O1281" i="1" s="1"/>
  <c r="O1282" i="1" s="1"/>
  <c r="O1283" i="1" s="1"/>
  <c r="O1284" i="1" s="1"/>
  <c r="O1285" i="1" s="1"/>
  <c r="O1286" i="1" s="1"/>
  <c r="O1287" i="1" s="1"/>
  <c r="O1288" i="1" s="1"/>
  <c r="O1289" i="1" s="1"/>
  <c r="O1290" i="1" s="1"/>
  <c r="O1291" i="1" s="1"/>
  <c r="O1292" i="1" s="1"/>
  <c r="O1293" i="1" s="1"/>
  <c r="O1294" i="1" s="1"/>
  <c r="O1295" i="1" s="1"/>
  <c r="O1296" i="1" s="1"/>
  <c r="O1297" i="1" s="1"/>
  <c r="O1298" i="1" s="1"/>
  <c r="O1299" i="1" s="1"/>
  <c r="O1300" i="1" s="1"/>
  <c r="O1301" i="1" s="1"/>
  <c r="O1302" i="1" s="1"/>
  <c r="O1303" i="1" s="1"/>
  <c r="O1304" i="1" s="1"/>
  <c r="O1305" i="1" s="1"/>
  <c r="O1306" i="1" s="1"/>
  <c r="O1307" i="1" s="1"/>
  <c r="O1308" i="1" s="1"/>
  <c r="O1309" i="1" s="1"/>
  <c r="O1310" i="1" s="1"/>
  <c r="O1311" i="1" s="1"/>
  <c r="O1312" i="1" s="1"/>
  <c r="O1313" i="1" s="1"/>
  <c r="O1314" i="1" s="1"/>
  <c r="O1315" i="1" s="1"/>
  <c r="O1316" i="1" s="1"/>
  <c r="O1317" i="1" s="1"/>
  <c r="O1318" i="1" s="1"/>
  <c r="O1319" i="1" s="1"/>
  <c r="O1320" i="1" s="1"/>
  <c r="O1321" i="1" s="1"/>
  <c r="O1322" i="1" s="1"/>
  <c r="O1323" i="1" s="1"/>
  <c r="O1324" i="1" s="1"/>
  <c r="O1325" i="1" s="1"/>
  <c r="O1326" i="1" s="1"/>
  <c r="O1327" i="1" s="1"/>
  <c r="O1328" i="1" s="1"/>
  <c r="O1329" i="1" s="1"/>
  <c r="O1330" i="1" s="1"/>
  <c r="O1331" i="1" s="1"/>
  <c r="O1332" i="1" s="1"/>
  <c r="O1333" i="1" s="1"/>
  <c r="O1334" i="1" s="1"/>
  <c r="O1335" i="1" s="1"/>
  <c r="O1336" i="1" s="1"/>
  <c r="O1337" i="1" s="1"/>
  <c r="O1338" i="1" s="1"/>
  <c r="O1339" i="1" s="1"/>
  <c r="O1340" i="1" s="1"/>
  <c r="O1341" i="1" s="1"/>
  <c r="O1342" i="1" s="1"/>
  <c r="O1343" i="1" s="1"/>
  <c r="O1344" i="1" s="1"/>
  <c r="O1345" i="1" s="1"/>
  <c r="O1346" i="1" s="1"/>
  <c r="O1347" i="1" s="1"/>
  <c r="O1348" i="1" s="1"/>
  <c r="O1349" i="1" s="1"/>
  <c r="O1350" i="1" s="1"/>
  <c r="O1351" i="1" s="1"/>
  <c r="O1352" i="1" s="1"/>
  <c r="O1353" i="1" s="1"/>
  <c r="O1354" i="1" s="1"/>
  <c r="O1355" i="1" s="1"/>
  <c r="O1356" i="1" s="1"/>
  <c r="O1357" i="1" s="1"/>
  <c r="O1358" i="1" s="1"/>
  <c r="O1359" i="1" s="1"/>
  <c r="O1360" i="1" s="1"/>
  <c r="O1361" i="1" s="1"/>
  <c r="O1362" i="1" s="1"/>
  <c r="O1363" i="1" s="1"/>
  <c r="O1364" i="1" s="1"/>
  <c r="O1365" i="1" s="1"/>
  <c r="O1366" i="1" s="1"/>
  <c r="O1367" i="1" s="1"/>
  <c r="O1368" i="1" s="1"/>
  <c r="O1369" i="1" s="1"/>
  <c r="O1370" i="1" s="1"/>
  <c r="O1371" i="1" s="1"/>
  <c r="O1372" i="1" s="1"/>
  <c r="O1373" i="1" s="1"/>
  <c r="O1374" i="1" s="1"/>
  <c r="O1375" i="1" s="1"/>
  <c r="O1376" i="1" s="1"/>
  <c r="O1377" i="1" s="1"/>
  <c r="O1378" i="1" s="1"/>
  <c r="O1379" i="1" s="1"/>
  <c r="O1380" i="1" s="1"/>
  <c r="O1381" i="1" s="1"/>
  <c r="O1382" i="1" s="1"/>
  <c r="O1383" i="1" s="1"/>
  <c r="O1384" i="1" s="1"/>
  <c r="O1385" i="1" s="1"/>
  <c r="O1386" i="1" s="1"/>
  <c r="O1387" i="1" s="1"/>
  <c r="O1388" i="1" s="1"/>
  <c r="O1389" i="1" s="1"/>
  <c r="O1390" i="1" s="1"/>
  <c r="O1391" i="1" s="1"/>
  <c r="O1392" i="1" s="1"/>
  <c r="O1393" i="1" s="1"/>
  <c r="O1394" i="1" s="1"/>
  <c r="O1395" i="1" s="1"/>
  <c r="O1396" i="1" s="1"/>
  <c r="O1397" i="1" s="1"/>
  <c r="O1398" i="1" s="1"/>
  <c r="O1399" i="1" s="1"/>
  <c r="O1400" i="1" s="1"/>
  <c r="O1401" i="1" s="1"/>
  <c r="O1402" i="1" s="1"/>
  <c r="O1403" i="1" s="1"/>
  <c r="O1404" i="1" s="1"/>
  <c r="O1405" i="1" s="1"/>
  <c r="O1406" i="1" s="1"/>
  <c r="O1407" i="1" s="1"/>
  <c r="O1408" i="1" s="1"/>
  <c r="O1409" i="1" s="1"/>
  <c r="O1410" i="1" s="1"/>
  <c r="O1411" i="1" s="1"/>
  <c r="O1412" i="1" s="1"/>
  <c r="O1413" i="1" s="1"/>
  <c r="O1414" i="1" s="1"/>
  <c r="O1415" i="1" s="1"/>
  <c r="O1416" i="1" s="1"/>
  <c r="O1417" i="1" s="1"/>
  <c r="O1418" i="1" s="1"/>
  <c r="O1419" i="1" s="1"/>
  <c r="O1420" i="1" s="1"/>
  <c r="O1421" i="1" s="1"/>
  <c r="O1422" i="1" s="1"/>
  <c r="O1423" i="1" s="1"/>
  <c r="O1424" i="1" s="1"/>
  <c r="O1425" i="1" s="1"/>
  <c r="O1426" i="1" s="1"/>
  <c r="O1427" i="1" s="1"/>
  <c r="O1428" i="1" s="1"/>
  <c r="O1429" i="1" s="1"/>
  <c r="O1430" i="1" s="1"/>
  <c r="O1431" i="1" s="1"/>
  <c r="O1432" i="1" s="1"/>
  <c r="O1433" i="1" s="1"/>
  <c r="O1434" i="1" s="1"/>
  <c r="O1435" i="1" s="1"/>
  <c r="O1436" i="1" s="1"/>
  <c r="O1437" i="1" s="1"/>
  <c r="O1438" i="1" s="1"/>
  <c r="O1439" i="1" s="1"/>
  <c r="O1440" i="1" s="1"/>
  <c r="O1441" i="1" s="1"/>
  <c r="O1442" i="1" s="1"/>
  <c r="O1443" i="1" s="1"/>
  <c r="O1444" i="1" s="1"/>
  <c r="O1445" i="1" s="1"/>
  <c r="O1446" i="1" s="1"/>
  <c r="O1447" i="1" s="1"/>
  <c r="O1448" i="1" s="1"/>
  <c r="O1449" i="1" s="1"/>
  <c r="O1450" i="1" s="1"/>
  <c r="O1451" i="1" s="1"/>
  <c r="O1452" i="1" s="1"/>
  <c r="O1453" i="1" s="1"/>
  <c r="O1454" i="1" s="1"/>
  <c r="O1455" i="1" s="1"/>
  <c r="O1456" i="1" s="1"/>
  <c r="O1457" i="1" s="1"/>
  <c r="O1458" i="1" s="1"/>
  <c r="O1459" i="1" s="1"/>
  <c r="O1460" i="1" s="1"/>
  <c r="O1461" i="1" s="1"/>
  <c r="O1462" i="1" s="1"/>
  <c r="O1463" i="1" s="1"/>
  <c r="O1464" i="1" s="1"/>
  <c r="O1465" i="1" s="1"/>
  <c r="O1466" i="1" s="1"/>
  <c r="O1467" i="1" s="1"/>
  <c r="O1468" i="1" s="1"/>
  <c r="O1469" i="1" s="1"/>
  <c r="O1470" i="1" s="1"/>
  <c r="O1471" i="1" s="1"/>
  <c r="O1472" i="1" s="1"/>
  <c r="O1473" i="1" s="1"/>
  <c r="O1474" i="1" s="1"/>
  <c r="O1475" i="1" s="1"/>
  <c r="O1476" i="1" s="1"/>
  <c r="O1477" i="1" s="1"/>
  <c r="O1478" i="1" s="1"/>
  <c r="O1479" i="1" s="1"/>
  <c r="O1480" i="1" s="1"/>
  <c r="O1481" i="1" s="1"/>
  <c r="O1482" i="1" s="1"/>
  <c r="O1483" i="1" s="1"/>
  <c r="O1484" i="1" s="1"/>
  <c r="O1485" i="1" s="1"/>
  <c r="O1486" i="1" s="1"/>
  <c r="O1487" i="1" s="1"/>
  <c r="O1488" i="1" s="1"/>
  <c r="O1489" i="1" s="1"/>
  <c r="O1490" i="1" s="1"/>
  <c r="O1491" i="1" s="1"/>
  <c r="O1492" i="1" s="1"/>
  <c r="O1493" i="1" s="1"/>
  <c r="O1494" i="1" s="1"/>
  <c r="O1495" i="1" s="1"/>
  <c r="O1496" i="1" s="1"/>
  <c r="O1497" i="1" s="1"/>
  <c r="O1498" i="1" s="1"/>
  <c r="O1499" i="1" s="1"/>
  <c r="O1500" i="1" s="1"/>
  <c r="O1501" i="1" s="1"/>
  <c r="O1502" i="1" s="1"/>
  <c r="O1503" i="1" s="1"/>
  <c r="O1504" i="1" s="1"/>
  <c r="O1505" i="1" s="1"/>
  <c r="O1506" i="1" s="1"/>
  <c r="O1507" i="1" s="1"/>
  <c r="O1508" i="1" s="1"/>
  <c r="O1509" i="1" s="1"/>
  <c r="O1510" i="1" s="1"/>
  <c r="O1511" i="1" l="1"/>
  <c r="O1512" i="1" s="1"/>
  <c r="O1513" i="1" s="1"/>
  <c r="O1514" i="1" s="1"/>
  <c r="O1515" i="1" s="1"/>
  <c r="O1516" i="1" s="1"/>
  <c r="O1517" i="1" s="1"/>
  <c r="O1518" i="1" s="1"/>
  <c r="O1519" i="1" s="1"/>
  <c r="O1520" i="1" s="1"/>
  <c r="O1521" i="1" s="1"/>
  <c r="O1522" i="1" s="1"/>
  <c r="O1523" i="1" s="1"/>
  <c r="O1524" i="1" s="1"/>
  <c r="O1525" i="1" s="1"/>
  <c r="O1526" i="1" s="1"/>
  <c r="O1527" i="1" s="1"/>
  <c r="O1528" i="1" s="1"/>
  <c r="O1529" i="1" s="1"/>
  <c r="O1530" i="1" s="1"/>
  <c r="O1531" i="1" s="1"/>
  <c r="O1532" i="1" s="1"/>
  <c r="O1533" i="1" s="1"/>
  <c r="O1534" i="1" s="1"/>
  <c r="O1535" i="1" s="1"/>
  <c r="O1536" i="1" s="1"/>
  <c r="O1537" i="1" s="1"/>
  <c r="O1538" i="1" s="1"/>
  <c r="O1539" i="1" s="1"/>
  <c r="O1540" i="1" s="1"/>
  <c r="O1541" i="1" s="1"/>
  <c r="O1542" i="1" s="1"/>
  <c r="O1543" i="1" s="1"/>
  <c r="O1544" i="1" s="1"/>
  <c r="O1545" i="1" s="1"/>
  <c r="O1546" i="1" s="1"/>
  <c r="O1547" i="1" s="1"/>
  <c r="O1548" i="1" s="1"/>
  <c r="O1549" i="1" s="1"/>
  <c r="O1550" i="1" s="1"/>
  <c r="O1551" i="1" s="1"/>
  <c r="O1552" i="1" s="1"/>
  <c r="O1553" i="1" s="1"/>
  <c r="O1554" i="1" s="1"/>
  <c r="O1555" i="1" s="1"/>
  <c r="O1556" i="1" s="1"/>
  <c r="O1557" i="1" s="1"/>
  <c r="O1558" i="1" s="1"/>
  <c r="O1559" i="1" s="1"/>
  <c r="O1560" i="1" s="1"/>
  <c r="O1561" i="1" s="1"/>
  <c r="O1562" i="1" s="1"/>
  <c r="O1563" i="1" s="1"/>
  <c r="O1564" i="1" s="1"/>
  <c r="O1565" i="1" s="1"/>
  <c r="O1566" i="1" s="1"/>
  <c r="O1567" i="1" s="1"/>
  <c r="O1568" i="1" s="1"/>
  <c r="O1569" i="1" s="1"/>
  <c r="O1570" i="1" s="1"/>
  <c r="O1571" i="1" s="1"/>
  <c r="O1572" i="1" s="1"/>
  <c r="O1573" i="1" s="1"/>
  <c r="O1574" i="1" s="1"/>
  <c r="O1575" i="1" s="1"/>
  <c r="O1576" i="1" s="1"/>
  <c r="O1577" i="1" s="1"/>
  <c r="O1578" i="1" s="1"/>
  <c r="O1579" i="1" s="1"/>
  <c r="O1580" i="1" s="1"/>
  <c r="O1581" i="1" s="1"/>
  <c r="O1582" i="1" s="1"/>
  <c r="O1583" i="1" s="1"/>
  <c r="O1584" i="1" s="1"/>
  <c r="O1585" i="1" s="1"/>
  <c r="O1586" i="1" s="1"/>
  <c r="O1587" i="1" s="1"/>
  <c r="O1588" i="1" s="1"/>
  <c r="O1589" i="1" s="1"/>
  <c r="O1590" i="1" s="1"/>
  <c r="O1591" i="1" s="1"/>
  <c r="O1592" i="1" s="1"/>
  <c r="O1593" i="1" s="1"/>
  <c r="O1594" i="1" s="1"/>
  <c r="O1595" i="1" s="1"/>
  <c r="O1596" i="1" s="1"/>
  <c r="O1597" i="1" s="1"/>
  <c r="O1598" i="1" s="1"/>
  <c r="O1599" i="1" s="1"/>
  <c r="O1600" i="1" s="1"/>
  <c r="O1601" i="1" s="1"/>
  <c r="O1602" i="1" s="1"/>
  <c r="O1603" i="1" s="1"/>
  <c r="O1604" i="1" s="1"/>
  <c r="O1605" i="1" s="1"/>
  <c r="O1606" i="1" s="1"/>
  <c r="O1607" i="1" s="1"/>
  <c r="O1608" i="1" s="1"/>
  <c r="O1609" i="1" s="1"/>
  <c r="O1610" i="1" s="1"/>
  <c r="O1611" i="1" s="1"/>
  <c r="O1612" i="1" s="1"/>
  <c r="O1613" i="1" s="1"/>
  <c r="O1614" i="1" s="1"/>
  <c r="O1615" i="1" s="1"/>
  <c r="O1616" i="1" s="1"/>
  <c r="O1617" i="1" s="1"/>
  <c r="O1618" i="1" s="1"/>
  <c r="O1619" i="1" s="1"/>
  <c r="O1620" i="1" s="1"/>
  <c r="O1621" i="1" s="1"/>
  <c r="O1622" i="1" s="1"/>
  <c r="O1623" i="1" s="1"/>
  <c r="O1624" i="1" s="1"/>
  <c r="O1625" i="1" s="1"/>
  <c r="O1626" i="1" s="1"/>
  <c r="O1627" i="1" s="1"/>
  <c r="O1628" i="1" s="1"/>
  <c r="O1629" i="1" s="1"/>
  <c r="O1630" i="1" s="1"/>
  <c r="O1631" i="1" s="1"/>
  <c r="O1632" i="1" s="1"/>
  <c r="O1633" i="1" s="1"/>
  <c r="O1634" i="1" s="1"/>
  <c r="O1635" i="1" s="1"/>
  <c r="O1636" i="1" s="1"/>
  <c r="O1637" i="1" s="1"/>
  <c r="O1638" i="1" s="1"/>
  <c r="O1639" i="1" s="1"/>
  <c r="O1640" i="1" s="1"/>
  <c r="O1641" i="1" s="1"/>
  <c r="O1642" i="1" s="1"/>
  <c r="O1643" i="1" s="1"/>
  <c r="O1644" i="1" s="1"/>
  <c r="O1645" i="1" s="1"/>
  <c r="O1646" i="1" s="1"/>
  <c r="O1647" i="1" s="1"/>
  <c r="O1648" i="1" s="1"/>
  <c r="O1649" i="1" s="1"/>
  <c r="O1650" i="1" s="1"/>
  <c r="O1651" i="1" s="1"/>
  <c r="O1652" i="1" s="1"/>
  <c r="O1653" i="1" s="1"/>
  <c r="O1654" i="1" s="1"/>
  <c r="O1655" i="1" s="1"/>
  <c r="O1656" i="1" s="1"/>
  <c r="O1657" i="1" s="1"/>
  <c r="O1658" i="1" s="1"/>
  <c r="O1659" i="1" s="1"/>
  <c r="O1660" i="1" s="1"/>
  <c r="O1661" i="1" s="1"/>
  <c r="O1662" i="1" s="1"/>
  <c r="O1663" i="1" s="1"/>
  <c r="O1664" i="1" s="1"/>
  <c r="O1665" i="1" s="1"/>
  <c r="O1666" i="1" s="1"/>
  <c r="O1667" i="1" s="1"/>
  <c r="O1668" i="1" s="1"/>
  <c r="O1669" i="1" s="1"/>
  <c r="O1670" i="1" s="1"/>
  <c r="O1671" i="1" s="1"/>
  <c r="O1672" i="1" s="1"/>
  <c r="O1673" i="1" s="1"/>
  <c r="O1674" i="1" s="1"/>
  <c r="O1675" i="1" s="1"/>
  <c r="O1676" i="1" s="1"/>
  <c r="O1677" i="1" s="1"/>
  <c r="O1678" i="1" s="1"/>
  <c r="O1679" i="1" s="1"/>
  <c r="O1680" i="1" s="1"/>
  <c r="O1681" i="1" s="1"/>
  <c r="O1682" i="1" s="1"/>
  <c r="O1683" i="1" s="1"/>
  <c r="O1684" i="1" s="1"/>
  <c r="O1685" i="1" s="1"/>
  <c r="O1686" i="1" s="1"/>
  <c r="O1687" i="1" s="1"/>
  <c r="O1688" i="1" s="1"/>
  <c r="O1689" i="1" s="1"/>
  <c r="O1690" i="1" s="1"/>
  <c r="O1691" i="1" s="1"/>
  <c r="O1692" i="1" s="1"/>
  <c r="O1693" i="1" s="1"/>
  <c r="O1694" i="1" s="1"/>
  <c r="O1695" i="1" s="1"/>
  <c r="O1696" i="1" s="1"/>
  <c r="O1697" i="1" s="1"/>
  <c r="O1698" i="1" s="1"/>
  <c r="O1699" i="1" s="1"/>
  <c r="O1700" i="1" s="1"/>
  <c r="O1701" i="1" s="1"/>
  <c r="O1702" i="1" s="1"/>
  <c r="O1703" i="1" s="1"/>
  <c r="O1704" i="1" s="1"/>
  <c r="O1705" i="1" s="1"/>
  <c r="O1706" i="1" s="1"/>
  <c r="O1707" i="1" s="1"/>
  <c r="O1708" i="1" s="1"/>
  <c r="O1709" i="1" s="1"/>
  <c r="O1710" i="1" s="1"/>
  <c r="O1711" i="1" s="1"/>
  <c r="O1712" i="1" s="1"/>
  <c r="O1713" i="1" s="1"/>
  <c r="O1714" i="1" s="1"/>
  <c r="O1715" i="1" s="1"/>
  <c r="O1716" i="1" s="1"/>
  <c r="O1717" i="1" s="1"/>
  <c r="O1718" i="1" s="1"/>
  <c r="O1719" i="1" s="1"/>
  <c r="O1720" i="1" s="1"/>
  <c r="O1721" i="1" s="1"/>
  <c r="O1722" i="1" s="1"/>
  <c r="O1723" i="1" s="1"/>
  <c r="O1724" i="1" s="1"/>
  <c r="O1725" i="1" s="1"/>
  <c r="O1726" i="1" s="1"/>
  <c r="O1727" i="1" s="1"/>
  <c r="O1728" i="1" s="1"/>
  <c r="O1729" i="1" s="1"/>
  <c r="O1730" i="1" s="1"/>
  <c r="O1731" i="1" s="1"/>
  <c r="O1732" i="1" s="1"/>
  <c r="O1733" i="1" s="1"/>
  <c r="O1734" i="1" s="1"/>
  <c r="O1735" i="1" s="1"/>
  <c r="O1736" i="1" s="1"/>
  <c r="O1737" i="1" s="1"/>
  <c r="O1738" i="1" s="1"/>
  <c r="O1739" i="1" s="1"/>
  <c r="O1740" i="1" s="1"/>
  <c r="O1741" i="1" s="1"/>
  <c r="O1742" i="1" s="1"/>
  <c r="O1743" i="1" s="1"/>
  <c r="O1744" i="1" s="1"/>
  <c r="O1745" i="1" s="1"/>
  <c r="O1746" i="1" s="1"/>
  <c r="O1747" i="1" s="1"/>
  <c r="O1748" i="1" s="1"/>
  <c r="O1749" i="1" s="1"/>
  <c r="O1750" i="1" s="1"/>
  <c r="O1751" i="1" s="1"/>
  <c r="O1752" i="1" s="1"/>
  <c r="O1753" i="1" s="1"/>
  <c r="O1754" i="1" s="1"/>
  <c r="O1755" i="1" s="1"/>
  <c r="O1756" i="1" s="1"/>
  <c r="O1757" i="1" s="1"/>
  <c r="O1758" i="1" s="1"/>
  <c r="O1759" i="1" s="1"/>
  <c r="O1760" i="1" s="1"/>
  <c r="O1761" i="1" s="1"/>
  <c r="O1762" i="1" s="1"/>
  <c r="O1763" i="1" s="1"/>
  <c r="O1764" i="1" s="1"/>
  <c r="O1765" i="1" s="1"/>
  <c r="O1766" i="1" s="1"/>
  <c r="O1767" i="1" s="1"/>
  <c r="O1768" i="1" s="1"/>
  <c r="O1769" i="1" s="1"/>
  <c r="O1770" i="1" s="1"/>
  <c r="O1771" i="1" s="1"/>
  <c r="O1772" i="1" s="1"/>
  <c r="O1773" i="1" s="1"/>
  <c r="O1774" i="1" s="1"/>
  <c r="O1775" i="1" s="1"/>
  <c r="O1776" i="1" s="1"/>
  <c r="O1777" i="1" s="1"/>
  <c r="O1778" i="1" s="1"/>
  <c r="O1779" i="1" s="1"/>
  <c r="O1780" i="1" s="1"/>
  <c r="O1781" i="1" s="1"/>
  <c r="O1782" i="1" s="1"/>
  <c r="O1783" i="1" s="1"/>
  <c r="O1784" i="1" s="1"/>
  <c r="O1785" i="1" s="1"/>
  <c r="O1786" i="1" s="1"/>
  <c r="O1787" i="1" s="1"/>
  <c r="O1788" i="1" s="1"/>
  <c r="O1789" i="1" s="1"/>
  <c r="O1790" i="1" s="1"/>
  <c r="O1791" i="1" s="1"/>
  <c r="O1792" i="1" s="1"/>
  <c r="O1793" i="1" s="1"/>
  <c r="O1794" i="1" s="1"/>
  <c r="O1795" i="1" s="1"/>
  <c r="O1796" i="1" s="1"/>
  <c r="O1797" i="1" s="1"/>
  <c r="O1798" i="1" s="1"/>
  <c r="O1799" i="1" s="1"/>
  <c r="O1800" i="1" s="1"/>
  <c r="O1801" i="1" s="1"/>
  <c r="O1802" i="1" s="1"/>
  <c r="O1803" i="1" s="1"/>
  <c r="O1804" i="1" s="1"/>
  <c r="O1805" i="1" s="1"/>
  <c r="O1806" i="1" s="1"/>
  <c r="O1807" i="1" s="1"/>
  <c r="O1808" i="1" s="1"/>
  <c r="O1809" i="1" s="1"/>
  <c r="O1810" i="1" s="1"/>
  <c r="O1811" i="1" s="1"/>
  <c r="O1812" i="1" s="1"/>
  <c r="O1813" i="1" s="1"/>
  <c r="O1814" i="1" s="1"/>
  <c r="O1815" i="1" s="1"/>
  <c r="O1816" i="1" s="1"/>
  <c r="O1817" i="1" s="1"/>
  <c r="O1818" i="1" s="1"/>
  <c r="O1819" i="1" s="1"/>
  <c r="O1820" i="1" s="1"/>
  <c r="O1821" i="1" s="1"/>
  <c r="O1822" i="1" s="1"/>
  <c r="O1823" i="1" s="1"/>
  <c r="O1824" i="1" s="1"/>
  <c r="O1825" i="1" s="1"/>
  <c r="O1826" i="1" s="1"/>
  <c r="O1827" i="1" s="1"/>
  <c r="O1828" i="1" s="1"/>
  <c r="O1829" i="1" s="1"/>
  <c r="O1830" i="1" s="1"/>
  <c r="O1831" i="1" s="1"/>
  <c r="O1832" i="1" s="1"/>
  <c r="O1833" i="1" s="1"/>
  <c r="O1834" i="1" s="1"/>
  <c r="O1835" i="1" s="1"/>
  <c r="O1836" i="1" s="1"/>
  <c r="O1837" i="1" s="1"/>
  <c r="O1838" i="1" s="1"/>
  <c r="O1839" i="1" s="1"/>
  <c r="O1840" i="1" s="1"/>
  <c r="O1841" i="1" s="1"/>
  <c r="O1842" i="1" s="1"/>
  <c r="O1843" i="1" s="1"/>
  <c r="O1844" i="1" s="1"/>
  <c r="O1845" i="1" s="1"/>
  <c r="O1846" i="1" s="1"/>
  <c r="O1847" i="1" s="1"/>
  <c r="O1848" i="1" s="1"/>
  <c r="O1849" i="1" s="1"/>
  <c r="O1850" i="1" s="1"/>
  <c r="O1851" i="1" s="1"/>
  <c r="O1852" i="1" s="1"/>
  <c r="O1853" i="1" s="1"/>
  <c r="O1854" i="1" s="1"/>
  <c r="O1855" i="1" s="1"/>
  <c r="O1856" i="1" s="1"/>
  <c r="O1857" i="1" s="1"/>
  <c r="O1858" i="1" s="1"/>
  <c r="O1859" i="1" s="1"/>
  <c r="O1860" i="1" s="1"/>
  <c r="O1861" i="1" s="1"/>
  <c r="O1862" i="1" s="1"/>
  <c r="O1863" i="1" s="1"/>
  <c r="O1864" i="1" s="1"/>
  <c r="O1865" i="1" s="1"/>
  <c r="O1866" i="1" s="1"/>
  <c r="O1867" i="1" s="1"/>
  <c r="O1868" i="1" s="1"/>
  <c r="O1869" i="1" s="1"/>
  <c r="O1870" i="1" s="1"/>
  <c r="O1871" i="1" s="1"/>
  <c r="O1872" i="1" s="1"/>
  <c r="O1873" i="1" s="1"/>
  <c r="O1874" i="1" s="1"/>
  <c r="O1875" i="1" s="1"/>
  <c r="O1876" i="1" s="1"/>
  <c r="O1877" i="1" s="1"/>
  <c r="O1878" i="1" s="1"/>
  <c r="O1879" i="1" s="1"/>
  <c r="O1880" i="1" s="1"/>
  <c r="O1881" i="1" s="1"/>
  <c r="O1882" i="1" s="1"/>
  <c r="O1883" i="1" s="1"/>
  <c r="O1884" i="1" s="1"/>
  <c r="O1885" i="1" s="1"/>
  <c r="O1886" i="1" s="1"/>
  <c r="O1887" i="1" s="1"/>
  <c r="O1888" i="1" s="1"/>
  <c r="O1889" i="1" s="1"/>
  <c r="O1890" i="1" s="1"/>
  <c r="O1891" i="1" s="1"/>
  <c r="O1892" i="1" s="1"/>
  <c r="O1893" i="1" s="1"/>
  <c r="O1894" i="1" s="1"/>
  <c r="O1895" i="1" s="1"/>
  <c r="O1896" i="1" s="1"/>
  <c r="O1897" i="1" s="1"/>
  <c r="O1898" i="1" s="1"/>
  <c r="O1899" i="1" s="1"/>
  <c r="O1900" i="1" s="1"/>
  <c r="O1901" i="1" s="1"/>
  <c r="O1902" i="1" s="1"/>
  <c r="O1903" i="1" s="1"/>
  <c r="O1904" i="1" s="1"/>
  <c r="O1905" i="1" s="1"/>
  <c r="O1906" i="1" s="1"/>
  <c r="O1907" i="1" s="1"/>
  <c r="O1908" i="1" s="1"/>
  <c r="O1909" i="1" s="1"/>
  <c r="O1910" i="1" s="1"/>
  <c r="O1911" i="1" s="1"/>
  <c r="O1912" i="1" s="1"/>
  <c r="O1913" i="1" s="1"/>
  <c r="O1914" i="1" s="1"/>
  <c r="O1915" i="1" s="1"/>
  <c r="O1916" i="1" s="1"/>
  <c r="O1917" i="1" s="1"/>
  <c r="O1918" i="1" s="1"/>
  <c r="O1919" i="1" s="1"/>
  <c r="O1920" i="1" s="1"/>
  <c r="O1921" i="1" s="1"/>
  <c r="O1922" i="1" s="1"/>
  <c r="O1923" i="1" s="1"/>
  <c r="O1924" i="1" s="1"/>
  <c r="O1925" i="1" s="1"/>
  <c r="O1926" i="1" s="1"/>
  <c r="O1927" i="1" s="1"/>
  <c r="O1928" i="1" s="1"/>
  <c r="O1929" i="1" s="1"/>
  <c r="O1930" i="1" s="1"/>
  <c r="O1931" i="1" s="1"/>
  <c r="O1932" i="1" s="1"/>
  <c r="O1933" i="1" s="1"/>
  <c r="O1934" i="1" s="1"/>
  <c r="O1935" i="1" s="1"/>
  <c r="O1936" i="1" s="1"/>
  <c r="O1937" i="1" s="1"/>
  <c r="O1938" i="1" s="1"/>
  <c r="O1939" i="1" s="1"/>
  <c r="O1940" i="1" s="1"/>
  <c r="O1941" i="1" s="1"/>
  <c r="O1942" i="1" s="1"/>
  <c r="O1943" i="1" s="1"/>
  <c r="O1944" i="1" s="1"/>
  <c r="O1945" i="1" s="1"/>
  <c r="O1946" i="1" s="1"/>
  <c r="O1947" i="1" s="1"/>
  <c r="O1948" i="1" s="1"/>
  <c r="O1949" i="1" s="1"/>
  <c r="O1950" i="1" s="1"/>
  <c r="O1951" i="1" s="1"/>
  <c r="O1952" i="1" s="1"/>
  <c r="O1953" i="1" s="1"/>
  <c r="O1954" i="1" s="1"/>
  <c r="O1955" i="1" s="1"/>
  <c r="O1956" i="1" s="1"/>
  <c r="O1957" i="1" s="1"/>
  <c r="O1958" i="1" s="1"/>
  <c r="O1959" i="1" s="1"/>
  <c r="F49" i="1" l="1"/>
  <c r="F52" i="1"/>
</calcChain>
</file>

<file path=xl/sharedStrings.xml><?xml version="1.0" encoding="utf-8"?>
<sst xmlns="http://schemas.openxmlformats.org/spreadsheetml/2006/main" count="120" uniqueCount="88">
  <si>
    <t>I</t>
  </si>
  <si>
    <t>Model:</t>
  </si>
  <si>
    <t>Where:</t>
  </si>
  <si>
    <t>Parameter</t>
  </si>
  <si>
    <t>Value</t>
  </si>
  <si>
    <t>Upper</t>
  </si>
  <si>
    <t>Lower</t>
  </si>
  <si>
    <t>3 - Insert the respective net photosynthesis rate data in the "B" column, from B20 cell up to B34 cell.</t>
  </si>
  <si>
    <t>2 - Insert the photosynthetic photon flux density data in the "A" column, from the A20 cell up to A34 cell.</t>
  </si>
  <si>
    <t>Light saturation point</t>
  </si>
  <si>
    <t>Note: all the numbers in black colour must be written by the users previously, and all the numbers in red colour come from the solution after running the program.</t>
  </si>
  <si>
    <t>the same values previously inserted in the B column, betwenn B20 and B34 cells. However, in this case, it is necessary that the users insert these values correctly,</t>
  </si>
  <si>
    <r>
      <rPr>
        <sz val="10"/>
        <rFont val="Symbol"/>
        <family val="1"/>
        <charset val="2"/>
      </rPr>
      <t>D</t>
    </r>
    <r>
      <rPr>
        <sz val="10"/>
        <rFont val="Arial"/>
        <family val="2"/>
      </rPr>
      <t>(CO</t>
    </r>
    <r>
      <rPr>
        <vertAlign val="subscript"/>
        <sz val="10"/>
        <rFont val="Arial"/>
        <family val="2"/>
      </rPr>
      <t>2</t>
    </r>
    <r>
      <rPr>
        <sz val="10"/>
        <rFont val="Arial"/>
        <family val="2"/>
      </rPr>
      <t>) noise =</t>
    </r>
  </si>
  <si>
    <t>Flux =</t>
  </si>
  <si>
    <t>Leaf area =</t>
  </si>
  <si>
    <t>Differences</t>
  </si>
  <si>
    <t>Sequence of</t>
  </si>
  <si>
    <t xml:space="preserve">4 - All the limits employed to the regression parameters are presented in the A37 to C42 square, but they can be changed depending on the users' desire. </t>
  </si>
  <si>
    <r>
      <t>Light-saturated net CO</t>
    </r>
    <r>
      <rPr>
        <b/>
        <vertAlign val="subscript"/>
        <sz val="10"/>
        <rFont val="Arial"/>
        <family val="2"/>
      </rPr>
      <t>2</t>
    </r>
    <r>
      <rPr>
        <b/>
        <sz val="10"/>
        <rFont val="Arial"/>
        <family val="2"/>
      </rPr>
      <t xml:space="preserve"> uptake</t>
    </r>
  </si>
  <si>
    <t>Dark respiration</t>
  </si>
  <si>
    <t>The figures in the right were drawn using data from this table</t>
  </si>
  <si>
    <t>Parameters and variables estimates</t>
  </si>
  <si>
    <t>Chosen limits for regression parameters</t>
  </si>
  <si>
    <t>Intrumental Information</t>
  </si>
  <si>
    <r>
      <t xml:space="preserve">Reference: </t>
    </r>
    <r>
      <rPr>
        <sz val="10"/>
        <rFont val="Arial"/>
        <family val="2"/>
      </rPr>
      <t xml:space="preserve">Ye, Z.-P.: A new model for relationship between irradiance and the rate of photosynthesis in </t>
    </r>
    <r>
      <rPr>
        <i/>
        <sz val="10"/>
        <rFont val="Arial"/>
        <family val="2"/>
      </rPr>
      <t>Oryza sativa</t>
    </r>
    <r>
      <rPr>
        <sz val="10"/>
        <rFont val="Arial"/>
        <family val="2"/>
      </rPr>
      <t xml:space="preserve">. - Photosynthetica </t>
    </r>
    <r>
      <rPr>
        <b/>
        <sz val="10"/>
        <rFont val="Arial"/>
        <family val="2"/>
      </rPr>
      <t>45</t>
    </r>
    <r>
      <rPr>
        <sz val="10"/>
        <rFont val="Arial"/>
        <family val="2"/>
      </rPr>
      <t>: 637-640, 2007.</t>
    </r>
  </si>
  <si>
    <r>
      <rPr>
        <i/>
        <sz val="10"/>
        <rFont val="Arial"/>
        <family val="2"/>
      </rPr>
      <t>P</t>
    </r>
    <r>
      <rPr>
        <vertAlign val="subscript"/>
        <sz val="10"/>
        <rFont val="Arial"/>
        <family val="2"/>
      </rPr>
      <t>N</t>
    </r>
    <r>
      <rPr>
        <sz val="10"/>
        <rFont val="Arial"/>
        <family val="2"/>
      </rPr>
      <t xml:space="preserve"> = net photosynthesis rate [</t>
    </r>
    <r>
      <rPr>
        <sz val="10"/>
        <rFont val="Symbol"/>
        <family val="1"/>
        <charset val="2"/>
      </rPr>
      <t>m</t>
    </r>
    <r>
      <rPr>
        <sz val="10"/>
        <rFont val="Arial"/>
        <family val="2"/>
      </rPr>
      <t>mol (CO</t>
    </r>
    <r>
      <rPr>
        <vertAlign val="subscript"/>
        <sz val="10"/>
        <rFont val="Arial"/>
        <family val="2"/>
      </rPr>
      <t>2</t>
    </r>
    <r>
      <rPr>
        <sz val="10"/>
        <rFont val="Arial"/>
        <family val="2"/>
      </rPr>
      <t>) m</t>
    </r>
    <r>
      <rPr>
        <vertAlign val="superscript"/>
        <sz val="10"/>
        <rFont val="Arial"/>
        <family val="2"/>
      </rPr>
      <t>-2</t>
    </r>
    <r>
      <rPr>
        <sz val="10"/>
        <rFont val="Arial"/>
        <family val="2"/>
      </rPr>
      <t xml:space="preserve"> s</t>
    </r>
    <r>
      <rPr>
        <vertAlign val="superscript"/>
        <sz val="10"/>
        <rFont val="Arial"/>
        <family val="2"/>
      </rPr>
      <t>-1</t>
    </r>
    <r>
      <rPr>
        <sz val="10"/>
        <rFont val="Arial"/>
        <family val="2"/>
      </rPr>
      <t>]</t>
    </r>
  </si>
  <si>
    <r>
      <rPr>
        <i/>
        <sz val="10"/>
        <rFont val="Arial"/>
        <family val="2"/>
      </rPr>
      <t>I</t>
    </r>
    <r>
      <rPr>
        <sz val="10"/>
        <rFont val="Arial"/>
        <family val="2"/>
      </rPr>
      <t xml:space="preserve"> = photosynthetic photon flux density [</t>
    </r>
    <r>
      <rPr>
        <sz val="10"/>
        <rFont val="Symbol"/>
        <family val="1"/>
        <charset val="2"/>
      </rPr>
      <t>m</t>
    </r>
    <r>
      <rPr>
        <sz val="10"/>
        <rFont val="Arial"/>
        <family val="2"/>
      </rPr>
      <t>mol (photons</t>
    </r>
    <r>
      <rPr>
        <sz val="10"/>
        <rFont val="Arial"/>
        <family val="2"/>
      </rPr>
      <t>) m</t>
    </r>
    <r>
      <rPr>
        <vertAlign val="superscript"/>
        <sz val="10"/>
        <rFont val="Arial"/>
        <family val="2"/>
      </rPr>
      <t>-2</t>
    </r>
    <r>
      <rPr>
        <sz val="10"/>
        <rFont val="Arial"/>
        <family val="2"/>
      </rPr>
      <t xml:space="preserve"> s</t>
    </r>
    <r>
      <rPr>
        <vertAlign val="superscript"/>
        <sz val="10"/>
        <rFont val="Arial"/>
        <family val="2"/>
      </rPr>
      <t>-1</t>
    </r>
    <r>
      <rPr>
        <sz val="10"/>
        <rFont val="Arial"/>
        <family val="2"/>
      </rPr>
      <t>]</t>
    </r>
  </si>
  <si>
    <r>
      <rPr>
        <i/>
        <sz val="10"/>
        <rFont val="Arial"/>
        <family val="2"/>
      </rPr>
      <t>I</t>
    </r>
    <r>
      <rPr>
        <vertAlign val="subscript"/>
        <sz val="10"/>
        <rFont val="Arial"/>
        <family val="2"/>
      </rPr>
      <t>comp</t>
    </r>
    <r>
      <rPr>
        <sz val="10"/>
        <rFont val="Arial"/>
        <family val="2"/>
      </rPr>
      <t xml:space="preserve"> = light compensation point [</t>
    </r>
    <r>
      <rPr>
        <sz val="10"/>
        <rFont val="Symbol"/>
        <family val="1"/>
        <charset val="2"/>
      </rPr>
      <t>m</t>
    </r>
    <r>
      <rPr>
        <sz val="10"/>
        <rFont val="Arial"/>
        <family val="2"/>
      </rPr>
      <t>mol (photons) m</t>
    </r>
    <r>
      <rPr>
        <vertAlign val="superscript"/>
        <sz val="10"/>
        <rFont val="Arial"/>
        <family val="2"/>
      </rPr>
      <t>2</t>
    </r>
    <r>
      <rPr>
        <sz val="10"/>
        <rFont val="Arial"/>
        <family val="2"/>
      </rPr>
      <t xml:space="preserve"> s</t>
    </r>
    <r>
      <rPr>
        <vertAlign val="superscript"/>
        <sz val="10"/>
        <rFont val="Arial"/>
        <family val="2"/>
      </rPr>
      <t>-1</t>
    </r>
    <r>
      <rPr>
        <sz val="10"/>
        <rFont val="Arial"/>
        <family val="2"/>
      </rPr>
      <t>]</t>
    </r>
  </si>
  <si>
    <r>
      <rPr>
        <b/>
        <i/>
        <sz val="10"/>
        <rFont val="Arial"/>
        <family val="2"/>
      </rPr>
      <t>P</t>
    </r>
    <r>
      <rPr>
        <b/>
        <vertAlign val="subscript"/>
        <sz val="10"/>
        <rFont val="Arial"/>
        <family val="2"/>
      </rPr>
      <t>N</t>
    </r>
  </si>
  <si>
    <r>
      <rPr>
        <b/>
        <i/>
        <sz val="10"/>
        <rFont val="Arial"/>
        <family val="2"/>
      </rPr>
      <t>P</t>
    </r>
    <r>
      <rPr>
        <b/>
        <vertAlign val="subscript"/>
        <sz val="10"/>
        <rFont val="Arial"/>
        <family val="2"/>
      </rPr>
      <t>N</t>
    </r>
    <r>
      <rPr>
        <b/>
        <sz val="10"/>
        <rFont val="Arial"/>
        <family val="2"/>
      </rPr>
      <t xml:space="preserve"> fitted</t>
    </r>
  </si>
  <si>
    <t xml:space="preserve">Squares of </t>
  </si>
  <si>
    <r>
      <rPr>
        <b/>
        <i/>
        <sz val="10"/>
        <rFont val="Arial"/>
        <family val="2"/>
      </rPr>
      <t>R</t>
    </r>
    <r>
      <rPr>
        <b/>
        <vertAlign val="superscript"/>
        <sz val="10"/>
        <rFont val="Arial"/>
        <family val="2"/>
      </rPr>
      <t>2</t>
    </r>
  </si>
  <si>
    <r>
      <t>[</t>
    </r>
    <r>
      <rPr>
        <b/>
        <sz val="10"/>
        <rFont val="Symbol"/>
        <family val="1"/>
        <charset val="2"/>
      </rPr>
      <t>m</t>
    </r>
    <r>
      <rPr>
        <b/>
        <sz val="10"/>
        <rFont val="Arial"/>
        <family val="2"/>
      </rPr>
      <t>mol (photons) m</t>
    </r>
    <r>
      <rPr>
        <b/>
        <vertAlign val="superscript"/>
        <sz val="10"/>
        <rFont val="Arial"/>
        <family val="2"/>
      </rPr>
      <t>-2</t>
    </r>
    <r>
      <rPr>
        <b/>
        <sz val="10"/>
        <rFont val="Arial"/>
        <family val="2"/>
      </rPr>
      <t xml:space="preserve"> s</t>
    </r>
    <r>
      <rPr>
        <b/>
        <vertAlign val="superscript"/>
        <sz val="10"/>
        <rFont val="Arial"/>
        <family val="2"/>
      </rPr>
      <t>-1</t>
    </r>
    <r>
      <rPr>
        <b/>
        <sz val="10"/>
        <rFont val="Arial"/>
        <family val="2"/>
      </rPr>
      <t>]</t>
    </r>
  </si>
  <si>
    <r>
      <t>[</t>
    </r>
    <r>
      <rPr>
        <b/>
        <sz val="10"/>
        <rFont val="Symbol"/>
        <family val="1"/>
        <charset val="2"/>
      </rPr>
      <t>m</t>
    </r>
    <r>
      <rPr>
        <b/>
        <sz val="10"/>
        <rFont val="Arial"/>
        <family val="2"/>
      </rPr>
      <t>mol (CO</t>
    </r>
    <r>
      <rPr>
        <b/>
        <vertAlign val="subscript"/>
        <sz val="10"/>
        <rFont val="Arial"/>
        <family val="2"/>
      </rPr>
      <t>2</t>
    </r>
    <r>
      <rPr>
        <b/>
        <sz val="10"/>
        <rFont val="Arial"/>
        <family val="2"/>
      </rPr>
      <t>) m</t>
    </r>
    <r>
      <rPr>
        <b/>
        <vertAlign val="superscript"/>
        <sz val="10"/>
        <rFont val="Arial"/>
        <family val="2"/>
      </rPr>
      <t>-2</t>
    </r>
    <r>
      <rPr>
        <b/>
        <sz val="10"/>
        <rFont val="Arial"/>
        <family val="2"/>
      </rPr>
      <t xml:space="preserve"> s</t>
    </r>
    <r>
      <rPr>
        <b/>
        <vertAlign val="superscript"/>
        <sz val="10"/>
        <rFont val="Arial"/>
        <family val="2"/>
      </rPr>
      <t>-1</t>
    </r>
    <r>
      <rPr>
        <b/>
        <sz val="10"/>
        <rFont val="Arial"/>
        <family val="2"/>
      </rPr>
      <t>]</t>
    </r>
  </si>
  <si>
    <t>the errors</t>
  </si>
  <si>
    <t>Sum of the squares of the errors</t>
  </si>
  <si>
    <r>
      <rPr>
        <i/>
        <sz val="10"/>
        <rFont val="Arial"/>
        <family val="2"/>
      </rPr>
      <t>I</t>
    </r>
    <r>
      <rPr>
        <vertAlign val="subscript"/>
        <sz val="10"/>
        <rFont val="Arial"/>
        <family val="2"/>
      </rPr>
      <t xml:space="preserve">comp </t>
    </r>
    <r>
      <rPr>
        <sz val="10"/>
        <rFont val="Arial"/>
        <family val="2"/>
      </rPr>
      <t>=</t>
    </r>
  </si>
  <si>
    <r>
      <t>D</t>
    </r>
    <r>
      <rPr>
        <i/>
        <sz val="10"/>
        <rFont val="Arial"/>
        <family val="2"/>
      </rPr>
      <t>P</t>
    </r>
    <r>
      <rPr>
        <vertAlign val="subscript"/>
        <sz val="10"/>
        <rFont val="Arial"/>
        <family val="2"/>
      </rPr>
      <t>N</t>
    </r>
    <r>
      <rPr>
        <sz val="10"/>
        <rFont val="Arial"/>
        <family val="2"/>
      </rPr>
      <t xml:space="preserve"> calculated =</t>
    </r>
  </si>
  <si>
    <t>Unity</t>
  </si>
  <si>
    <r>
      <rPr>
        <sz val="10"/>
        <color rgb="FFFF0000"/>
        <rFont val="Symbol"/>
        <family val="1"/>
        <charset val="2"/>
      </rPr>
      <t>m</t>
    </r>
    <r>
      <rPr>
        <sz val="10"/>
        <color rgb="FFFF0000"/>
        <rFont val="Arial"/>
        <family val="2"/>
      </rPr>
      <t>mol (CO</t>
    </r>
    <r>
      <rPr>
        <vertAlign val="subscript"/>
        <sz val="10"/>
        <color rgb="FFFF0000"/>
        <rFont val="Arial"/>
        <family val="2"/>
      </rPr>
      <t>2</t>
    </r>
    <r>
      <rPr>
        <sz val="10"/>
        <color rgb="FFFF0000"/>
        <rFont val="Arial"/>
        <family val="2"/>
      </rPr>
      <t>) mol</t>
    </r>
    <r>
      <rPr>
        <vertAlign val="superscript"/>
        <sz val="10"/>
        <color rgb="FFFF0000"/>
        <rFont val="Arial"/>
        <family val="2"/>
      </rPr>
      <t>-1</t>
    </r>
    <r>
      <rPr>
        <sz val="10"/>
        <color rgb="FFFF0000"/>
        <rFont val="Arial"/>
        <family val="2"/>
      </rPr>
      <t xml:space="preserve"> (air)</t>
    </r>
  </si>
  <si>
    <r>
      <rPr>
        <sz val="10"/>
        <color rgb="FFFF0000"/>
        <rFont val="Symbol"/>
        <family val="1"/>
        <charset val="2"/>
      </rPr>
      <t>m</t>
    </r>
    <r>
      <rPr>
        <sz val="10"/>
        <color rgb="FFFF0000"/>
        <rFont val="Arial"/>
        <family val="2"/>
      </rPr>
      <t>mol (air) s</t>
    </r>
    <r>
      <rPr>
        <vertAlign val="superscript"/>
        <sz val="10"/>
        <color rgb="FFFF0000"/>
        <rFont val="Arial"/>
        <family val="2"/>
      </rPr>
      <t>-1</t>
    </r>
  </si>
  <si>
    <r>
      <t>cm</t>
    </r>
    <r>
      <rPr>
        <vertAlign val="superscript"/>
        <sz val="10"/>
        <color rgb="FFFF0000"/>
        <rFont val="Arial"/>
        <family val="2"/>
      </rPr>
      <t>2</t>
    </r>
  </si>
  <si>
    <r>
      <rPr>
        <sz val="10"/>
        <color indexed="10"/>
        <rFont val="Symbol"/>
        <family val="1"/>
        <charset val="2"/>
      </rPr>
      <t>m</t>
    </r>
    <r>
      <rPr>
        <sz val="10"/>
        <color indexed="10"/>
        <rFont val="Arial"/>
        <family val="2"/>
      </rPr>
      <t>mol (CO</t>
    </r>
    <r>
      <rPr>
        <vertAlign val="subscript"/>
        <sz val="10"/>
        <color indexed="10"/>
        <rFont val="Arial"/>
        <family val="2"/>
      </rPr>
      <t>2</t>
    </r>
    <r>
      <rPr>
        <sz val="10"/>
        <color indexed="10"/>
        <rFont val="Arial"/>
        <family val="2"/>
      </rPr>
      <t>) m</t>
    </r>
    <r>
      <rPr>
        <vertAlign val="superscript"/>
        <sz val="10"/>
        <color indexed="10"/>
        <rFont val="Arial"/>
        <family val="2"/>
      </rPr>
      <t>-2</t>
    </r>
    <r>
      <rPr>
        <sz val="10"/>
        <color indexed="10"/>
        <rFont val="Arial"/>
        <family val="2"/>
      </rPr>
      <t xml:space="preserve"> s</t>
    </r>
    <r>
      <rPr>
        <vertAlign val="superscript"/>
        <sz val="10"/>
        <color indexed="10"/>
        <rFont val="Arial"/>
        <family val="2"/>
      </rPr>
      <t>-1</t>
    </r>
  </si>
  <si>
    <r>
      <rPr>
        <sz val="10"/>
        <color rgb="FFFF0000"/>
        <rFont val="Symbol"/>
        <family val="1"/>
        <charset val="2"/>
      </rPr>
      <t>m</t>
    </r>
    <r>
      <rPr>
        <sz val="10"/>
        <color rgb="FFFF0000"/>
        <rFont val="Arial"/>
        <family val="2"/>
      </rPr>
      <t>mol (CO</t>
    </r>
    <r>
      <rPr>
        <vertAlign val="subscript"/>
        <sz val="10"/>
        <color rgb="FFFF0000"/>
        <rFont val="Arial"/>
        <family val="2"/>
      </rPr>
      <t>2</t>
    </r>
    <r>
      <rPr>
        <sz val="10"/>
        <color rgb="FFFF0000"/>
        <rFont val="Arial"/>
        <family val="2"/>
      </rPr>
      <t xml:space="preserve">) </t>
    </r>
    <r>
      <rPr>
        <sz val="10"/>
        <color rgb="FFFF0000"/>
        <rFont val="Symbol"/>
        <family val="1"/>
        <charset val="2"/>
      </rPr>
      <t>m</t>
    </r>
    <r>
      <rPr>
        <sz val="10"/>
        <color rgb="FFFF0000"/>
        <rFont val="Arial"/>
        <family val="2"/>
      </rPr>
      <t>mol</t>
    </r>
    <r>
      <rPr>
        <vertAlign val="superscript"/>
        <sz val="10"/>
        <color rgb="FFFF0000"/>
        <rFont val="Arial"/>
        <family val="2"/>
      </rPr>
      <t>-1</t>
    </r>
    <r>
      <rPr>
        <sz val="10"/>
        <color rgb="FFFF0000"/>
        <rFont val="Arial"/>
        <family val="2"/>
      </rPr>
      <t xml:space="preserve"> (photons)</t>
    </r>
  </si>
  <si>
    <r>
      <rPr>
        <sz val="10"/>
        <color indexed="10"/>
        <rFont val="Symbol"/>
        <family val="1"/>
        <charset val="2"/>
      </rPr>
      <t>m</t>
    </r>
    <r>
      <rPr>
        <sz val="10"/>
        <color indexed="10"/>
        <rFont val="Arial"/>
        <family val="2"/>
      </rPr>
      <t>mol (photons</t>
    </r>
    <r>
      <rPr>
        <sz val="10"/>
        <color indexed="10"/>
        <rFont val="Arial"/>
        <family val="2"/>
      </rPr>
      <t>) m</t>
    </r>
    <r>
      <rPr>
        <vertAlign val="superscript"/>
        <sz val="10"/>
        <color indexed="10"/>
        <rFont val="Arial"/>
        <family val="2"/>
      </rPr>
      <t>-2</t>
    </r>
    <r>
      <rPr>
        <sz val="10"/>
        <color indexed="10"/>
        <rFont val="Arial"/>
        <family val="2"/>
      </rPr>
      <t xml:space="preserve"> s</t>
    </r>
    <r>
      <rPr>
        <vertAlign val="superscript"/>
        <sz val="10"/>
        <color indexed="10"/>
        <rFont val="Arial"/>
        <family val="2"/>
      </rPr>
      <t>-1</t>
    </r>
  </si>
  <si>
    <r>
      <rPr>
        <i/>
        <sz val="10"/>
        <rFont val="Arial"/>
        <family val="2"/>
      </rPr>
      <t>I</t>
    </r>
    <r>
      <rPr>
        <vertAlign val="subscript"/>
        <sz val="10"/>
        <rFont val="Arial"/>
        <family val="2"/>
      </rPr>
      <t xml:space="preserve">sat </t>
    </r>
    <r>
      <rPr>
        <sz val="10"/>
        <rFont val="Arial"/>
        <family val="2"/>
      </rPr>
      <t>=</t>
    </r>
  </si>
  <si>
    <r>
      <rPr>
        <i/>
        <sz val="10"/>
        <rFont val="Arial"/>
        <family val="2"/>
      </rPr>
      <t>I</t>
    </r>
    <r>
      <rPr>
        <vertAlign val="subscript"/>
        <sz val="10"/>
        <rFont val="Arial"/>
        <family val="2"/>
      </rPr>
      <t>sat(50</t>
    </r>
    <r>
      <rPr>
        <sz val="10"/>
        <rFont val="Arial"/>
        <family val="2"/>
      </rPr>
      <t>)</t>
    </r>
    <r>
      <rPr>
        <vertAlign val="subscript"/>
        <sz val="10"/>
        <rFont val="Arial"/>
        <family val="2"/>
      </rPr>
      <t xml:space="preserve"> </t>
    </r>
    <r>
      <rPr>
        <sz val="10"/>
        <rFont val="Arial"/>
        <family val="2"/>
      </rPr>
      <t>=</t>
    </r>
  </si>
  <si>
    <r>
      <rPr>
        <i/>
        <sz val="10"/>
        <rFont val="Arial"/>
        <family val="2"/>
      </rPr>
      <t>I</t>
    </r>
    <r>
      <rPr>
        <vertAlign val="subscript"/>
        <sz val="10"/>
        <rFont val="Arial"/>
        <family val="2"/>
      </rPr>
      <t xml:space="preserve">sat(85) </t>
    </r>
    <r>
      <rPr>
        <sz val="10"/>
        <rFont val="Arial"/>
        <family val="2"/>
      </rPr>
      <t>=</t>
    </r>
  </si>
  <si>
    <r>
      <rPr>
        <i/>
        <sz val="10"/>
        <rFont val="Arial"/>
        <family val="2"/>
      </rPr>
      <t>I</t>
    </r>
    <r>
      <rPr>
        <vertAlign val="subscript"/>
        <sz val="10"/>
        <rFont val="Arial"/>
        <family val="2"/>
      </rPr>
      <t>sat(90</t>
    </r>
    <r>
      <rPr>
        <sz val="10"/>
        <rFont val="Arial"/>
        <family val="2"/>
      </rPr>
      <t>)</t>
    </r>
    <r>
      <rPr>
        <vertAlign val="subscript"/>
        <sz val="10"/>
        <rFont val="Arial"/>
        <family val="2"/>
      </rPr>
      <t xml:space="preserve"> </t>
    </r>
    <r>
      <rPr>
        <sz val="10"/>
        <rFont val="Arial"/>
        <family val="2"/>
      </rPr>
      <t>=</t>
    </r>
  </si>
  <si>
    <r>
      <rPr>
        <i/>
        <sz val="10"/>
        <rFont val="Arial"/>
        <family val="2"/>
      </rPr>
      <t>I</t>
    </r>
    <r>
      <rPr>
        <vertAlign val="subscript"/>
        <sz val="10"/>
        <rFont val="Arial"/>
        <family val="2"/>
      </rPr>
      <t xml:space="preserve">sat(95) </t>
    </r>
    <r>
      <rPr>
        <sz val="10"/>
        <rFont val="Arial"/>
        <family val="2"/>
      </rPr>
      <t>=</t>
    </r>
  </si>
  <si>
    <r>
      <rPr>
        <i/>
        <sz val="10"/>
        <rFont val="Arial"/>
        <family val="2"/>
      </rPr>
      <t>I</t>
    </r>
    <r>
      <rPr>
        <vertAlign val="subscript"/>
        <sz val="10"/>
        <rFont val="Arial"/>
        <family val="2"/>
      </rPr>
      <t xml:space="preserve">max </t>
    </r>
    <r>
      <rPr>
        <sz val="10"/>
        <rFont val="Arial"/>
        <family val="2"/>
      </rPr>
      <t>=</t>
    </r>
  </si>
  <si>
    <r>
      <rPr>
        <i/>
        <sz val="10"/>
        <rFont val="Arial"/>
        <family val="2"/>
      </rPr>
      <t>P</t>
    </r>
    <r>
      <rPr>
        <vertAlign val="subscript"/>
        <sz val="10"/>
        <rFont val="Arial"/>
        <family val="2"/>
      </rPr>
      <t>N(</t>
    </r>
    <r>
      <rPr>
        <i/>
        <vertAlign val="subscript"/>
        <sz val="10"/>
        <rFont val="Arial"/>
        <family val="2"/>
      </rPr>
      <t>I</t>
    </r>
    <r>
      <rPr>
        <vertAlign val="subscript"/>
        <sz val="10"/>
        <rFont val="Arial"/>
        <family val="2"/>
      </rPr>
      <t>max)</t>
    </r>
    <r>
      <rPr>
        <sz val="10"/>
        <rFont val="Arial"/>
        <family val="2"/>
      </rPr>
      <t xml:space="preserve"> = </t>
    </r>
  </si>
  <si>
    <r>
      <rPr>
        <i/>
        <sz val="10"/>
        <rFont val="Arial"/>
        <family val="2"/>
      </rPr>
      <t>P</t>
    </r>
    <r>
      <rPr>
        <vertAlign val="subscript"/>
        <sz val="10"/>
        <rFont val="Arial"/>
        <family val="2"/>
      </rPr>
      <t>gmax</t>
    </r>
    <r>
      <rPr>
        <sz val="10"/>
        <rFont val="Arial"/>
        <family val="2"/>
      </rPr>
      <t xml:space="preserve"> = </t>
    </r>
  </si>
  <si>
    <r>
      <rPr>
        <i/>
        <sz val="10"/>
        <rFont val="Arial"/>
        <family val="2"/>
      </rPr>
      <t>R</t>
    </r>
    <r>
      <rPr>
        <vertAlign val="subscript"/>
        <sz val="10"/>
        <rFont val="Arial"/>
        <family val="2"/>
      </rPr>
      <t>D</t>
    </r>
    <r>
      <rPr>
        <sz val="10"/>
        <rFont val="Arial"/>
        <family val="2"/>
      </rPr>
      <t xml:space="preserve"> =</t>
    </r>
  </si>
  <si>
    <r>
      <t>Quantum yield at specific</t>
    </r>
    <r>
      <rPr>
        <b/>
        <i/>
        <sz val="10"/>
        <rFont val="Arial"/>
        <family val="2"/>
      </rPr>
      <t xml:space="preserve"> I</t>
    </r>
  </si>
  <si>
    <r>
      <rPr>
        <b/>
        <i/>
        <sz val="10"/>
        <rFont val="Arial"/>
        <family val="2"/>
      </rPr>
      <t>P</t>
    </r>
    <r>
      <rPr>
        <b/>
        <vertAlign val="subscript"/>
        <sz val="10"/>
        <rFont val="Arial"/>
        <family val="2"/>
      </rPr>
      <t>N</t>
    </r>
    <r>
      <rPr>
        <b/>
        <sz val="10"/>
        <rFont val="Arial"/>
        <family val="2"/>
      </rPr>
      <t xml:space="preserve"> measured</t>
    </r>
  </si>
  <si>
    <r>
      <rPr>
        <b/>
        <i/>
        <sz val="10"/>
        <rFont val="Arial"/>
        <family val="2"/>
      </rPr>
      <t>I</t>
    </r>
    <r>
      <rPr>
        <b/>
        <sz val="10"/>
        <rFont val="Arial"/>
        <family val="2"/>
      </rPr>
      <t xml:space="preserve"> to calculate</t>
    </r>
  </si>
  <si>
    <r>
      <rPr>
        <b/>
        <i/>
        <sz val="10"/>
        <rFont val="Arial"/>
        <family val="2"/>
      </rPr>
      <t>P</t>
    </r>
    <r>
      <rPr>
        <b/>
        <vertAlign val="subscript"/>
        <sz val="10"/>
        <rFont val="Arial"/>
        <family val="2"/>
      </rPr>
      <t>N</t>
    </r>
    <r>
      <rPr>
        <b/>
        <sz val="10"/>
        <rFont val="Arial"/>
        <family val="2"/>
      </rPr>
      <t xml:space="preserve"> to calculate</t>
    </r>
  </si>
  <si>
    <r>
      <t>[</t>
    </r>
    <r>
      <rPr>
        <b/>
        <sz val="10"/>
        <rFont val="Symbol"/>
        <family val="1"/>
        <charset val="2"/>
      </rPr>
      <t>m</t>
    </r>
    <r>
      <rPr>
        <b/>
        <sz val="10"/>
        <rFont val="Arial"/>
        <family val="2"/>
      </rPr>
      <t>mol (CO</t>
    </r>
    <r>
      <rPr>
        <b/>
        <vertAlign val="subscript"/>
        <sz val="10"/>
        <rFont val="Arial"/>
        <family val="2"/>
      </rPr>
      <t>2</t>
    </r>
    <r>
      <rPr>
        <b/>
        <sz val="10"/>
        <rFont val="Arial"/>
        <family val="2"/>
      </rPr>
      <t xml:space="preserve">) </t>
    </r>
    <r>
      <rPr>
        <b/>
        <sz val="10"/>
        <rFont val="Symbol"/>
        <family val="1"/>
        <charset val="2"/>
      </rPr>
      <t>m</t>
    </r>
    <r>
      <rPr>
        <b/>
        <sz val="10"/>
        <rFont val="Arial"/>
        <family val="2"/>
      </rPr>
      <t>mol</t>
    </r>
    <r>
      <rPr>
        <b/>
        <vertAlign val="superscript"/>
        <sz val="10"/>
        <rFont val="Arial"/>
        <family val="2"/>
      </rPr>
      <t>-1</t>
    </r>
    <r>
      <rPr>
        <b/>
        <sz val="10"/>
        <rFont val="Arial"/>
        <family val="2"/>
      </rPr>
      <t>(photons)]</t>
    </r>
  </si>
  <si>
    <r>
      <t xml:space="preserve">in </t>
    </r>
    <r>
      <rPr>
        <b/>
        <i/>
        <sz val="10"/>
        <rFont val="Arial"/>
        <family val="2"/>
      </rPr>
      <t>P</t>
    </r>
    <r>
      <rPr>
        <b/>
        <vertAlign val="subscript"/>
        <sz val="10"/>
        <rFont val="Arial"/>
        <family val="2"/>
      </rPr>
      <t>N</t>
    </r>
    <r>
      <rPr>
        <b/>
        <sz val="10"/>
        <rFont val="Arial"/>
        <family val="2"/>
      </rPr>
      <t xml:space="preserve"> (</t>
    </r>
    <r>
      <rPr>
        <b/>
        <sz val="10"/>
        <rFont val="Symbol"/>
        <family val="1"/>
        <charset val="2"/>
      </rPr>
      <t>D</t>
    </r>
    <r>
      <rPr>
        <b/>
        <i/>
        <sz val="10"/>
        <rFont val="Arial"/>
        <family val="2"/>
      </rPr>
      <t>P</t>
    </r>
    <r>
      <rPr>
        <b/>
        <vertAlign val="subscript"/>
        <sz val="10"/>
        <rFont val="Arial"/>
        <family val="2"/>
      </rPr>
      <t>N</t>
    </r>
    <r>
      <rPr>
        <b/>
        <sz val="10"/>
        <rFont val="Arial"/>
        <family val="2"/>
      </rPr>
      <t>/50)</t>
    </r>
  </si>
  <si>
    <r>
      <rPr>
        <b/>
        <sz val="10"/>
        <rFont val="Symbol"/>
        <family val="1"/>
        <charset val="2"/>
      </rPr>
      <t>D</t>
    </r>
    <r>
      <rPr>
        <b/>
        <i/>
        <sz val="10"/>
        <rFont val="Arial"/>
        <family val="2"/>
      </rPr>
      <t>P</t>
    </r>
    <r>
      <rPr>
        <b/>
        <vertAlign val="subscript"/>
        <sz val="10"/>
        <rFont val="Arial"/>
        <family val="2"/>
      </rPr>
      <t>N</t>
    </r>
    <r>
      <rPr>
        <b/>
        <sz val="10"/>
        <rFont val="Arial"/>
        <family val="2"/>
      </rPr>
      <t>/50 &gt;= noise</t>
    </r>
  </si>
  <si>
    <r>
      <t xml:space="preserve">1 - There is a possibility to insert 15 pair of data, which is enought to obtain a well fitted </t>
    </r>
    <r>
      <rPr>
        <i/>
        <sz val="10"/>
        <rFont val="Arial"/>
        <family val="2"/>
      </rPr>
      <t>P</t>
    </r>
    <r>
      <rPr>
        <vertAlign val="subscript"/>
        <sz val="10"/>
        <rFont val="Arial"/>
        <family val="2"/>
      </rPr>
      <t>N</t>
    </r>
    <r>
      <rPr>
        <sz val="10"/>
        <rFont val="Arial"/>
        <family val="2"/>
      </rPr>
      <t>/</t>
    </r>
    <r>
      <rPr>
        <i/>
        <sz val="10"/>
        <rFont val="Arial"/>
        <family val="2"/>
      </rPr>
      <t>I</t>
    </r>
    <r>
      <rPr>
        <sz val="10"/>
        <rFont val="Arial"/>
        <family val="2"/>
      </rPr>
      <t xml:space="preserve"> curve.</t>
    </r>
  </si>
  <si>
    <r>
      <t>CO</t>
    </r>
    <r>
      <rPr>
        <vertAlign val="subscript"/>
        <sz val="10"/>
        <rFont val="Arial"/>
        <family val="2"/>
      </rPr>
      <t>2</t>
    </r>
    <r>
      <rPr>
        <sz val="10"/>
        <rFont val="Arial"/>
        <family val="2"/>
      </rPr>
      <t xml:space="preserve"> concentration difference between IRGAs (</t>
    </r>
    <r>
      <rPr>
        <sz val="10"/>
        <rFont val="Symbol"/>
        <family val="1"/>
        <charset val="2"/>
      </rPr>
      <t>D</t>
    </r>
    <r>
      <rPr>
        <sz val="10"/>
        <rFont val="Arial"/>
        <family val="2"/>
      </rPr>
      <t>CO</t>
    </r>
    <r>
      <rPr>
        <vertAlign val="subscript"/>
        <sz val="10"/>
        <rFont val="Arial"/>
        <family val="2"/>
      </rPr>
      <t>2</t>
    </r>
    <r>
      <rPr>
        <sz val="10"/>
        <rFont val="Arial"/>
        <family val="2"/>
      </rPr>
      <t>) is given in</t>
    </r>
    <r>
      <rPr>
        <sz val="10"/>
        <rFont val="Symbol"/>
        <family val="1"/>
        <charset val="2"/>
      </rPr>
      <t xml:space="preserve"> m</t>
    </r>
    <r>
      <rPr>
        <sz val="10"/>
        <rFont val="Arial"/>
        <family val="2"/>
      </rPr>
      <t>mol (CO</t>
    </r>
    <r>
      <rPr>
        <vertAlign val="subscript"/>
        <sz val="10"/>
        <rFont val="Arial"/>
        <family val="2"/>
      </rPr>
      <t>2</t>
    </r>
    <r>
      <rPr>
        <sz val="10"/>
        <rFont val="Arial"/>
        <family val="2"/>
      </rPr>
      <t>) mol</t>
    </r>
    <r>
      <rPr>
        <vertAlign val="superscript"/>
        <sz val="10"/>
        <rFont val="Arial"/>
        <family val="2"/>
      </rPr>
      <t>-1</t>
    </r>
    <r>
      <rPr>
        <sz val="10"/>
        <rFont val="Arial"/>
        <family val="2"/>
      </rPr>
      <t xml:space="preserve"> (air), the flux in </t>
    </r>
    <r>
      <rPr>
        <sz val="10"/>
        <rFont val="Symbol"/>
        <family val="1"/>
        <charset val="2"/>
      </rPr>
      <t>m</t>
    </r>
    <r>
      <rPr>
        <sz val="10"/>
        <rFont val="Arial"/>
        <family val="2"/>
      </rPr>
      <t>mol (air) s</t>
    </r>
    <r>
      <rPr>
        <vertAlign val="superscript"/>
        <sz val="10"/>
        <rFont val="Arial"/>
        <family val="2"/>
      </rPr>
      <t>-1</t>
    </r>
    <r>
      <rPr>
        <sz val="10"/>
        <rFont val="Arial"/>
        <family val="2"/>
      </rPr>
      <t>, and the leaf area in cm</t>
    </r>
    <r>
      <rPr>
        <vertAlign val="superscript"/>
        <sz val="10"/>
        <rFont val="Arial"/>
        <family val="2"/>
      </rPr>
      <t>2</t>
    </r>
    <r>
      <rPr>
        <sz val="10"/>
        <rFont val="Arial"/>
        <family val="2"/>
      </rPr>
      <t>.</t>
    </r>
  </si>
  <si>
    <r>
      <t xml:space="preserve">5 - The A44 to C49 square has to be used in order to find minimal value of net photosynthesis rate that represents the instrumental noise and is used to find </t>
    </r>
    <r>
      <rPr>
        <i/>
        <sz val="10"/>
        <rFont val="Arial"/>
        <family val="2"/>
      </rPr>
      <t>I</t>
    </r>
    <r>
      <rPr>
        <vertAlign val="subscript"/>
        <sz val="10"/>
        <rFont val="Arial"/>
        <family val="2"/>
      </rPr>
      <t>max</t>
    </r>
    <r>
      <rPr>
        <sz val="10"/>
        <rFont val="Arial"/>
        <family val="2"/>
      </rPr>
      <t xml:space="preserve"> for a 50 </t>
    </r>
    <r>
      <rPr>
        <sz val="10"/>
        <rFont val="Symbol"/>
        <family val="1"/>
        <charset val="2"/>
      </rPr>
      <t>m</t>
    </r>
    <r>
      <rPr>
        <sz val="10"/>
        <rFont val="Arial"/>
        <family val="2"/>
      </rPr>
      <t>mol (photons) m</t>
    </r>
    <r>
      <rPr>
        <vertAlign val="superscript"/>
        <sz val="10"/>
        <rFont val="Arial"/>
        <family val="2"/>
      </rPr>
      <t xml:space="preserve">-2 </t>
    </r>
    <r>
      <rPr>
        <sz val="10"/>
        <rFont val="Arial"/>
        <family val="2"/>
      </rPr>
      <t>s</t>
    </r>
    <r>
      <rPr>
        <vertAlign val="superscript"/>
        <sz val="10"/>
        <rFont val="Arial"/>
        <family val="2"/>
      </rPr>
      <t>-1</t>
    </r>
    <r>
      <rPr>
        <sz val="10"/>
        <rFont val="Arial"/>
        <family val="2"/>
      </rPr>
      <t xml:space="preserve">  interval in </t>
    </r>
    <r>
      <rPr>
        <i/>
        <sz val="10"/>
        <rFont val="Arial"/>
        <family val="2"/>
      </rPr>
      <t>I</t>
    </r>
    <r>
      <rPr>
        <sz val="10"/>
        <rFont val="Arial"/>
        <family val="2"/>
      </rPr>
      <t xml:space="preserve">. The </t>
    </r>
  </si>
  <si>
    <t>6 - Execute the command "Solve" at the "Solver" utility, which is found in the "Data" of the Excel main menu. After that you are asked to "maintain solver solution" or "restore original data". Select the first option.</t>
  </si>
  <si>
    <t>7 - The solution will generate all the regression parameters, which are listed in the E37 to G42 square.</t>
  </si>
  <si>
    <r>
      <t xml:space="preserve">9 - The J7 to M2009 saquare has the data used to draw the figures (curves </t>
    </r>
    <r>
      <rPr>
        <i/>
        <sz val="10"/>
        <rFont val="Arial"/>
        <family val="2"/>
      </rPr>
      <t>P</t>
    </r>
    <r>
      <rPr>
        <vertAlign val="subscript"/>
        <sz val="10"/>
        <rFont val="Arial"/>
        <family val="2"/>
      </rPr>
      <t>N</t>
    </r>
    <r>
      <rPr>
        <sz val="10"/>
        <rFont val="Arial"/>
        <family val="2"/>
      </rPr>
      <t>/</t>
    </r>
    <r>
      <rPr>
        <i/>
        <sz val="10"/>
        <rFont val="Arial"/>
        <family val="2"/>
      </rPr>
      <t>I</t>
    </r>
    <r>
      <rPr>
        <sz val="10"/>
        <rFont val="Arial"/>
        <family val="2"/>
      </rPr>
      <t xml:space="preserve"> and </t>
    </r>
    <r>
      <rPr>
        <sz val="10"/>
        <rFont val="Symbol"/>
        <family val="1"/>
        <charset val="2"/>
      </rPr>
      <t>f</t>
    </r>
    <r>
      <rPr>
        <vertAlign val="subscript"/>
        <sz val="10"/>
        <rFont val="Arial"/>
        <family val="2"/>
      </rPr>
      <t>(</t>
    </r>
    <r>
      <rPr>
        <i/>
        <vertAlign val="subscript"/>
        <sz val="10"/>
        <rFont val="Arial"/>
        <family val="2"/>
      </rPr>
      <t>I</t>
    </r>
    <r>
      <rPr>
        <vertAlign val="subscript"/>
        <sz val="10"/>
        <rFont val="Arial"/>
        <family val="2"/>
      </rPr>
      <t>)</t>
    </r>
    <r>
      <rPr>
        <sz val="10"/>
        <rFont val="Arial"/>
        <family val="2"/>
      </rPr>
      <t>/</t>
    </r>
    <r>
      <rPr>
        <i/>
        <sz val="10"/>
        <rFont val="Arial"/>
        <family val="2"/>
      </rPr>
      <t>I</t>
    </r>
    <r>
      <rPr>
        <sz val="10"/>
        <rFont val="Arial"/>
        <family val="2"/>
      </rPr>
      <t>). In this square, all the values at the K column must be inserted by the users. They are exatly</t>
    </r>
  </si>
  <si>
    <r>
      <t xml:space="preserve">taking into account the respective photosynthetic photon flux density for each one of the data. This procedure allows the measured data to be presented in the figure with the fitted </t>
    </r>
    <r>
      <rPr>
        <i/>
        <sz val="10"/>
        <rFont val="Arial"/>
        <family val="2"/>
      </rPr>
      <t>P</t>
    </r>
    <r>
      <rPr>
        <vertAlign val="subscript"/>
        <sz val="10"/>
        <rFont val="Arial"/>
        <family val="2"/>
      </rPr>
      <t>N</t>
    </r>
    <r>
      <rPr>
        <sz val="10"/>
        <rFont val="Arial"/>
        <family val="2"/>
      </rPr>
      <t>/</t>
    </r>
    <r>
      <rPr>
        <i/>
        <sz val="10"/>
        <rFont val="Arial"/>
        <family val="2"/>
      </rPr>
      <t>I</t>
    </r>
    <r>
      <rPr>
        <sz val="10"/>
        <rFont val="Arial"/>
        <family val="2"/>
      </rPr>
      <t xml:space="preserve"> regression.</t>
    </r>
  </si>
  <si>
    <r>
      <t xml:space="preserve">10 - The E18 to E20 saquare present the coefficient of determination for the regression, calculated as the square of the linear correlation coefficient between the original and the estimates of </t>
    </r>
    <r>
      <rPr>
        <i/>
        <sz val="10"/>
        <rFont val="Arial"/>
        <family val="2"/>
      </rPr>
      <t>P</t>
    </r>
    <r>
      <rPr>
        <vertAlign val="subscript"/>
        <sz val="10"/>
        <rFont val="Arial"/>
        <family val="2"/>
      </rPr>
      <t>N</t>
    </r>
    <r>
      <rPr>
        <sz val="10"/>
        <rFont val="Arial"/>
        <family val="2"/>
      </rPr>
      <t xml:space="preserve"> values. </t>
    </r>
  </si>
  <si>
    <r>
      <t xml:space="preserve">Nevertheless, the users must take into account that for non-linear regressions, </t>
    </r>
    <r>
      <rPr>
        <i/>
        <sz val="10"/>
        <rFont val="Arial"/>
        <family val="2"/>
      </rPr>
      <t>R</t>
    </r>
    <r>
      <rPr>
        <vertAlign val="superscript"/>
        <sz val="10"/>
        <rFont val="Arial"/>
        <family val="2"/>
      </rPr>
      <t>2</t>
    </r>
    <r>
      <rPr>
        <sz val="10"/>
        <rFont val="Arial"/>
        <family val="2"/>
      </rPr>
      <t xml:space="preserve"> has no an obvious meaning.</t>
    </r>
  </si>
  <si>
    <r>
      <t xml:space="preserve">11 - The square N7 to O1958 are only a simple way that helps finding </t>
    </r>
    <r>
      <rPr>
        <i/>
        <sz val="10"/>
        <rFont val="Arial"/>
        <family val="2"/>
      </rPr>
      <t>I</t>
    </r>
    <r>
      <rPr>
        <vertAlign val="subscript"/>
        <sz val="10"/>
        <rFont val="Arial"/>
        <family val="2"/>
      </rPr>
      <t>max</t>
    </r>
    <r>
      <rPr>
        <sz val="10"/>
        <rFont val="Arial"/>
        <family val="2"/>
      </rPr>
      <t>.</t>
    </r>
  </si>
  <si>
    <t>If the "Solver" is not active, the users must activate it previously, by finding it in "File", then "Options", then "Add_Ins", choose it , then "Go", then select the box "Solver Add-In", then "Ok".</t>
  </si>
  <si>
    <t>Fitting net photosynthesis light response curve using the Equation 11</t>
  </si>
  <si>
    <r>
      <t xml:space="preserve">A = </t>
    </r>
    <r>
      <rPr>
        <sz val="10"/>
        <rFont val="Symbol"/>
        <family val="1"/>
        <charset val="2"/>
      </rPr>
      <t>f</t>
    </r>
    <r>
      <rPr>
        <vertAlign val="subscript"/>
        <sz val="10"/>
        <rFont val="Arial"/>
        <family val="2"/>
      </rPr>
      <t>(</t>
    </r>
    <r>
      <rPr>
        <i/>
        <vertAlign val="subscript"/>
        <sz val="10"/>
        <rFont val="Arial"/>
        <family val="2"/>
      </rPr>
      <t>I</t>
    </r>
    <r>
      <rPr>
        <vertAlign val="subscript"/>
        <sz val="10"/>
        <rFont val="Arial"/>
        <family val="2"/>
      </rPr>
      <t>o_</t>
    </r>
    <r>
      <rPr>
        <i/>
        <vertAlign val="subscript"/>
        <sz val="10"/>
        <rFont val="Arial"/>
        <family val="2"/>
      </rPr>
      <t>I</t>
    </r>
    <r>
      <rPr>
        <vertAlign val="subscript"/>
        <sz val="10"/>
        <rFont val="Arial"/>
        <family val="2"/>
      </rPr>
      <t xml:space="preserve">comp) </t>
    </r>
    <r>
      <rPr>
        <sz val="10"/>
        <rFont val="Arial"/>
        <family val="2"/>
      </rPr>
      <t xml:space="preserve">x [(1 - </t>
    </r>
    <r>
      <rPr>
        <sz val="10"/>
        <rFont val="Symbol"/>
        <family val="1"/>
        <charset val="2"/>
      </rPr>
      <t xml:space="preserve">b </t>
    </r>
    <r>
      <rPr>
        <sz val="10"/>
        <rFont val="Arial"/>
        <family val="2"/>
      </rPr>
      <t xml:space="preserve">x </t>
    </r>
    <r>
      <rPr>
        <i/>
        <sz val="10"/>
        <rFont val="Arial"/>
        <family val="2"/>
      </rPr>
      <t>I</t>
    </r>
    <r>
      <rPr>
        <sz val="10"/>
        <rFont val="Arial"/>
        <family val="2"/>
      </rPr>
      <t xml:space="preserve">)/(1 + </t>
    </r>
    <r>
      <rPr>
        <sz val="10"/>
        <rFont val="Symbol"/>
        <family val="1"/>
        <charset val="2"/>
      </rPr>
      <t xml:space="preserve">g </t>
    </r>
    <r>
      <rPr>
        <sz val="10"/>
        <rFont val="Arial"/>
        <family val="2"/>
      </rPr>
      <t xml:space="preserve">x </t>
    </r>
    <r>
      <rPr>
        <i/>
        <sz val="10"/>
        <rFont val="Arial"/>
        <family val="2"/>
      </rPr>
      <t>I</t>
    </r>
    <r>
      <rPr>
        <sz val="10"/>
        <rFont val="Arial"/>
        <family val="2"/>
      </rPr>
      <t>)] x (</t>
    </r>
    <r>
      <rPr>
        <i/>
        <sz val="10"/>
        <rFont val="Arial"/>
        <family val="2"/>
      </rPr>
      <t>I</t>
    </r>
    <r>
      <rPr>
        <sz val="10"/>
        <rFont val="Arial"/>
        <family val="2"/>
      </rPr>
      <t xml:space="preserve"> - </t>
    </r>
    <r>
      <rPr>
        <i/>
        <sz val="10"/>
        <rFont val="Arial"/>
        <family val="2"/>
      </rPr>
      <t>I</t>
    </r>
    <r>
      <rPr>
        <vertAlign val="subscript"/>
        <sz val="10"/>
        <rFont val="Arial"/>
        <family val="2"/>
      </rPr>
      <t>comp</t>
    </r>
    <r>
      <rPr>
        <sz val="10"/>
        <rFont val="Arial"/>
        <family val="2"/>
      </rPr>
      <t>)</t>
    </r>
  </si>
  <si>
    <r>
      <rPr>
        <sz val="10"/>
        <rFont val="Symbol"/>
        <family val="1"/>
        <charset val="2"/>
      </rPr>
      <t>f</t>
    </r>
    <r>
      <rPr>
        <vertAlign val="subscript"/>
        <sz val="10"/>
        <rFont val="Arial"/>
        <family val="2"/>
      </rPr>
      <t>(Io_Icomp)</t>
    </r>
    <r>
      <rPr>
        <sz val="10"/>
        <rFont val="Arial"/>
        <family val="2"/>
      </rPr>
      <t xml:space="preserve"> = quantum yield in the range of</t>
    </r>
    <r>
      <rPr>
        <i/>
        <sz val="10"/>
        <rFont val="Arial"/>
        <family val="2"/>
      </rPr>
      <t xml:space="preserve"> I</t>
    </r>
    <r>
      <rPr>
        <vertAlign val="subscript"/>
        <sz val="10"/>
        <rFont val="Arial"/>
        <family val="2"/>
      </rPr>
      <t>o</t>
    </r>
    <r>
      <rPr>
        <sz val="10"/>
        <rFont val="Arial"/>
        <family val="2"/>
      </rPr>
      <t xml:space="preserve"> to </t>
    </r>
    <r>
      <rPr>
        <i/>
        <sz val="10"/>
        <rFont val="Arial"/>
        <family val="2"/>
      </rPr>
      <t>I</t>
    </r>
    <r>
      <rPr>
        <vertAlign val="subscript"/>
        <sz val="10"/>
        <rFont val="Arial"/>
        <family val="2"/>
      </rPr>
      <t>comp</t>
    </r>
    <r>
      <rPr>
        <sz val="10"/>
        <rFont val="Arial"/>
        <family val="2"/>
      </rPr>
      <t xml:space="preserve"> [</t>
    </r>
    <r>
      <rPr>
        <sz val="10"/>
        <rFont val="Symbol"/>
        <family val="1"/>
        <charset val="2"/>
      </rPr>
      <t>m</t>
    </r>
    <r>
      <rPr>
        <sz val="10"/>
        <rFont val="Arial"/>
        <family val="2"/>
      </rPr>
      <t>mol (CO</t>
    </r>
    <r>
      <rPr>
        <vertAlign val="subscript"/>
        <sz val="10"/>
        <rFont val="Arial"/>
        <family val="2"/>
      </rPr>
      <t>2</t>
    </r>
    <r>
      <rPr>
        <sz val="10"/>
        <rFont val="Arial"/>
        <family val="2"/>
      </rPr>
      <t xml:space="preserve">) </t>
    </r>
    <r>
      <rPr>
        <sz val="10"/>
        <rFont val="Symbol"/>
        <family val="1"/>
        <charset val="2"/>
      </rPr>
      <t>m</t>
    </r>
    <r>
      <rPr>
        <sz val="10"/>
        <rFont val="Arial"/>
        <family val="2"/>
      </rPr>
      <t>mol</t>
    </r>
    <r>
      <rPr>
        <vertAlign val="superscript"/>
        <sz val="10"/>
        <rFont val="Arial"/>
        <family val="2"/>
      </rPr>
      <t>-1</t>
    </r>
    <r>
      <rPr>
        <sz val="10"/>
        <rFont val="Arial"/>
        <family val="2"/>
      </rPr>
      <t xml:space="preserve"> (photons)]</t>
    </r>
  </si>
  <si>
    <r>
      <rPr>
        <sz val="10"/>
        <rFont val="Symbol"/>
        <family val="1"/>
        <charset val="2"/>
      </rPr>
      <t>b</t>
    </r>
    <r>
      <rPr>
        <sz val="10"/>
        <rFont val="Arial"/>
        <family val="2"/>
      </rPr>
      <t xml:space="preserve"> = adjusting factor</t>
    </r>
  </si>
  <si>
    <r>
      <rPr>
        <sz val="10"/>
        <rFont val="Symbol"/>
        <family val="1"/>
        <charset val="2"/>
      </rPr>
      <t>g</t>
    </r>
    <r>
      <rPr>
        <sz val="10"/>
        <rFont val="Arial"/>
        <family val="2"/>
      </rPr>
      <t xml:space="preserve"> = adjusting factor</t>
    </r>
  </si>
  <si>
    <r>
      <rPr>
        <sz val="10"/>
        <rFont val="Symbol"/>
        <family val="1"/>
        <charset val="2"/>
      </rPr>
      <t>f</t>
    </r>
    <r>
      <rPr>
        <vertAlign val="subscript"/>
        <sz val="10"/>
        <rFont val="Arial"/>
        <family val="2"/>
      </rPr>
      <t>(</t>
    </r>
    <r>
      <rPr>
        <i/>
        <vertAlign val="subscript"/>
        <sz val="10"/>
        <rFont val="Arial"/>
        <family val="2"/>
      </rPr>
      <t>I</t>
    </r>
    <r>
      <rPr>
        <vertAlign val="subscript"/>
        <sz val="10"/>
        <rFont val="Arial"/>
        <family val="2"/>
      </rPr>
      <t>o_</t>
    </r>
    <r>
      <rPr>
        <i/>
        <vertAlign val="subscript"/>
        <sz val="10"/>
        <rFont val="Arial"/>
        <family val="2"/>
      </rPr>
      <t>I</t>
    </r>
    <r>
      <rPr>
        <vertAlign val="subscript"/>
        <sz val="10"/>
        <rFont val="Arial"/>
        <family val="2"/>
      </rPr>
      <t>comp)</t>
    </r>
    <r>
      <rPr>
        <sz val="10"/>
        <rFont val="Arial"/>
        <family val="2"/>
      </rPr>
      <t xml:space="preserve"> = </t>
    </r>
  </si>
  <si>
    <r>
      <rPr>
        <sz val="10"/>
        <rFont val="Symbol"/>
        <family val="1"/>
        <charset val="2"/>
      </rPr>
      <t>b</t>
    </r>
    <r>
      <rPr>
        <sz val="10"/>
        <rFont val="Arial"/>
        <family val="2"/>
      </rPr>
      <t xml:space="preserve"> = </t>
    </r>
  </si>
  <si>
    <r>
      <rPr>
        <sz val="10"/>
        <rFont val="Symbol"/>
        <family val="1"/>
        <charset val="2"/>
      </rPr>
      <t>g</t>
    </r>
    <r>
      <rPr>
        <sz val="10"/>
        <rFont val="Arial"/>
        <family val="2"/>
      </rPr>
      <t xml:space="preserve"> = </t>
    </r>
  </si>
  <si>
    <r>
      <rPr>
        <sz val="10"/>
        <rFont val="Symbol"/>
        <family val="1"/>
        <charset val="2"/>
      </rPr>
      <t>f</t>
    </r>
    <r>
      <rPr>
        <vertAlign val="subscript"/>
        <sz val="10"/>
        <rFont val="Arial"/>
        <family val="2"/>
      </rPr>
      <t>(Io)</t>
    </r>
    <r>
      <rPr>
        <sz val="10"/>
        <rFont val="Arial"/>
        <family val="2"/>
      </rPr>
      <t xml:space="preserve"> = </t>
    </r>
  </si>
  <si>
    <r>
      <rPr>
        <sz val="10"/>
        <rFont val="Symbol"/>
        <family val="1"/>
        <charset val="2"/>
      </rPr>
      <t>f</t>
    </r>
    <r>
      <rPr>
        <vertAlign val="subscript"/>
        <sz val="10"/>
        <rFont val="Arial"/>
        <family val="2"/>
      </rPr>
      <t>(</t>
    </r>
    <r>
      <rPr>
        <i/>
        <vertAlign val="subscript"/>
        <sz val="10"/>
        <rFont val="Arial"/>
        <family val="2"/>
      </rPr>
      <t>I</t>
    </r>
    <r>
      <rPr>
        <vertAlign val="subscript"/>
        <sz val="10"/>
        <rFont val="Arial"/>
        <family val="2"/>
      </rPr>
      <t>comp)</t>
    </r>
    <r>
      <rPr>
        <sz val="10"/>
        <rFont val="Arial"/>
        <family val="2"/>
      </rPr>
      <t xml:space="preserve"> = </t>
    </r>
  </si>
  <si>
    <r>
      <rPr>
        <sz val="10"/>
        <rFont val="Symbol"/>
        <family val="1"/>
        <charset val="2"/>
      </rPr>
      <t>f</t>
    </r>
    <r>
      <rPr>
        <vertAlign val="subscript"/>
        <sz val="10"/>
        <rFont val="Arial"/>
        <family val="2"/>
      </rPr>
      <t>(</t>
    </r>
    <r>
      <rPr>
        <i/>
        <vertAlign val="subscript"/>
        <sz val="10"/>
        <rFont val="Arial"/>
        <family val="2"/>
      </rPr>
      <t>I</t>
    </r>
    <r>
      <rPr>
        <vertAlign val="subscript"/>
        <sz val="10"/>
        <rFont val="Arial"/>
        <family val="2"/>
      </rPr>
      <t>comp_</t>
    </r>
    <r>
      <rPr>
        <i/>
        <vertAlign val="subscript"/>
        <sz val="10"/>
        <rFont val="Arial"/>
        <family val="2"/>
      </rPr>
      <t>I</t>
    </r>
    <r>
      <rPr>
        <vertAlign val="subscript"/>
        <sz val="8"/>
        <rFont val="Arial"/>
        <family val="2"/>
      </rPr>
      <t>200</t>
    </r>
    <r>
      <rPr>
        <vertAlign val="subscript"/>
        <sz val="10"/>
        <rFont val="Arial"/>
        <family val="2"/>
      </rPr>
      <t>)</t>
    </r>
    <r>
      <rPr>
        <sz val="10"/>
        <rFont val="Arial"/>
        <family val="2"/>
      </rPr>
      <t xml:space="preserve"> = </t>
    </r>
  </si>
  <si>
    <r>
      <rPr>
        <b/>
        <sz val="11"/>
        <rFont val="Symbol"/>
        <family val="1"/>
        <charset val="2"/>
      </rPr>
      <t xml:space="preserve">f </t>
    </r>
    <r>
      <rPr>
        <b/>
        <sz val="10"/>
        <rFont val="Arial"/>
        <family val="2"/>
      </rPr>
      <t xml:space="preserve">at any value of </t>
    </r>
    <r>
      <rPr>
        <b/>
        <i/>
        <sz val="10"/>
        <rFont val="Arial"/>
        <family val="2"/>
      </rPr>
      <t xml:space="preserve">I </t>
    </r>
  </si>
  <si>
    <r>
      <t>f</t>
    </r>
    <r>
      <rPr>
        <b/>
        <vertAlign val="subscript"/>
        <sz val="10"/>
        <rFont val="Arial"/>
        <family val="2"/>
      </rPr>
      <t>(</t>
    </r>
    <r>
      <rPr>
        <b/>
        <i/>
        <vertAlign val="subscript"/>
        <sz val="10"/>
        <rFont val="Arial"/>
        <family val="2"/>
      </rPr>
      <t>I</t>
    </r>
    <r>
      <rPr>
        <b/>
        <vertAlign val="subscript"/>
        <sz val="10"/>
        <rFont val="Arial"/>
        <family val="2"/>
      </rPr>
      <t>o_</t>
    </r>
    <r>
      <rPr>
        <b/>
        <i/>
        <vertAlign val="subscript"/>
        <sz val="10"/>
        <rFont val="Arial"/>
        <family val="2"/>
      </rPr>
      <t>I</t>
    </r>
    <r>
      <rPr>
        <b/>
        <vertAlign val="subscript"/>
        <sz val="10"/>
        <rFont val="Arial"/>
        <family val="2"/>
      </rPr>
      <t>comp)</t>
    </r>
  </si>
  <si>
    <r>
      <t>f</t>
    </r>
    <r>
      <rPr>
        <b/>
        <vertAlign val="subscript"/>
        <sz val="10"/>
        <rFont val="Arial"/>
        <family val="2"/>
      </rPr>
      <t>(</t>
    </r>
    <r>
      <rPr>
        <b/>
        <i/>
        <vertAlign val="subscript"/>
        <sz val="10"/>
        <rFont val="Arial"/>
        <family val="2"/>
      </rPr>
      <t>I</t>
    </r>
    <r>
      <rPr>
        <b/>
        <vertAlign val="subscript"/>
        <sz val="10"/>
        <rFont val="Arial"/>
        <family val="2"/>
      </rPr>
      <t>comp_</t>
    </r>
    <r>
      <rPr>
        <b/>
        <i/>
        <vertAlign val="subscript"/>
        <sz val="10"/>
        <rFont val="Arial"/>
        <family val="2"/>
      </rPr>
      <t>I</t>
    </r>
    <r>
      <rPr>
        <b/>
        <vertAlign val="subscript"/>
        <sz val="8"/>
        <rFont val="Arial"/>
        <family val="2"/>
      </rPr>
      <t>200</t>
    </r>
    <r>
      <rPr>
        <b/>
        <vertAlign val="subscript"/>
        <sz val="10"/>
        <rFont val="Arial"/>
        <family val="2"/>
      </rPr>
      <t>)</t>
    </r>
  </si>
  <si>
    <r>
      <t xml:space="preserve">8 - The calculated </t>
    </r>
    <r>
      <rPr>
        <i/>
        <sz val="10"/>
        <rFont val="Arial"/>
        <family val="2"/>
      </rPr>
      <t>I</t>
    </r>
    <r>
      <rPr>
        <vertAlign val="subscript"/>
        <sz val="10"/>
        <rFont val="Arial"/>
        <family val="2"/>
      </rPr>
      <t>sat</t>
    </r>
    <r>
      <rPr>
        <sz val="10"/>
        <rFont val="Arial"/>
        <family val="2"/>
      </rPr>
      <t xml:space="preserve">, </t>
    </r>
    <r>
      <rPr>
        <i/>
        <sz val="10"/>
        <rFont val="Arial"/>
        <family val="2"/>
      </rPr>
      <t>I</t>
    </r>
    <r>
      <rPr>
        <vertAlign val="subscript"/>
        <sz val="10"/>
        <rFont val="Arial"/>
        <family val="2"/>
      </rPr>
      <t>sat(n)</t>
    </r>
    <r>
      <rPr>
        <sz val="10"/>
        <rFont val="Arial"/>
        <family val="2"/>
      </rPr>
      <t xml:space="preserve">, </t>
    </r>
    <r>
      <rPr>
        <i/>
        <sz val="10"/>
        <rFont val="Arial"/>
        <family val="2"/>
      </rPr>
      <t>I</t>
    </r>
    <r>
      <rPr>
        <vertAlign val="subscript"/>
        <sz val="10"/>
        <rFont val="Arial"/>
        <family val="2"/>
      </rPr>
      <t>max</t>
    </r>
    <r>
      <rPr>
        <sz val="10"/>
        <rFont val="Arial"/>
        <family val="2"/>
      </rPr>
      <t xml:space="preserve">, </t>
    </r>
    <r>
      <rPr>
        <i/>
        <sz val="10"/>
        <rFont val="Arial"/>
        <family val="2"/>
      </rPr>
      <t>P</t>
    </r>
    <r>
      <rPr>
        <vertAlign val="subscript"/>
        <sz val="10"/>
        <rFont val="Arial"/>
        <family val="2"/>
      </rPr>
      <t>gmax</t>
    </r>
    <r>
      <rPr>
        <sz val="10"/>
        <rFont val="Arial"/>
        <family val="2"/>
      </rPr>
      <t xml:space="preserve">, </t>
    </r>
    <r>
      <rPr>
        <i/>
        <sz val="10"/>
        <rFont val="Arial"/>
        <family val="2"/>
      </rPr>
      <t>P</t>
    </r>
    <r>
      <rPr>
        <vertAlign val="subscript"/>
        <sz val="10"/>
        <rFont val="Arial"/>
        <family val="2"/>
      </rPr>
      <t>N(</t>
    </r>
    <r>
      <rPr>
        <i/>
        <vertAlign val="subscript"/>
        <sz val="10"/>
        <rFont val="Arial"/>
        <family val="2"/>
      </rPr>
      <t>I</t>
    </r>
    <r>
      <rPr>
        <vertAlign val="subscript"/>
        <sz val="10"/>
        <rFont val="Arial"/>
        <family val="2"/>
      </rPr>
      <t xml:space="preserve">max), </t>
    </r>
    <r>
      <rPr>
        <i/>
        <sz val="10"/>
        <rFont val="Arial"/>
        <family val="2"/>
      </rPr>
      <t>R</t>
    </r>
    <r>
      <rPr>
        <vertAlign val="subscript"/>
        <sz val="10"/>
        <rFont val="Arial"/>
        <family val="2"/>
      </rPr>
      <t xml:space="preserve">D, </t>
    </r>
    <r>
      <rPr>
        <sz val="10"/>
        <rFont val="Arial"/>
        <family val="2"/>
      </rPr>
      <t>and</t>
    </r>
    <r>
      <rPr>
        <i/>
        <sz val="10"/>
        <rFont val="Arial"/>
        <family val="2"/>
      </rPr>
      <t xml:space="preserve"> </t>
    </r>
    <r>
      <rPr>
        <sz val="10"/>
        <rFont val="Symbol"/>
        <family val="1"/>
        <charset val="2"/>
      </rPr>
      <t>f</t>
    </r>
    <r>
      <rPr>
        <vertAlign val="subscript"/>
        <sz val="10"/>
        <rFont val="Arial"/>
        <family val="2"/>
      </rPr>
      <t>(</t>
    </r>
    <r>
      <rPr>
        <i/>
        <vertAlign val="subscript"/>
        <sz val="10"/>
        <rFont val="Arial"/>
        <family val="2"/>
      </rPr>
      <t>I</t>
    </r>
    <r>
      <rPr>
        <vertAlign val="subscript"/>
        <sz val="10"/>
        <rFont val="Arial"/>
        <family val="2"/>
      </rPr>
      <t>o)</t>
    </r>
    <r>
      <rPr>
        <sz val="10"/>
        <rFont val="Arial"/>
        <family val="2"/>
      </rPr>
      <t xml:space="preserve">, </t>
    </r>
    <r>
      <rPr>
        <sz val="10"/>
        <rFont val="Symbol"/>
        <family val="1"/>
        <charset val="2"/>
      </rPr>
      <t>f</t>
    </r>
    <r>
      <rPr>
        <vertAlign val="subscript"/>
        <sz val="10"/>
        <rFont val="Arial"/>
        <family val="2"/>
      </rPr>
      <t>(</t>
    </r>
    <r>
      <rPr>
        <i/>
        <vertAlign val="subscript"/>
        <sz val="10"/>
        <rFont val="Arial"/>
        <family val="2"/>
      </rPr>
      <t>I</t>
    </r>
    <r>
      <rPr>
        <vertAlign val="subscript"/>
        <sz val="10"/>
        <rFont val="Arial"/>
        <family val="2"/>
      </rPr>
      <t>comp)</t>
    </r>
    <r>
      <rPr>
        <sz val="10"/>
        <rFont val="Arial"/>
        <family val="2"/>
      </rPr>
      <t xml:space="preserve">, </t>
    </r>
    <r>
      <rPr>
        <sz val="10"/>
        <rFont val="Symbol"/>
        <family val="1"/>
        <charset val="2"/>
      </rPr>
      <t>f</t>
    </r>
    <r>
      <rPr>
        <vertAlign val="subscript"/>
        <sz val="10"/>
        <rFont val="Arial"/>
        <family val="2"/>
      </rPr>
      <t>(</t>
    </r>
    <r>
      <rPr>
        <i/>
        <vertAlign val="subscript"/>
        <sz val="10"/>
        <rFont val="Arial"/>
        <family val="2"/>
      </rPr>
      <t>I</t>
    </r>
    <r>
      <rPr>
        <vertAlign val="subscript"/>
        <sz val="10"/>
        <rFont val="Arial"/>
        <family val="2"/>
      </rPr>
      <t>o_</t>
    </r>
    <r>
      <rPr>
        <i/>
        <vertAlign val="subscript"/>
        <sz val="10"/>
        <rFont val="Arial"/>
        <family val="2"/>
      </rPr>
      <t>I</t>
    </r>
    <r>
      <rPr>
        <vertAlign val="subscript"/>
        <sz val="10"/>
        <rFont val="Arial"/>
        <family val="2"/>
      </rPr>
      <t>comp)</t>
    </r>
    <r>
      <rPr>
        <sz val="10"/>
        <rFont val="Arial"/>
        <family val="2"/>
      </rPr>
      <t xml:space="preserve">, </t>
    </r>
    <r>
      <rPr>
        <sz val="10"/>
        <rFont val="Symbol"/>
        <family val="1"/>
        <charset val="2"/>
      </rPr>
      <t>f</t>
    </r>
    <r>
      <rPr>
        <vertAlign val="subscript"/>
        <sz val="10"/>
        <rFont val="Arial"/>
        <family val="2"/>
      </rPr>
      <t>(</t>
    </r>
    <r>
      <rPr>
        <i/>
        <vertAlign val="subscript"/>
        <sz val="10"/>
        <rFont val="Arial"/>
        <family val="2"/>
      </rPr>
      <t>I</t>
    </r>
    <r>
      <rPr>
        <vertAlign val="subscript"/>
        <sz val="10"/>
        <rFont val="Arial"/>
        <family val="2"/>
      </rPr>
      <t>comp_</t>
    </r>
    <r>
      <rPr>
        <i/>
        <vertAlign val="subscript"/>
        <sz val="10"/>
        <rFont val="Arial"/>
        <family val="2"/>
      </rPr>
      <t>I</t>
    </r>
    <r>
      <rPr>
        <vertAlign val="subscript"/>
        <sz val="10"/>
        <rFont val="Arial"/>
        <family val="2"/>
      </rPr>
      <t>200)</t>
    </r>
    <r>
      <rPr>
        <sz val="10"/>
        <rFont val="Arial"/>
        <family val="2"/>
      </rPr>
      <t xml:space="preserve"> are presented in the E43 toG59 square.</t>
    </r>
  </si>
  <si>
    <r>
      <t xml:space="preserve">12 - The square P7 to S1958 are only a simple way that helps finding </t>
    </r>
    <r>
      <rPr>
        <sz val="10"/>
        <rFont val="Symbol"/>
        <family val="1"/>
        <charset val="2"/>
      </rPr>
      <t xml:space="preserve"> f</t>
    </r>
    <r>
      <rPr>
        <vertAlign val="subscript"/>
        <sz val="10"/>
        <rFont val="Arial"/>
        <family val="2"/>
      </rPr>
      <t>(</t>
    </r>
    <r>
      <rPr>
        <i/>
        <vertAlign val="subscript"/>
        <sz val="10"/>
        <rFont val="Arial"/>
        <family val="2"/>
      </rPr>
      <t>I</t>
    </r>
    <r>
      <rPr>
        <vertAlign val="subscript"/>
        <sz val="10"/>
        <rFont val="Arial"/>
        <family val="2"/>
      </rPr>
      <t>o_</t>
    </r>
    <r>
      <rPr>
        <i/>
        <vertAlign val="subscript"/>
        <sz val="10"/>
        <rFont val="Arial"/>
        <family val="2"/>
      </rPr>
      <t>I</t>
    </r>
    <r>
      <rPr>
        <vertAlign val="subscript"/>
        <sz val="10"/>
        <rFont val="Arial"/>
        <family val="2"/>
      </rPr>
      <t>comp)</t>
    </r>
    <r>
      <rPr>
        <sz val="10"/>
        <rFont val="Arial"/>
        <family val="2"/>
      </rPr>
      <t xml:space="preserve"> and </t>
    </r>
    <r>
      <rPr>
        <sz val="10"/>
        <rFont val="Symbol"/>
        <family val="1"/>
        <charset val="2"/>
      </rPr>
      <t>f</t>
    </r>
    <r>
      <rPr>
        <vertAlign val="subscript"/>
        <sz val="10"/>
        <rFont val="Arial"/>
        <family val="2"/>
      </rPr>
      <t>(</t>
    </r>
    <r>
      <rPr>
        <i/>
        <vertAlign val="subscript"/>
        <sz val="10"/>
        <rFont val="Arial"/>
        <family val="2"/>
      </rPr>
      <t>I</t>
    </r>
    <r>
      <rPr>
        <vertAlign val="subscript"/>
        <sz val="10"/>
        <rFont val="Arial"/>
        <family val="2"/>
      </rPr>
      <t>comp_</t>
    </r>
    <r>
      <rPr>
        <i/>
        <vertAlign val="subscript"/>
        <sz val="10"/>
        <rFont val="Arial"/>
        <family val="2"/>
      </rPr>
      <t>I</t>
    </r>
    <r>
      <rPr>
        <vertAlign val="subscript"/>
        <sz val="10"/>
        <rFont val="Arial"/>
        <family val="2"/>
      </rPr>
      <t>200)</t>
    </r>
    <r>
      <rPr>
        <sz val="1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</si>
</sst>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
    <numFmt numFmtId="166" formatCode="0.00000"/>
    <numFmt numFmtId="167" formatCode="0.000"/>
    <numFmt numFmtId="168" formatCode="0.000000"/>
  </numFmts>
  <fonts count="31" x14ac:knownFonts="1">
    <font>
      <sz val="10"/>
      <name val="Arial"/>
    </font>
    <font>
      <sz val="10"/>
      <name val="Arial"/>
      <family val="2"/>
    </font>
    <font>
      <vertAlign val="superscript"/>
      <sz val="10"/>
      <name val="Arial"/>
      <family val="2"/>
    </font>
    <font>
      <sz val="10"/>
      <name val="Symbol"/>
      <family val="1"/>
      <charset val="2"/>
    </font>
    <font>
      <b/>
      <sz val="10"/>
      <name val="Arial"/>
      <family val="2"/>
    </font>
    <font>
      <b/>
      <vertAlign val="superscript"/>
      <sz val="10"/>
      <name val="Arial"/>
      <family val="2"/>
    </font>
    <font>
      <sz val="8"/>
      <name val="Arial"/>
      <family val="2"/>
    </font>
    <font>
      <sz val="10"/>
      <name val="Arial"/>
      <family val="2"/>
    </font>
    <font>
      <vertAlign val="subscript"/>
      <sz val="10"/>
      <name val="Arial"/>
      <family val="2"/>
    </font>
    <font>
      <i/>
      <sz val="10"/>
      <name val="Arial"/>
      <family val="2"/>
    </font>
    <font>
      <sz val="10"/>
      <name val="Arial"/>
      <family val="2"/>
    </font>
    <font>
      <sz val="10"/>
      <color indexed="10"/>
      <name val="Arial"/>
      <family val="2"/>
    </font>
    <font>
      <i/>
      <sz val="10"/>
      <name val="Arial"/>
      <family val="2"/>
    </font>
    <font>
      <sz val="10"/>
      <color indexed="10"/>
      <name val="Arial"/>
      <family val="2"/>
    </font>
    <font>
      <sz val="10"/>
      <color indexed="10"/>
      <name val="Arial"/>
      <family val="2"/>
    </font>
    <font>
      <b/>
      <sz val="10"/>
      <name val="Symbol"/>
      <family val="1"/>
      <charset val="2"/>
    </font>
    <font>
      <b/>
      <vertAlign val="subscript"/>
      <sz val="10"/>
      <name val="Arial"/>
      <family val="2"/>
    </font>
    <font>
      <b/>
      <sz val="11"/>
      <name val="Symbol"/>
      <family val="1"/>
      <charset val="2"/>
    </font>
    <font>
      <b/>
      <sz val="12"/>
      <name val="Symbol"/>
      <family val="1"/>
      <charset val="2"/>
    </font>
    <font>
      <b/>
      <vertAlign val="subscript"/>
      <sz val="8"/>
      <name val="Arial"/>
      <family val="2"/>
    </font>
    <font>
      <vertAlign val="subscript"/>
      <sz val="8"/>
      <name val="Arial"/>
      <family val="2"/>
    </font>
    <font>
      <i/>
      <vertAlign val="subscript"/>
      <sz val="10"/>
      <name val="Arial"/>
      <family val="2"/>
    </font>
    <font>
      <b/>
      <i/>
      <sz val="10"/>
      <name val="Arial"/>
      <family val="2"/>
    </font>
    <font>
      <sz val="10"/>
      <color rgb="FFFF0000"/>
      <name val="Arial"/>
      <family val="2"/>
    </font>
    <font>
      <sz val="10"/>
      <color rgb="FFFF0000"/>
      <name val="Symbol"/>
      <family val="1"/>
      <charset val="2"/>
    </font>
    <font>
      <vertAlign val="subscript"/>
      <sz val="10"/>
      <color rgb="FFFF0000"/>
      <name val="Arial"/>
      <family val="2"/>
    </font>
    <font>
      <vertAlign val="superscript"/>
      <sz val="10"/>
      <color rgb="FFFF0000"/>
      <name val="Arial"/>
      <family val="2"/>
    </font>
    <font>
      <sz val="10"/>
      <color indexed="10"/>
      <name val="Symbol"/>
      <family val="1"/>
      <charset val="2"/>
    </font>
    <font>
      <vertAlign val="subscript"/>
      <sz val="10"/>
      <color indexed="10"/>
      <name val="Arial"/>
      <family val="2"/>
    </font>
    <font>
      <vertAlign val="superscript"/>
      <sz val="10"/>
      <color indexed="10"/>
      <name val="Arial"/>
      <family val="2"/>
    </font>
    <font>
      <b/>
      <i/>
      <vertAlign val="subscript"/>
      <sz val="10"/>
      <name val="Arial"/>
      <family val="2"/>
    </font>
  </fonts>
  <fills count="5">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3"/>
        <bgColor indexed="64"/>
      </patternFill>
    </fill>
  </fills>
  <borders count="16">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76">
    <xf numFmtId="0" fontId="0" fillId="0" borderId="0" xfId="0"/>
    <xf numFmtId="0" fontId="0" fillId="2" borderId="0" xfId="0" applyFill="1"/>
    <xf numFmtId="0" fontId="0" fillId="3" borderId="1" xfId="0" applyFill="1" applyBorder="1"/>
    <xf numFmtId="0" fontId="0" fillId="3" borderId="2" xfId="0" applyFill="1" applyBorder="1"/>
    <xf numFmtId="0" fontId="0" fillId="3" borderId="3" xfId="0" applyFill="1" applyBorder="1"/>
    <xf numFmtId="0" fontId="0" fillId="3" borderId="0" xfId="0" applyFill="1"/>
    <xf numFmtId="0" fontId="0" fillId="3" borderId="4" xfId="0" applyFill="1" applyBorder="1"/>
    <xf numFmtId="0" fontId="7" fillId="3" borderId="3" xfId="0" applyFont="1" applyFill="1" applyBorder="1"/>
    <xf numFmtId="0" fontId="0" fillId="3" borderId="5" xfId="0" applyFill="1" applyBorder="1"/>
    <xf numFmtId="0" fontId="0" fillId="3" borderId="6" xfId="0" applyFill="1" applyBorder="1"/>
    <xf numFmtId="0" fontId="4" fillId="2" borderId="0" xfId="0" applyFont="1" applyFill="1"/>
    <xf numFmtId="0" fontId="7" fillId="2" borderId="0" xfId="0" applyFont="1" applyFill="1"/>
    <xf numFmtId="0" fontId="4" fillId="2" borderId="0" xfId="0" applyFont="1" applyFill="1" applyAlignment="1">
      <alignment horizontal="center"/>
    </xf>
    <xf numFmtId="164" fontId="13" fillId="2" borderId="0" xfId="0" applyNumberFormat="1" applyFont="1" applyFill="1"/>
    <xf numFmtId="0" fontId="11" fillId="2" borderId="0" xfId="0" applyFont="1" applyFill="1"/>
    <xf numFmtId="0" fontId="0" fillId="2" borderId="0" xfId="0" applyFill="1" applyAlignment="1">
      <alignment horizontal="center"/>
    </xf>
    <xf numFmtId="164" fontId="11" fillId="2" borderId="0" xfId="0" applyNumberFormat="1" applyFont="1" applyFill="1"/>
    <xf numFmtId="0" fontId="12" fillId="2" borderId="0" xfId="0" applyFont="1" applyFill="1" applyAlignment="1">
      <alignment horizontal="centerContinuous"/>
    </xf>
    <xf numFmtId="0" fontId="12" fillId="2" borderId="0" xfId="0" applyFont="1" applyFill="1" applyAlignment="1">
      <alignment horizontal="center"/>
    </xf>
    <xf numFmtId="0" fontId="4" fillId="3" borderId="7" xfId="0" applyFont="1" applyFill="1" applyBorder="1"/>
    <xf numFmtId="0" fontId="10" fillId="3" borderId="0" xfId="0" applyFont="1" applyFill="1"/>
    <xf numFmtId="0" fontId="7"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0" fillId="3" borderId="10" xfId="0" applyFill="1" applyBorder="1"/>
    <xf numFmtId="0" fontId="4" fillId="3" borderId="11" xfId="0" applyFont="1" applyFill="1" applyBorder="1"/>
    <xf numFmtId="0" fontId="0" fillId="3" borderId="12" xfId="0" applyFill="1" applyBorder="1"/>
    <xf numFmtId="0" fontId="0" fillId="3" borderId="13" xfId="0" applyFill="1" applyBorder="1"/>
    <xf numFmtId="0" fontId="4" fillId="3" borderId="11" xfId="0" applyFont="1" applyFill="1" applyBorder="1" applyAlignment="1">
      <alignment horizontal="left"/>
    </xf>
    <xf numFmtId="0" fontId="4" fillId="3" borderId="12" xfId="0" applyFont="1" applyFill="1" applyBorder="1" applyAlignment="1">
      <alignment horizontal="center"/>
    </xf>
    <xf numFmtId="0" fontId="4" fillId="3" borderId="13" xfId="0" applyFont="1" applyFill="1" applyBorder="1" applyAlignment="1">
      <alignment horizontal="center"/>
    </xf>
    <xf numFmtId="0" fontId="4" fillId="3" borderId="14" xfId="0" applyFont="1" applyFill="1" applyBorder="1" applyAlignment="1">
      <alignment horizontal="center"/>
    </xf>
    <xf numFmtId="0" fontId="4" fillId="3" borderId="3" xfId="0" applyFont="1" applyFill="1" applyBorder="1"/>
    <xf numFmtId="0" fontId="0" fillId="4" borderId="14" xfId="0" applyFill="1" applyBorder="1" applyAlignment="1">
      <alignment horizontal="center"/>
    </xf>
    <xf numFmtId="2" fontId="11" fillId="4" borderId="14" xfId="0" applyNumberFormat="1" applyFont="1" applyFill="1" applyBorder="1" applyAlignment="1">
      <alignment horizontal="center"/>
    </xf>
    <xf numFmtId="165" fontId="11" fillId="4" borderId="14" xfId="0" applyNumberFormat="1" applyFont="1" applyFill="1" applyBorder="1" applyAlignment="1">
      <alignment horizontal="center"/>
    </xf>
    <xf numFmtId="166" fontId="11" fillId="4" borderId="14" xfId="0" applyNumberFormat="1" applyFont="1" applyFill="1" applyBorder="1" applyAlignment="1">
      <alignment horizontal="center"/>
    </xf>
    <xf numFmtId="164" fontId="11" fillId="4" borderId="14" xfId="0" applyNumberFormat="1" applyFont="1" applyFill="1" applyBorder="1" applyAlignment="1">
      <alignment horizontal="center"/>
    </xf>
    <xf numFmtId="0" fontId="11" fillId="3" borderId="14" xfId="0" applyFont="1" applyFill="1" applyBorder="1" applyAlignment="1">
      <alignment horizontal="center"/>
    </xf>
    <xf numFmtId="2" fontId="1" fillId="4" borderId="14" xfId="0" applyNumberFormat="1" applyFont="1" applyFill="1" applyBorder="1" applyAlignment="1">
      <alignment horizontal="center"/>
    </xf>
    <xf numFmtId="0" fontId="1" fillId="4" borderId="14" xfId="0" applyFont="1" applyFill="1" applyBorder="1" applyAlignment="1">
      <alignment horizontal="center"/>
    </xf>
    <xf numFmtId="0" fontId="1" fillId="3" borderId="14" xfId="0" applyFont="1" applyFill="1" applyBorder="1" applyAlignment="1">
      <alignment horizontal="right"/>
    </xf>
    <xf numFmtId="0" fontId="3" fillId="3" borderId="14" xfId="0" applyFont="1" applyFill="1" applyBorder="1" applyAlignment="1">
      <alignment horizontal="right"/>
    </xf>
    <xf numFmtId="167" fontId="14" fillId="4" borderId="14" xfId="0" applyNumberFormat="1" applyFont="1" applyFill="1" applyBorder="1" applyAlignment="1">
      <alignment horizontal="center"/>
    </xf>
    <xf numFmtId="2" fontId="14" fillId="4" borderId="14" xfId="0" applyNumberFormat="1" applyFont="1" applyFill="1" applyBorder="1" applyAlignment="1">
      <alignment horizontal="center"/>
    </xf>
    <xf numFmtId="0" fontId="14" fillId="4" borderId="14" xfId="0" applyFont="1" applyFill="1" applyBorder="1" applyAlignment="1">
      <alignment horizontal="center"/>
    </xf>
    <xf numFmtId="0" fontId="1" fillId="3" borderId="3" xfId="0" applyFont="1" applyFill="1" applyBorder="1"/>
    <xf numFmtId="0" fontId="1" fillId="3" borderId="0" xfId="0" applyFont="1" applyFill="1"/>
    <xf numFmtId="0" fontId="0" fillId="3" borderId="7" xfId="0" applyFill="1" applyBorder="1"/>
    <xf numFmtId="0" fontId="1" fillId="3" borderId="5" xfId="0" applyFont="1" applyFill="1" applyBorder="1"/>
    <xf numFmtId="0" fontId="7" fillId="2" borderId="0" xfId="0" applyFont="1" applyFill="1" applyAlignment="1">
      <alignment horizontal="center"/>
    </xf>
    <xf numFmtId="0" fontId="18" fillId="3" borderId="10" xfId="0" applyFont="1" applyFill="1" applyBorder="1" applyAlignment="1">
      <alignment horizontal="center"/>
    </xf>
    <xf numFmtId="0" fontId="11" fillId="4" borderId="10" xfId="0" applyFont="1" applyFill="1" applyBorder="1" applyAlignment="1">
      <alignment horizontal="center"/>
    </xf>
    <xf numFmtId="2" fontId="11" fillId="4" borderId="10" xfId="0" applyNumberFormat="1" applyFont="1" applyFill="1" applyBorder="1" applyAlignment="1">
      <alignment horizontal="center"/>
    </xf>
    <xf numFmtId="1" fontId="11" fillId="4" borderId="10" xfId="0" applyNumberFormat="1" applyFont="1" applyFill="1" applyBorder="1" applyAlignment="1">
      <alignment horizontal="center"/>
    </xf>
    <xf numFmtId="0" fontId="11" fillId="4" borderId="0" xfId="0" applyFont="1" applyFill="1" applyAlignment="1">
      <alignment horizontal="center"/>
    </xf>
    <xf numFmtId="0" fontId="1" fillId="2" borderId="0" xfId="0" applyFont="1" applyFill="1" applyAlignment="1">
      <alignment horizontal="right"/>
    </xf>
    <xf numFmtId="165" fontId="11" fillId="2" borderId="0" xfId="0" applyNumberFormat="1" applyFont="1" applyFill="1" applyAlignment="1">
      <alignment horizontal="center"/>
    </xf>
    <xf numFmtId="0" fontId="22" fillId="3" borderId="9" xfId="0" applyFont="1" applyFill="1" applyBorder="1" applyAlignment="1">
      <alignment horizontal="center"/>
    </xf>
    <xf numFmtId="0" fontId="23" fillId="4" borderId="14" xfId="0" applyFont="1" applyFill="1" applyBorder="1" applyAlignment="1">
      <alignment horizontal="center"/>
    </xf>
    <xf numFmtId="167" fontId="11" fillId="4" borderId="14" xfId="0" applyNumberFormat="1" applyFont="1" applyFill="1" applyBorder="1" applyAlignment="1">
      <alignment horizontal="center"/>
    </xf>
    <xf numFmtId="0" fontId="4" fillId="3" borderId="15" xfId="0" applyFont="1" applyFill="1" applyBorder="1" applyAlignment="1">
      <alignment horizontal="center"/>
    </xf>
    <xf numFmtId="0" fontId="4" fillId="3" borderId="12" xfId="0" applyFont="1" applyFill="1" applyBorder="1"/>
    <xf numFmtId="167" fontId="11" fillId="4" borderId="15" xfId="0" applyNumberFormat="1" applyFont="1" applyFill="1" applyBorder="1" applyAlignment="1">
      <alignment horizontal="center"/>
    </xf>
    <xf numFmtId="167" fontId="11" fillId="4" borderId="10" xfId="0" applyNumberFormat="1" applyFont="1" applyFill="1" applyBorder="1" applyAlignment="1">
      <alignment horizontal="center"/>
    </xf>
    <xf numFmtId="167" fontId="11" fillId="4" borderId="9" xfId="0" applyNumberFormat="1" applyFont="1" applyFill="1" applyBorder="1" applyAlignment="1">
      <alignment horizontal="center"/>
    </xf>
    <xf numFmtId="0" fontId="1" fillId="3" borderId="10" xfId="0" applyFont="1" applyFill="1" applyBorder="1" applyAlignment="1">
      <alignment horizontal="right"/>
    </xf>
    <xf numFmtId="0" fontId="1" fillId="3" borderId="9" xfId="0" applyFont="1" applyFill="1" applyBorder="1" applyAlignment="1">
      <alignment horizontal="right"/>
    </xf>
    <xf numFmtId="0" fontId="1" fillId="3" borderId="15" xfId="0" applyFont="1" applyFill="1" applyBorder="1" applyAlignment="1">
      <alignment horizontal="right"/>
    </xf>
    <xf numFmtId="164" fontId="11" fillId="4" borderId="9" xfId="0" applyNumberFormat="1" applyFont="1" applyFill="1" applyBorder="1" applyAlignment="1">
      <alignment horizontal="center"/>
    </xf>
    <xf numFmtId="164" fontId="11" fillId="4" borderId="10" xfId="0" applyNumberFormat="1" applyFont="1" applyFill="1" applyBorder="1" applyAlignment="1">
      <alignment horizontal="center"/>
    </xf>
    <xf numFmtId="164" fontId="11" fillId="4" borderId="15" xfId="0" applyNumberFormat="1" applyFont="1" applyFill="1" applyBorder="1" applyAlignment="1">
      <alignment horizontal="center"/>
    </xf>
    <xf numFmtId="165" fontId="11" fillId="4" borderId="10" xfId="0" applyNumberFormat="1" applyFont="1" applyFill="1" applyBorder="1" applyAlignment="1">
      <alignment horizontal="center"/>
    </xf>
    <xf numFmtId="0" fontId="23" fillId="4" borderId="10" xfId="0" applyFont="1" applyFill="1" applyBorder="1" applyAlignment="1">
      <alignment horizontal="center"/>
    </xf>
    <xf numFmtId="168" fontId="0" fillId="4" borderId="14" xfId="0" applyNumberFormat="1" applyFill="1" applyBorder="1" applyAlignment="1">
      <alignment horizontal="center"/>
    </xf>
    <xf numFmtId="168" fontId="1" fillId="4" borderId="14" xfId="0" applyNumberFormat="1"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504880449914749"/>
          <c:y val="8.9347378877318501E-2"/>
          <c:w val="0.78640900967240868"/>
          <c:h val="0.73539765691331438"/>
        </c:manualLayout>
      </c:layout>
      <c:scatterChart>
        <c:scatterStyle val="lineMarker"/>
        <c:varyColors val="0"/>
        <c:ser>
          <c:idx val="0"/>
          <c:order val="0"/>
          <c:spPr>
            <a:ln w="28575">
              <a:noFill/>
            </a:ln>
          </c:spPr>
          <c:marker>
            <c:symbol val="circle"/>
            <c:size val="4"/>
            <c:spPr>
              <a:solidFill>
                <a:srgbClr val="000000"/>
              </a:solidFill>
              <a:ln>
                <a:solidFill>
                  <a:srgbClr val="000000"/>
                </a:solidFill>
                <a:prstDash val="solid"/>
              </a:ln>
            </c:spPr>
          </c:marker>
          <c:xVal>
            <c:numRef>
              <c:f>'Fitting Equation 11'!$J$9:$J$2009</c:f>
              <c:numCache>
                <c:formatCode>General</c:formatCode>
                <c:ptCount val="20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pt idx="746">
                  <c:v>746</c:v>
                </c:pt>
                <c:pt idx="747">
                  <c:v>747</c:v>
                </c:pt>
                <c:pt idx="748">
                  <c:v>748</c:v>
                </c:pt>
                <c:pt idx="749">
                  <c:v>749</c:v>
                </c:pt>
                <c:pt idx="750">
                  <c:v>750</c:v>
                </c:pt>
                <c:pt idx="751">
                  <c:v>751</c:v>
                </c:pt>
                <c:pt idx="752">
                  <c:v>752</c:v>
                </c:pt>
                <c:pt idx="753">
                  <c:v>753</c:v>
                </c:pt>
                <c:pt idx="754">
                  <c:v>754</c:v>
                </c:pt>
                <c:pt idx="755">
                  <c:v>755</c:v>
                </c:pt>
                <c:pt idx="756">
                  <c:v>756</c:v>
                </c:pt>
                <c:pt idx="757">
                  <c:v>757</c:v>
                </c:pt>
                <c:pt idx="758">
                  <c:v>758</c:v>
                </c:pt>
                <c:pt idx="759">
                  <c:v>759</c:v>
                </c:pt>
                <c:pt idx="760">
                  <c:v>760</c:v>
                </c:pt>
                <c:pt idx="761">
                  <c:v>761</c:v>
                </c:pt>
                <c:pt idx="762">
                  <c:v>762</c:v>
                </c:pt>
                <c:pt idx="763">
                  <c:v>763</c:v>
                </c:pt>
                <c:pt idx="764">
                  <c:v>764</c:v>
                </c:pt>
                <c:pt idx="765">
                  <c:v>765</c:v>
                </c:pt>
                <c:pt idx="766">
                  <c:v>766</c:v>
                </c:pt>
                <c:pt idx="767">
                  <c:v>767</c:v>
                </c:pt>
                <c:pt idx="768">
                  <c:v>768</c:v>
                </c:pt>
                <c:pt idx="769">
                  <c:v>769</c:v>
                </c:pt>
                <c:pt idx="770">
                  <c:v>770</c:v>
                </c:pt>
                <c:pt idx="771">
                  <c:v>771</c:v>
                </c:pt>
                <c:pt idx="772">
                  <c:v>772</c:v>
                </c:pt>
                <c:pt idx="773">
                  <c:v>773</c:v>
                </c:pt>
                <c:pt idx="774">
                  <c:v>774</c:v>
                </c:pt>
                <c:pt idx="775">
                  <c:v>775</c:v>
                </c:pt>
                <c:pt idx="776">
                  <c:v>776</c:v>
                </c:pt>
                <c:pt idx="777">
                  <c:v>777</c:v>
                </c:pt>
                <c:pt idx="778">
                  <c:v>778</c:v>
                </c:pt>
                <c:pt idx="779">
                  <c:v>779</c:v>
                </c:pt>
                <c:pt idx="780">
                  <c:v>780</c:v>
                </c:pt>
                <c:pt idx="781">
                  <c:v>781</c:v>
                </c:pt>
                <c:pt idx="782">
                  <c:v>782</c:v>
                </c:pt>
                <c:pt idx="783">
                  <c:v>783</c:v>
                </c:pt>
                <c:pt idx="784">
                  <c:v>784</c:v>
                </c:pt>
                <c:pt idx="785">
                  <c:v>785</c:v>
                </c:pt>
                <c:pt idx="786">
                  <c:v>786</c:v>
                </c:pt>
                <c:pt idx="787">
                  <c:v>787</c:v>
                </c:pt>
                <c:pt idx="788">
                  <c:v>788</c:v>
                </c:pt>
                <c:pt idx="789">
                  <c:v>789</c:v>
                </c:pt>
                <c:pt idx="790">
                  <c:v>790</c:v>
                </c:pt>
                <c:pt idx="791">
                  <c:v>791</c:v>
                </c:pt>
                <c:pt idx="792">
                  <c:v>792</c:v>
                </c:pt>
                <c:pt idx="793">
                  <c:v>793</c:v>
                </c:pt>
                <c:pt idx="794">
                  <c:v>794</c:v>
                </c:pt>
                <c:pt idx="795">
                  <c:v>795</c:v>
                </c:pt>
                <c:pt idx="796">
                  <c:v>796</c:v>
                </c:pt>
                <c:pt idx="797">
                  <c:v>797</c:v>
                </c:pt>
                <c:pt idx="798">
                  <c:v>798</c:v>
                </c:pt>
                <c:pt idx="799">
                  <c:v>799</c:v>
                </c:pt>
                <c:pt idx="800">
                  <c:v>800</c:v>
                </c:pt>
                <c:pt idx="801">
                  <c:v>801</c:v>
                </c:pt>
                <c:pt idx="802">
                  <c:v>802</c:v>
                </c:pt>
                <c:pt idx="803">
                  <c:v>803</c:v>
                </c:pt>
                <c:pt idx="804">
                  <c:v>804</c:v>
                </c:pt>
                <c:pt idx="805">
                  <c:v>805</c:v>
                </c:pt>
                <c:pt idx="806">
                  <c:v>806</c:v>
                </c:pt>
                <c:pt idx="807">
                  <c:v>807</c:v>
                </c:pt>
                <c:pt idx="808">
                  <c:v>808</c:v>
                </c:pt>
                <c:pt idx="809">
                  <c:v>809</c:v>
                </c:pt>
                <c:pt idx="810">
                  <c:v>810</c:v>
                </c:pt>
                <c:pt idx="811">
                  <c:v>811</c:v>
                </c:pt>
                <c:pt idx="812">
                  <c:v>812</c:v>
                </c:pt>
                <c:pt idx="813">
                  <c:v>813</c:v>
                </c:pt>
                <c:pt idx="814">
                  <c:v>814</c:v>
                </c:pt>
                <c:pt idx="815">
                  <c:v>815</c:v>
                </c:pt>
                <c:pt idx="816">
                  <c:v>816</c:v>
                </c:pt>
                <c:pt idx="817">
                  <c:v>817</c:v>
                </c:pt>
                <c:pt idx="818">
                  <c:v>818</c:v>
                </c:pt>
                <c:pt idx="819">
                  <c:v>819</c:v>
                </c:pt>
                <c:pt idx="820">
                  <c:v>820</c:v>
                </c:pt>
                <c:pt idx="821">
                  <c:v>821</c:v>
                </c:pt>
                <c:pt idx="822">
                  <c:v>822</c:v>
                </c:pt>
                <c:pt idx="823">
                  <c:v>823</c:v>
                </c:pt>
                <c:pt idx="824">
                  <c:v>824</c:v>
                </c:pt>
                <c:pt idx="825">
                  <c:v>825</c:v>
                </c:pt>
                <c:pt idx="826">
                  <c:v>826</c:v>
                </c:pt>
                <c:pt idx="827">
                  <c:v>827</c:v>
                </c:pt>
                <c:pt idx="828">
                  <c:v>828</c:v>
                </c:pt>
                <c:pt idx="829">
                  <c:v>829</c:v>
                </c:pt>
                <c:pt idx="830">
                  <c:v>830</c:v>
                </c:pt>
                <c:pt idx="831">
                  <c:v>831</c:v>
                </c:pt>
                <c:pt idx="832">
                  <c:v>832</c:v>
                </c:pt>
                <c:pt idx="833">
                  <c:v>833</c:v>
                </c:pt>
                <c:pt idx="834">
                  <c:v>834</c:v>
                </c:pt>
                <c:pt idx="835">
                  <c:v>835</c:v>
                </c:pt>
                <c:pt idx="836">
                  <c:v>836</c:v>
                </c:pt>
                <c:pt idx="837">
                  <c:v>837</c:v>
                </c:pt>
                <c:pt idx="838">
                  <c:v>838</c:v>
                </c:pt>
                <c:pt idx="839">
                  <c:v>839</c:v>
                </c:pt>
                <c:pt idx="840">
                  <c:v>840</c:v>
                </c:pt>
                <c:pt idx="841">
                  <c:v>841</c:v>
                </c:pt>
                <c:pt idx="842">
                  <c:v>842</c:v>
                </c:pt>
                <c:pt idx="843">
                  <c:v>843</c:v>
                </c:pt>
                <c:pt idx="844">
                  <c:v>844</c:v>
                </c:pt>
                <c:pt idx="845">
                  <c:v>845</c:v>
                </c:pt>
                <c:pt idx="846">
                  <c:v>846</c:v>
                </c:pt>
                <c:pt idx="847">
                  <c:v>847</c:v>
                </c:pt>
                <c:pt idx="848">
                  <c:v>848</c:v>
                </c:pt>
                <c:pt idx="849">
                  <c:v>849</c:v>
                </c:pt>
                <c:pt idx="850">
                  <c:v>850</c:v>
                </c:pt>
                <c:pt idx="851">
                  <c:v>851</c:v>
                </c:pt>
                <c:pt idx="852">
                  <c:v>852</c:v>
                </c:pt>
                <c:pt idx="853">
                  <c:v>853</c:v>
                </c:pt>
                <c:pt idx="854">
                  <c:v>854</c:v>
                </c:pt>
                <c:pt idx="855">
                  <c:v>855</c:v>
                </c:pt>
                <c:pt idx="856">
                  <c:v>856</c:v>
                </c:pt>
                <c:pt idx="857">
                  <c:v>857</c:v>
                </c:pt>
                <c:pt idx="858">
                  <c:v>858</c:v>
                </c:pt>
                <c:pt idx="859">
                  <c:v>859</c:v>
                </c:pt>
                <c:pt idx="860">
                  <c:v>860</c:v>
                </c:pt>
                <c:pt idx="861">
                  <c:v>861</c:v>
                </c:pt>
                <c:pt idx="862">
                  <c:v>862</c:v>
                </c:pt>
                <c:pt idx="863">
                  <c:v>863</c:v>
                </c:pt>
                <c:pt idx="864">
                  <c:v>864</c:v>
                </c:pt>
                <c:pt idx="865">
                  <c:v>865</c:v>
                </c:pt>
                <c:pt idx="866">
                  <c:v>866</c:v>
                </c:pt>
                <c:pt idx="867">
                  <c:v>867</c:v>
                </c:pt>
                <c:pt idx="868">
                  <c:v>868</c:v>
                </c:pt>
                <c:pt idx="869">
                  <c:v>869</c:v>
                </c:pt>
                <c:pt idx="870">
                  <c:v>870</c:v>
                </c:pt>
                <c:pt idx="871">
                  <c:v>871</c:v>
                </c:pt>
                <c:pt idx="872">
                  <c:v>872</c:v>
                </c:pt>
                <c:pt idx="873">
                  <c:v>873</c:v>
                </c:pt>
                <c:pt idx="874">
                  <c:v>874</c:v>
                </c:pt>
                <c:pt idx="875">
                  <c:v>875</c:v>
                </c:pt>
                <c:pt idx="876">
                  <c:v>876</c:v>
                </c:pt>
                <c:pt idx="877">
                  <c:v>877</c:v>
                </c:pt>
                <c:pt idx="878">
                  <c:v>878</c:v>
                </c:pt>
                <c:pt idx="879">
                  <c:v>879</c:v>
                </c:pt>
                <c:pt idx="880">
                  <c:v>880</c:v>
                </c:pt>
                <c:pt idx="881">
                  <c:v>881</c:v>
                </c:pt>
                <c:pt idx="882">
                  <c:v>882</c:v>
                </c:pt>
                <c:pt idx="883">
                  <c:v>883</c:v>
                </c:pt>
                <c:pt idx="884">
                  <c:v>884</c:v>
                </c:pt>
                <c:pt idx="885">
                  <c:v>885</c:v>
                </c:pt>
                <c:pt idx="886">
                  <c:v>886</c:v>
                </c:pt>
                <c:pt idx="887">
                  <c:v>887</c:v>
                </c:pt>
                <c:pt idx="888">
                  <c:v>888</c:v>
                </c:pt>
                <c:pt idx="889">
                  <c:v>889</c:v>
                </c:pt>
                <c:pt idx="890">
                  <c:v>890</c:v>
                </c:pt>
                <c:pt idx="891">
                  <c:v>891</c:v>
                </c:pt>
                <c:pt idx="892">
                  <c:v>892</c:v>
                </c:pt>
                <c:pt idx="893">
                  <c:v>893</c:v>
                </c:pt>
                <c:pt idx="894">
                  <c:v>894</c:v>
                </c:pt>
                <c:pt idx="895">
                  <c:v>895</c:v>
                </c:pt>
                <c:pt idx="896">
                  <c:v>896</c:v>
                </c:pt>
                <c:pt idx="897">
                  <c:v>897</c:v>
                </c:pt>
                <c:pt idx="898">
                  <c:v>898</c:v>
                </c:pt>
                <c:pt idx="899">
                  <c:v>899</c:v>
                </c:pt>
                <c:pt idx="900">
                  <c:v>900</c:v>
                </c:pt>
                <c:pt idx="901">
                  <c:v>901</c:v>
                </c:pt>
                <c:pt idx="902">
                  <c:v>902</c:v>
                </c:pt>
                <c:pt idx="903">
                  <c:v>903</c:v>
                </c:pt>
                <c:pt idx="904">
                  <c:v>904</c:v>
                </c:pt>
                <c:pt idx="905">
                  <c:v>905</c:v>
                </c:pt>
                <c:pt idx="906">
                  <c:v>906</c:v>
                </c:pt>
                <c:pt idx="907">
                  <c:v>907</c:v>
                </c:pt>
                <c:pt idx="908">
                  <c:v>908</c:v>
                </c:pt>
                <c:pt idx="909">
                  <c:v>909</c:v>
                </c:pt>
                <c:pt idx="910">
                  <c:v>910</c:v>
                </c:pt>
                <c:pt idx="911">
                  <c:v>911</c:v>
                </c:pt>
                <c:pt idx="912">
                  <c:v>912</c:v>
                </c:pt>
                <c:pt idx="913">
                  <c:v>913</c:v>
                </c:pt>
                <c:pt idx="914">
                  <c:v>914</c:v>
                </c:pt>
                <c:pt idx="915">
                  <c:v>915</c:v>
                </c:pt>
                <c:pt idx="916">
                  <c:v>916</c:v>
                </c:pt>
                <c:pt idx="917">
                  <c:v>917</c:v>
                </c:pt>
                <c:pt idx="918">
                  <c:v>918</c:v>
                </c:pt>
                <c:pt idx="919">
                  <c:v>919</c:v>
                </c:pt>
                <c:pt idx="920">
                  <c:v>920</c:v>
                </c:pt>
                <c:pt idx="921">
                  <c:v>921</c:v>
                </c:pt>
                <c:pt idx="922">
                  <c:v>922</c:v>
                </c:pt>
                <c:pt idx="923">
                  <c:v>923</c:v>
                </c:pt>
                <c:pt idx="924">
                  <c:v>924</c:v>
                </c:pt>
                <c:pt idx="925">
                  <c:v>925</c:v>
                </c:pt>
                <c:pt idx="926">
                  <c:v>926</c:v>
                </c:pt>
                <c:pt idx="927">
                  <c:v>927</c:v>
                </c:pt>
                <c:pt idx="928">
                  <c:v>928</c:v>
                </c:pt>
                <c:pt idx="929">
                  <c:v>929</c:v>
                </c:pt>
                <c:pt idx="930">
                  <c:v>930</c:v>
                </c:pt>
                <c:pt idx="931">
                  <c:v>931</c:v>
                </c:pt>
                <c:pt idx="932">
                  <c:v>932</c:v>
                </c:pt>
                <c:pt idx="933">
                  <c:v>933</c:v>
                </c:pt>
                <c:pt idx="934">
                  <c:v>934</c:v>
                </c:pt>
                <c:pt idx="935">
                  <c:v>935</c:v>
                </c:pt>
                <c:pt idx="936">
                  <c:v>936</c:v>
                </c:pt>
                <c:pt idx="937">
                  <c:v>937</c:v>
                </c:pt>
                <c:pt idx="938">
                  <c:v>938</c:v>
                </c:pt>
                <c:pt idx="939">
                  <c:v>939</c:v>
                </c:pt>
                <c:pt idx="940">
                  <c:v>940</c:v>
                </c:pt>
                <c:pt idx="941">
                  <c:v>941</c:v>
                </c:pt>
                <c:pt idx="942">
                  <c:v>942</c:v>
                </c:pt>
                <c:pt idx="943">
                  <c:v>943</c:v>
                </c:pt>
                <c:pt idx="944">
                  <c:v>944</c:v>
                </c:pt>
                <c:pt idx="945">
                  <c:v>945</c:v>
                </c:pt>
                <c:pt idx="946">
                  <c:v>946</c:v>
                </c:pt>
                <c:pt idx="947">
                  <c:v>947</c:v>
                </c:pt>
                <c:pt idx="948">
                  <c:v>948</c:v>
                </c:pt>
                <c:pt idx="949">
                  <c:v>949</c:v>
                </c:pt>
                <c:pt idx="950">
                  <c:v>950</c:v>
                </c:pt>
                <c:pt idx="951">
                  <c:v>951</c:v>
                </c:pt>
                <c:pt idx="952">
                  <c:v>952</c:v>
                </c:pt>
                <c:pt idx="953">
                  <c:v>953</c:v>
                </c:pt>
                <c:pt idx="954">
                  <c:v>954</c:v>
                </c:pt>
                <c:pt idx="955">
                  <c:v>955</c:v>
                </c:pt>
                <c:pt idx="956">
                  <c:v>956</c:v>
                </c:pt>
                <c:pt idx="957">
                  <c:v>957</c:v>
                </c:pt>
                <c:pt idx="958">
                  <c:v>958</c:v>
                </c:pt>
                <c:pt idx="959">
                  <c:v>959</c:v>
                </c:pt>
                <c:pt idx="960">
                  <c:v>960</c:v>
                </c:pt>
                <c:pt idx="961">
                  <c:v>961</c:v>
                </c:pt>
                <c:pt idx="962">
                  <c:v>962</c:v>
                </c:pt>
                <c:pt idx="963">
                  <c:v>963</c:v>
                </c:pt>
                <c:pt idx="964">
                  <c:v>964</c:v>
                </c:pt>
                <c:pt idx="965">
                  <c:v>965</c:v>
                </c:pt>
                <c:pt idx="966">
                  <c:v>966</c:v>
                </c:pt>
                <c:pt idx="967">
                  <c:v>967</c:v>
                </c:pt>
                <c:pt idx="968">
                  <c:v>968</c:v>
                </c:pt>
                <c:pt idx="969">
                  <c:v>969</c:v>
                </c:pt>
                <c:pt idx="970">
                  <c:v>970</c:v>
                </c:pt>
                <c:pt idx="971">
                  <c:v>971</c:v>
                </c:pt>
                <c:pt idx="972">
                  <c:v>972</c:v>
                </c:pt>
                <c:pt idx="973">
                  <c:v>973</c:v>
                </c:pt>
                <c:pt idx="974">
                  <c:v>974</c:v>
                </c:pt>
                <c:pt idx="975">
                  <c:v>975</c:v>
                </c:pt>
                <c:pt idx="976">
                  <c:v>976</c:v>
                </c:pt>
                <c:pt idx="977">
                  <c:v>977</c:v>
                </c:pt>
                <c:pt idx="978">
                  <c:v>978</c:v>
                </c:pt>
                <c:pt idx="979">
                  <c:v>979</c:v>
                </c:pt>
                <c:pt idx="980">
                  <c:v>980</c:v>
                </c:pt>
                <c:pt idx="981">
                  <c:v>981</c:v>
                </c:pt>
                <c:pt idx="982">
                  <c:v>982</c:v>
                </c:pt>
                <c:pt idx="983">
                  <c:v>983</c:v>
                </c:pt>
                <c:pt idx="984">
                  <c:v>984</c:v>
                </c:pt>
                <c:pt idx="985">
                  <c:v>985</c:v>
                </c:pt>
                <c:pt idx="986">
                  <c:v>986</c:v>
                </c:pt>
                <c:pt idx="987">
                  <c:v>987</c:v>
                </c:pt>
                <c:pt idx="988">
                  <c:v>988</c:v>
                </c:pt>
                <c:pt idx="989">
                  <c:v>989</c:v>
                </c:pt>
                <c:pt idx="990">
                  <c:v>990</c:v>
                </c:pt>
                <c:pt idx="991">
                  <c:v>991</c:v>
                </c:pt>
                <c:pt idx="992">
                  <c:v>992</c:v>
                </c:pt>
                <c:pt idx="993">
                  <c:v>993</c:v>
                </c:pt>
                <c:pt idx="994">
                  <c:v>994</c:v>
                </c:pt>
                <c:pt idx="995">
                  <c:v>995</c:v>
                </c:pt>
                <c:pt idx="996">
                  <c:v>996</c:v>
                </c:pt>
                <c:pt idx="997">
                  <c:v>997</c:v>
                </c:pt>
                <c:pt idx="998">
                  <c:v>998</c:v>
                </c:pt>
                <c:pt idx="999">
                  <c:v>999</c:v>
                </c:pt>
                <c:pt idx="1000">
                  <c:v>1000</c:v>
                </c:pt>
                <c:pt idx="1001">
                  <c:v>1001</c:v>
                </c:pt>
                <c:pt idx="1002">
                  <c:v>1002</c:v>
                </c:pt>
                <c:pt idx="1003">
                  <c:v>1003</c:v>
                </c:pt>
                <c:pt idx="1004">
                  <c:v>1004</c:v>
                </c:pt>
                <c:pt idx="1005">
                  <c:v>1005</c:v>
                </c:pt>
                <c:pt idx="1006">
                  <c:v>1006</c:v>
                </c:pt>
                <c:pt idx="1007">
                  <c:v>1007</c:v>
                </c:pt>
                <c:pt idx="1008">
                  <c:v>1008</c:v>
                </c:pt>
                <c:pt idx="1009">
                  <c:v>1009</c:v>
                </c:pt>
                <c:pt idx="1010">
                  <c:v>1010</c:v>
                </c:pt>
                <c:pt idx="1011">
                  <c:v>1011</c:v>
                </c:pt>
                <c:pt idx="1012">
                  <c:v>1012</c:v>
                </c:pt>
                <c:pt idx="1013">
                  <c:v>1013</c:v>
                </c:pt>
                <c:pt idx="1014">
                  <c:v>1014</c:v>
                </c:pt>
                <c:pt idx="1015">
                  <c:v>1015</c:v>
                </c:pt>
                <c:pt idx="1016">
                  <c:v>1016</c:v>
                </c:pt>
                <c:pt idx="1017">
                  <c:v>1017</c:v>
                </c:pt>
                <c:pt idx="1018">
                  <c:v>1018</c:v>
                </c:pt>
                <c:pt idx="1019">
                  <c:v>1019</c:v>
                </c:pt>
                <c:pt idx="1020">
                  <c:v>1020</c:v>
                </c:pt>
                <c:pt idx="1021">
                  <c:v>1021</c:v>
                </c:pt>
                <c:pt idx="1022">
                  <c:v>1022</c:v>
                </c:pt>
                <c:pt idx="1023">
                  <c:v>1023</c:v>
                </c:pt>
                <c:pt idx="1024">
                  <c:v>1024</c:v>
                </c:pt>
                <c:pt idx="1025">
                  <c:v>1025</c:v>
                </c:pt>
                <c:pt idx="1026">
                  <c:v>1026</c:v>
                </c:pt>
                <c:pt idx="1027">
                  <c:v>1027</c:v>
                </c:pt>
                <c:pt idx="1028">
                  <c:v>1028</c:v>
                </c:pt>
                <c:pt idx="1029">
                  <c:v>1029</c:v>
                </c:pt>
                <c:pt idx="1030">
                  <c:v>1030</c:v>
                </c:pt>
                <c:pt idx="1031">
                  <c:v>1031</c:v>
                </c:pt>
                <c:pt idx="1032">
                  <c:v>1032</c:v>
                </c:pt>
                <c:pt idx="1033">
                  <c:v>1033</c:v>
                </c:pt>
                <c:pt idx="1034">
                  <c:v>1034</c:v>
                </c:pt>
                <c:pt idx="1035">
                  <c:v>1035</c:v>
                </c:pt>
                <c:pt idx="1036">
                  <c:v>1036</c:v>
                </c:pt>
                <c:pt idx="1037">
                  <c:v>1037</c:v>
                </c:pt>
                <c:pt idx="1038">
                  <c:v>1038</c:v>
                </c:pt>
                <c:pt idx="1039">
                  <c:v>1039</c:v>
                </c:pt>
                <c:pt idx="1040">
                  <c:v>1040</c:v>
                </c:pt>
                <c:pt idx="1041">
                  <c:v>1041</c:v>
                </c:pt>
                <c:pt idx="1042">
                  <c:v>1042</c:v>
                </c:pt>
                <c:pt idx="1043">
                  <c:v>1043</c:v>
                </c:pt>
                <c:pt idx="1044">
                  <c:v>1044</c:v>
                </c:pt>
                <c:pt idx="1045">
                  <c:v>1045</c:v>
                </c:pt>
                <c:pt idx="1046">
                  <c:v>1046</c:v>
                </c:pt>
                <c:pt idx="1047">
                  <c:v>1047</c:v>
                </c:pt>
                <c:pt idx="1048">
                  <c:v>1048</c:v>
                </c:pt>
                <c:pt idx="1049">
                  <c:v>1049</c:v>
                </c:pt>
                <c:pt idx="1050">
                  <c:v>1050</c:v>
                </c:pt>
                <c:pt idx="1051">
                  <c:v>1051</c:v>
                </c:pt>
                <c:pt idx="1052">
                  <c:v>1052</c:v>
                </c:pt>
                <c:pt idx="1053">
                  <c:v>1053</c:v>
                </c:pt>
                <c:pt idx="1054">
                  <c:v>1054</c:v>
                </c:pt>
                <c:pt idx="1055">
                  <c:v>1055</c:v>
                </c:pt>
                <c:pt idx="1056">
                  <c:v>1056</c:v>
                </c:pt>
                <c:pt idx="1057">
                  <c:v>1057</c:v>
                </c:pt>
                <c:pt idx="1058">
                  <c:v>1058</c:v>
                </c:pt>
                <c:pt idx="1059">
                  <c:v>1059</c:v>
                </c:pt>
                <c:pt idx="1060">
                  <c:v>1060</c:v>
                </c:pt>
                <c:pt idx="1061">
                  <c:v>1061</c:v>
                </c:pt>
                <c:pt idx="1062">
                  <c:v>1062</c:v>
                </c:pt>
                <c:pt idx="1063">
                  <c:v>1063</c:v>
                </c:pt>
                <c:pt idx="1064">
                  <c:v>1064</c:v>
                </c:pt>
                <c:pt idx="1065">
                  <c:v>1065</c:v>
                </c:pt>
                <c:pt idx="1066">
                  <c:v>1066</c:v>
                </c:pt>
                <c:pt idx="1067">
                  <c:v>1067</c:v>
                </c:pt>
                <c:pt idx="1068">
                  <c:v>1068</c:v>
                </c:pt>
                <c:pt idx="1069">
                  <c:v>1069</c:v>
                </c:pt>
                <c:pt idx="1070">
                  <c:v>1070</c:v>
                </c:pt>
                <c:pt idx="1071">
                  <c:v>1071</c:v>
                </c:pt>
                <c:pt idx="1072">
                  <c:v>1072</c:v>
                </c:pt>
                <c:pt idx="1073">
                  <c:v>1073</c:v>
                </c:pt>
                <c:pt idx="1074">
                  <c:v>1074</c:v>
                </c:pt>
                <c:pt idx="1075">
                  <c:v>1075</c:v>
                </c:pt>
                <c:pt idx="1076">
                  <c:v>1076</c:v>
                </c:pt>
                <c:pt idx="1077">
                  <c:v>1077</c:v>
                </c:pt>
                <c:pt idx="1078">
                  <c:v>1078</c:v>
                </c:pt>
                <c:pt idx="1079">
                  <c:v>1079</c:v>
                </c:pt>
                <c:pt idx="1080">
                  <c:v>1080</c:v>
                </c:pt>
                <c:pt idx="1081">
                  <c:v>1081</c:v>
                </c:pt>
                <c:pt idx="1082">
                  <c:v>1082</c:v>
                </c:pt>
                <c:pt idx="1083">
                  <c:v>1083</c:v>
                </c:pt>
                <c:pt idx="1084">
                  <c:v>1084</c:v>
                </c:pt>
                <c:pt idx="1085">
                  <c:v>1085</c:v>
                </c:pt>
                <c:pt idx="1086">
                  <c:v>1086</c:v>
                </c:pt>
                <c:pt idx="1087">
                  <c:v>1087</c:v>
                </c:pt>
                <c:pt idx="1088">
                  <c:v>1088</c:v>
                </c:pt>
                <c:pt idx="1089">
                  <c:v>1089</c:v>
                </c:pt>
                <c:pt idx="1090">
                  <c:v>1090</c:v>
                </c:pt>
                <c:pt idx="1091">
                  <c:v>1091</c:v>
                </c:pt>
                <c:pt idx="1092">
                  <c:v>1092</c:v>
                </c:pt>
                <c:pt idx="1093">
                  <c:v>1093</c:v>
                </c:pt>
                <c:pt idx="1094">
                  <c:v>1094</c:v>
                </c:pt>
                <c:pt idx="1095">
                  <c:v>1095</c:v>
                </c:pt>
                <c:pt idx="1096">
                  <c:v>1096</c:v>
                </c:pt>
                <c:pt idx="1097">
                  <c:v>1097</c:v>
                </c:pt>
                <c:pt idx="1098">
                  <c:v>1098</c:v>
                </c:pt>
                <c:pt idx="1099">
                  <c:v>1099</c:v>
                </c:pt>
                <c:pt idx="1100">
                  <c:v>1100</c:v>
                </c:pt>
                <c:pt idx="1101">
                  <c:v>1101</c:v>
                </c:pt>
                <c:pt idx="1102">
                  <c:v>1102</c:v>
                </c:pt>
                <c:pt idx="1103">
                  <c:v>1103</c:v>
                </c:pt>
                <c:pt idx="1104">
                  <c:v>1104</c:v>
                </c:pt>
                <c:pt idx="1105">
                  <c:v>1105</c:v>
                </c:pt>
                <c:pt idx="1106">
                  <c:v>1106</c:v>
                </c:pt>
                <c:pt idx="1107">
                  <c:v>1107</c:v>
                </c:pt>
                <c:pt idx="1108">
                  <c:v>1108</c:v>
                </c:pt>
                <c:pt idx="1109">
                  <c:v>1109</c:v>
                </c:pt>
                <c:pt idx="1110">
                  <c:v>1110</c:v>
                </c:pt>
                <c:pt idx="1111">
                  <c:v>1111</c:v>
                </c:pt>
                <c:pt idx="1112">
                  <c:v>1112</c:v>
                </c:pt>
                <c:pt idx="1113">
                  <c:v>1113</c:v>
                </c:pt>
                <c:pt idx="1114">
                  <c:v>1114</c:v>
                </c:pt>
                <c:pt idx="1115">
                  <c:v>1115</c:v>
                </c:pt>
                <c:pt idx="1116">
                  <c:v>1116</c:v>
                </c:pt>
                <c:pt idx="1117">
                  <c:v>1117</c:v>
                </c:pt>
                <c:pt idx="1118">
                  <c:v>1118</c:v>
                </c:pt>
                <c:pt idx="1119">
                  <c:v>1119</c:v>
                </c:pt>
                <c:pt idx="1120">
                  <c:v>1120</c:v>
                </c:pt>
                <c:pt idx="1121">
                  <c:v>1121</c:v>
                </c:pt>
                <c:pt idx="1122">
                  <c:v>1122</c:v>
                </c:pt>
                <c:pt idx="1123">
                  <c:v>1123</c:v>
                </c:pt>
                <c:pt idx="1124">
                  <c:v>1124</c:v>
                </c:pt>
                <c:pt idx="1125">
                  <c:v>1125</c:v>
                </c:pt>
                <c:pt idx="1126">
                  <c:v>1126</c:v>
                </c:pt>
                <c:pt idx="1127">
                  <c:v>1127</c:v>
                </c:pt>
                <c:pt idx="1128">
                  <c:v>1128</c:v>
                </c:pt>
                <c:pt idx="1129">
                  <c:v>1129</c:v>
                </c:pt>
                <c:pt idx="1130">
                  <c:v>1130</c:v>
                </c:pt>
                <c:pt idx="1131">
                  <c:v>1131</c:v>
                </c:pt>
                <c:pt idx="1132">
                  <c:v>1132</c:v>
                </c:pt>
                <c:pt idx="1133">
                  <c:v>1133</c:v>
                </c:pt>
                <c:pt idx="1134">
                  <c:v>1134</c:v>
                </c:pt>
                <c:pt idx="1135">
                  <c:v>1135</c:v>
                </c:pt>
                <c:pt idx="1136">
                  <c:v>1136</c:v>
                </c:pt>
                <c:pt idx="1137">
                  <c:v>1137</c:v>
                </c:pt>
                <c:pt idx="1138">
                  <c:v>1138</c:v>
                </c:pt>
                <c:pt idx="1139">
                  <c:v>1139</c:v>
                </c:pt>
                <c:pt idx="1140">
                  <c:v>1140</c:v>
                </c:pt>
                <c:pt idx="1141">
                  <c:v>1141</c:v>
                </c:pt>
                <c:pt idx="1142">
                  <c:v>1142</c:v>
                </c:pt>
                <c:pt idx="1143">
                  <c:v>1143</c:v>
                </c:pt>
                <c:pt idx="1144">
                  <c:v>1144</c:v>
                </c:pt>
                <c:pt idx="1145">
                  <c:v>1145</c:v>
                </c:pt>
                <c:pt idx="1146">
                  <c:v>1146</c:v>
                </c:pt>
                <c:pt idx="1147">
                  <c:v>1147</c:v>
                </c:pt>
                <c:pt idx="1148">
                  <c:v>1148</c:v>
                </c:pt>
                <c:pt idx="1149">
                  <c:v>1149</c:v>
                </c:pt>
                <c:pt idx="1150">
                  <c:v>1150</c:v>
                </c:pt>
                <c:pt idx="1151">
                  <c:v>1151</c:v>
                </c:pt>
                <c:pt idx="1152">
                  <c:v>1152</c:v>
                </c:pt>
                <c:pt idx="1153">
                  <c:v>1153</c:v>
                </c:pt>
                <c:pt idx="1154">
                  <c:v>1154</c:v>
                </c:pt>
                <c:pt idx="1155">
                  <c:v>1155</c:v>
                </c:pt>
                <c:pt idx="1156">
                  <c:v>1156</c:v>
                </c:pt>
                <c:pt idx="1157">
                  <c:v>1157</c:v>
                </c:pt>
                <c:pt idx="1158">
                  <c:v>1158</c:v>
                </c:pt>
                <c:pt idx="1159">
                  <c:v>1159</c:v>
                </c:pt>
                <c:pt idx="1160">
                  <c:v>1160</c:v>
                </c:pt>
                <c:pt idx="1161">
                  <c:v>1161</c:v>
                </c:pt>
                <c:pt idx="1162">
                  <c:v>1162</c:v>
                </c:pt>
                <c:pt idx="1163">
                  <c:v>1163</c:v>
                </c:pt>
                <c:pt idx="1164">
                  <c:v>1164</c:v>
                </c:pt>
                <c:pt idx="1165">
                  <c:v>1165</c:v>
                </c:pt>
                <c:pt idx="1166">
                  <c:v>1166</c:v>
                </c:pt>
                <c:pt idx="1167">
                  <c:v>1167</c:v>
                </c:pt>
                <c:pt idx="1168">
                  <c:v>1168</c:v>
                </c:pt>
                <c:pt idx="1169">
                  <c:v>1169</c:v>
                </c:pt>
                <c:pt idx="1170">
                  <c:v>1170</c:v>
                </c:pt>
                <c:pt idx="1171">
                  <c:v>1171</c:v>
                </c:pt>
                <c:pt idx="1172">
                  <c:v>1172</c:v>
                </c:pt>
                <c:pt idx="1173">
                  <c:v>1173</c:v>
                </c:pt>
                <c:pt idx="1174">
                  <c:v>1174</c:v>
                </c:pt>
                <c:pt idx="1175">
                  <c:v>1175</c:v>
                </c:pt>
                <c:pt idx="1176">
                  <c:v>1176</c:v>
                </c:pt>
                <c:pt idx="1177">
                  <c:v>1177</c:v>
                </c:pt>
                <c:pt idx="1178">
                  <c:v>1178</c:v>
                </c:pt>
                <c:pt idx="1179">
                  <c:v>1179</c:v>
                </c:pt>
                <c:pt idx="1180">
                  <c:v>1180</c:v>
                </c:pt>
                <c:pt idx="1181">
                  <c:v>1181</c:v>
                </c:pt>
                <c:pt idx="1182">
                  <c:v>1182</c:v>
                </c:pt>
                <c:pt idx="1183">
                  <c:v>1183</c:v>
                </c:pt>
                <c:pt idx="1184">
                  <c:v>1184</c:v>
                </c:pt>
                <c:pt idx="1185">
                  <c:v>1185</c:v>
                </c:pt>
                <c:pt idx="1186">
                  <c:v>1186</c:v>
                </c:pt>
                <c:pt idx="1187">
                  <c:v>1187</c:v>
                </c:pt>
                <c:pt idx="1188">
                  <c:v>1188</c:v>
                </c:pt>
                <c:pt idx="1189">
                  <c:v>1189</c:v>
                </c:pt>
                <c:pt idx="1190">
                  <c:v>1190</c:v>
                </c:pt>
                <c:pt idx="1191">
                  <c:v>1191</c:v>
                </c:pt>
                <c:pt idx="1192">
                  <c:v>1192</c:v>
                </c:pt>
                <c:pt idx="1193">
                  <c:v>1193</c:v>
                </c:pt>
                <c:pt idx="1194">
                  <c:v>1194</c:v>
                </c:pt>
                <c:pt idx="1195">
                  <c:v>1195</c:v>
                </c:pt>
                <c:pt idx="1196">
                  <c:v>1196</c:v>
                </c:pt>
                <c:pt idx="1197">
                  <c:v>1197</c:v>
                </c:pt>
                <c:pt idx="1198">
                  <c:v>1198</c:v>
                </c:pt>
                <c:pt idx="1199">
                  <c:v>1199</c:v>
                </c:pt>
                <c:pt idx="1200">
                  <c:v>1200</c:v>
                </c:pt>
                <c:pt idx="1201">
                  <c:v>1201</c:v>
                </c:pt>
                <c:pt idx="1202">
                  <c:v>1202</c:v>
                </c:pt>
                <c:pt idx="1203">
                  <c:v>1203</c:v>
                </c:pt>
                <c:pt idx="1204">
                  <c:v>1204</c:v>
                </c:pt>
                <c:pt idx="1205">
                  <c:v>1205</c:v>
                </c:pt>
                <c:pt idx="1206">
                  <c:v>1206</c:v>
                </c:pt>
                <c:pt idx="1207">
                  <c:v>1207</c:v>
                </c:pt>
                <c:pt idx="1208">
                  <c:v>1208</c:v>
                </c:pt>
                <c:pt idx="1209">
                  <c:v>1209</c:v>
                </c:pt>
                <c:pt idx="1210">
                  <c:v>1210</c:v>
                </c:pt>
                <c:pt idx="1211">
                  <c:v>1211</c:v>
                </c:pt>
                <c:pt idx="1212">
                  <c:v>1212</c:v>
                </c:pt>
                <c:pt idx="1213">
                  <c:v>1213</c:v>
                </c:pt>
                <c:pt idx="1214">
                  <c:v>1214</c:v>
                </c:pt>
                <c:pt idx="1215">
                  <c:v>1215</c:v>
                </c:pt>
                <c:pt idx="1216">
                  <c:v>1216</c:v>
                </c:pt>
                <c:pt idx="1217">
                  <c:v>1217</c:v>
                </c:pt>
                <c:pt idx="1218">
                  <c:v>1218</c:v>
                </c:pt>
                <c:pt idx="1219">
                  <c:v>1219</c:v>
                </c:pt>
                <c:pt idx="1220">
                  <c:v>1220</c:v>
                </c:pt>
                <c:pt idx="1221">
                  <c:v>1221</c:v>
                </c:pt>
                <c:pt idx="1222">
                  <c:v>1222</c:v>
                </c:pt>
                <c:pt idx="1223">
                  <c:v>1223</c:v>
                </c:pt>
                <c:pt idx="1224">
                  <c:v>1224</c:v>
                </c:pt>
                <c:pt idx="1225">
                  <c:v>1225</c:v>
                </c:pt>
                <c:pt idx="1226">
                  <c:v>1226</c:v>
                </c:pt>
                <c:pt idx="1227">
                  <c:v>1227</c:v>
                </c:pt>
                <c:pt idx="1228">
                  <c:v>1228</c:v>
                </c:pt>
                <c:pt idx="1229">
                  <c:v>1229</c:v>
                </c:pt>
                <c:pt idx="1230">
                  <c:v>1230</c:v>
                </c:pt>
                <c:pt idx="1231">
                  <c:v>1231</c:v>
                </c:pt>
                <c:pt idx="1232">
                  <c:v>1232</c:v>
                </c:pt>
                <c:pt idx="1233">
                  <c:v>1233</c:v>
                </c:pt>
                <c:pt idx="1234">
                  <c:v>1234</c:v>
                </c:pt>
                <c:pt idx="1235">
                  <c:v>1235</c:v>
                </c:pt>
                <c:pt idx="1236">
                  <c:v>1236</c:v>
                </c:pt>
                <c:pt idx="1237">
                  <c:v>1237</c:v>
                </c:pt>
                <c:pt idx="1238">
                  <c:v>1238</c:v>
                </c:pt>
                <c:pt idx="1239">
                  <c:v>1239</c:v>
                </c:pt>
                <c:pt idx="1240">
                  <c:v>1240</c:v>
                </c:pt>
                <c:pt idx="1241">
                  <c:v>1241</c:v>
                </c:pt>
                <c:pt idx="1242">
                  <c:v>1242</c:v>
                </c:pt>
                <c:pt idx="1243">
                  <c:v>1243</c:v>
                </c:pt>
                <c:pt idx="1244">
                  <c:v>1244</c:v>
                </c:pt>
                <c:pt idx="1245">
                  <c:v>1245</c:v>
                </c:pt>
                <c:pt idx="1246">
                  <c:v>1246</c:v>
                </c:pt>
                <c:pt idx="1247">
                  <c:v>1247</c:v>
                </c:pt>
                <c:pt idx="1248">
                  <c:v>1248</c:v>
                </c:pt>
                <c:pt idx="1249">
                  <c:v>1249</c:v>
                </c:pt>
                <c:pt idx="1250">
                  <c:v>1250</c:v>
                </c:pt>
                <c:pt idx="1251">
                  <c:v>1251</c:v>
                </c:pt>
                <c:pt idx="1252">
                  <c:v>1252</c:v>
                </c:pt>
                <c:pt idx="1253">
                  <c:v>1253</c:v>
                </c:pt>
                <c:pt idx="1254">
                  <c:v>1254</c:v>
                </c:pt>
                <c:pt idx="1255">
                  <c:v>1255</c:v>
                </c:pt>
                <c:pt idx="1256">
                  <c:v>1256</c:v>
                </c:pt>
                <c:pt idx="1257">
                  <c:v>1257</c:v>
                </c:pt>
                <c:pt idx="1258">
                  <c:v>1258</c:v>
                </c:pt>
                <c:pt idx="1259">
                  <c:v>1259</c:v>
                </c:pt>
                <c:pt idx="1260">
                  <c:v>1260</c:v>
                </c:pt>
                <c:pt idx="1261">
                  <c:v>1261</c:v>
                </c:pt>
                <c:pt idx="1262">
                  <c:v>1262</c:v>
                </c:pt>
                <c:pt idx="1263">
                  <c:v>1263</c:v>
                </c:pt>
                <c:pt idx="1264">
                  <c:v>1264</c:v>
                </c:pt>
                <c:pt idx="1265">
                  <c:v>1265</c:v>
                </c:pt>
                <c:pt idx="1266">
                  <c:v>1266</c:v>
                </c:pt>
                <c:pt idx="1267">
                  <c:v>1267</c:v>
                </c:pt>
                <c:pt idx="1268">
                  <c:v>1268</c:v>
                </c:pt>
                <c:pt idx="1269">
                  <c:v>1269</c:v>
                </c:pt>
                <c:pt idx="1270">
                  <c:v>1270</c:v>
                </c:pt>
                <c:pt idx="1271">
                  <c:v>1271</c:v>
                </c:pt>
                <c:pt idx="1272">
                  <c:v>1272</c:v>
                </c:pt>
                <c:pt idx="1273">
                  <c:v>1273</c:v>
                </c:pt>
                <c:pt idx="1274">
                  <c:v>1274</c:v>
                </c:pt>
                <c:pt idx="1275">
                  <c:v>1275</c:v>
                </c:pt>
                <c:pt idx="1276">
                  <c:v>1276</c:v>
                </c:pt>
                <c:pt idx="1277">
                  <c:v>1277</c:v>
                </c:pt>
                <c:pt idx="1278">
                  <c:v>1278</c:v>
                </c:pt>
                <c:pt idx="1279">
                  <c:v>1279</c:v>
                </c:pt>
                <c:pt idx="1280">
                  <c:v>1280</c:v>
                </c:pt>
                <c:pt idx="1281">
                  <c:v>1281</c:v>
                </c:pt>
                <c:pt idx="1282">
                  <c:v>1282</c:v>
                </c:pt>
                <c:pt idx="1283">
                  <c:v>1283</c:v>
                </c:pt>
                <c:pt idx="1284">
                  <c:v>1284</c:v>
                </c:pt>
                <c:pt idx="1285">
                  <c:v>1285</c:v>
                </c:pt>
                <c:pt idx="1286">
                  <c:v>1286</c:v>
                </c:pt>
                <c:pt idx="1287">
                  <c:v>1287</c:v>
                </c:pt>
                <c:pt idx="1288">
                  <c:v>1288</c:v>
                </c:pt>
                <c:pt idx="1289">
                  <c:v>1289</c:v>
                </c:pt>
                <c:pt idx="1290">
                  <c:v>1290</c:v>
                </c:pt>
                <c:pt idx="1291">
                  <c:v>1291</c:v>
                </c:pt>
                <c:pt idx="1292">
                  <c:v>1292</c:v>
                </c:pt>
                <c:pt idx="1293">
                  <c:v>1293</c:v>
                </c:pt>
                <c:pt idx="1294">
                  <c:v>1294</c:v>
                </c:pt>
                <c:pt idx="1295">
                  <c:v>1295</c:v>
                </c:pt>
                <c:pt idx="1296">
                  <c:v>1296</c:v>
                </c:pt>
                <c:pt idx="1297">
                  <c:v>1297</c:v>
                </c:pt>
                <c:pt idx="1298">
                  <c:v>1298</c:v>
                </c:pt>
                <c:pt idx="1299">
                  <c:v>1299</c:v>
                </c:pt>
                <c:pt idx="1300">
                  <c:v>1300</c:v>
                </c:pt>
                <c:pt idx="1301">
                  <c:v>1301</c:v>
                </c:pt>
                <c:pt idx="1302">
                  <c:v>1302</c:v>
                </c:pt>
                <c:pt idx="1303">
                  <c:v>1303</c:v>
                </c:pt>
                <c:pt idx="1304">
                  <c:v>1304</c:v>
                </c:pt>
                <c:pt idx="1305">
                  <c:v>1305</c:v>
                </c:pt>
                <c:pt idx="1306">
                  <c:v>1306</c:v>
                </c:pt>
                <c:pt idx="1307">
                  <c:v>1307</c:v>
                </c:pt>
                <c:pt idx="1308">
                  <c:v>1308</c:v>
                </c:pt>
                <c:pt idx="1309">
                  <c:v>1309</c:v>
                </c:pt>
                <c:pt idx="1310">
                  <c:v>1310</c:v>
                </c:pt>
                <c:pt idx="1311">
                  <c:v>1311</c:v>
                </c:pt>
                <c:pt idx="1312">
                  <c:v>1312</c:v>
                </c:pt>
                <c:pt idx="1313">
                  <c:v>1313</c:v>
                </c:pt>
                <c:pt idx="1314">
                  <c:v>1314</c:v>
                </c:pt>
                <c:pt idx="1315">
                  <c:v>1315</c:v>
                </c:pt>
                <c:pt idx="1316">
                  <c:v>1316</c:v>
                </c:pt>
                <c:pt idx="1317">
                  <c:v>1317</c:v>
                </c:pt>
                <c:pt idx="1318">
                  <c:v>1318</c:v>
                </c:pt>
                <c:pt idx="1319">
                  <c:v>1319</c:v>
                </c:pt>
                <c:pt idx="1320">
                  <c:v>1320</c:v>
                </c:pt>
                <c:pt idx="1321">
                  <c:v>1321</c:v>
                </c:pt>
                <c:pt idx="1322">
                  <c:v>1322</c:v>
                </c:pt>
                <c:pt idx="1323">
                  <c:v>1323</c:v>
                </c:pt>
                <c:pt idx="1324">
                  <c:v>1324</c:v>
                </c:pt>
                <c:pt idx="1325">
                  <c:v>1325</c:v>
                </c:pt>
                <c:pt idx="1326">
                  <c:v>1326</c:v>
                </c:pt>
                <c:pt idx="1327">
                  <c:v>1327</c:v>
                </c:pt>
                <c:pt idx="1328">
                  <c:v>1328</c:v>
                </c:pt>
                <c:pt idx="1329">
                  <c:v>1329</c:v>
                </c:pt>
                <c:pt idx="1330">
                  <c:v>1330</c:v>
                </c:pt>
                <c:pt idx="1331">
                  <c:v>1331</c:v>
                </c:pt>
                <c:pt idx="1332">
                  <c:v>1332</c:v>
                </c:pt>
                <c:pt idx="1333">
                  <c:v>1333</c:v>
                </c:pt>
                <c:pt idx="1334">
                  <c:v>1334</c:v>
                </c:pt>
                <c:pt idx="1335">
                  <c:v>1335</c:v>
                </c:pt>
                <c:pt idx="1336">
                  <c:v>1336</c:v>
                </c:pt>
                <c:pt idx="1337">
                  <c:v>1337</c:v>
                </c:pt>
                <c:pt idx="1338">
                  <c:v>1338</c:v>
                </c:pt>
                <c:pt idx="1339">
                  <c:v>1339</c:v>
                </c:pt>
                <c:pt idx="1340">
                  <c:v>1340</c:v>
                </c:pt>
                <c:pt idx="1341">
                  <c:v>1341</c:v>
                </c:pt>
                <c:pt idx="1342">
                  <c:v>1342</c:v>
                </c:pt>
                <c:pt idx="1343">
                  <c:v>1343</c:v>
                </c:pt>
                <c:pt idx="1344">
                  <c:v>1344</c:v>
                </c:pt>
                <c:pt idx="1345">
                  <c:v>1345</c:v>
                </c:pt>
                <c:pt idx="1346">
                  <c:v>1346</c:v>
                </c:pt>
                <c:pt idx="1347">
                  <c:v>1347</c:v>
                </c:pt>
                <c:pt idx="1348">
                  <c:v>1348</c:v>
                </c:pt>
                <c:pt idx="1349">
                  <c:v>1349</c:v>
                </c:pt>
                <c:pt idx="1350">
                  <c:v>1350</c:v>
                </c:pt>
                <c:pt idx="1351">
                  <c:v>1351</c:v>
                </c:pt>
                <c:pt idx="1352">
                  <c:v>1352</c:v>
                </c:pt>
                <c:pt idx="1353">
                  <c:v>1353</c:v>
                </c:pt>
                <c:pt idx="1354">
                  <c:v>1354</c:v>
                </c:pt>
                <c:pt idx="1355">
                  <c:v>1355</c:v>
                </c:pt>
                <c:pt idx="1356">
                  <c:v>1356</c:v>
                </c:pt>
                <c:pt idx="1357">
                  <c:v>1357</c:v>
                </c:pt>
                <c:pt idx="1358">
                  <c:v>1358</c:v>
                </c:pt>
                <c:pt idx="1359">
                  <c:v>1359</c:v>
                </c:pt>
                <c:pt idx="1360">
                  <c:v>1360</c:v>
                </c:pt>
                <c:pt idx="1361">
                  <c:v>1361</c:v>
                </c:pt>
                <c:pt idx="1362">
                  <c:v>1362</c:v>
                </c:pt>
                <c:pt idx="1363">
                  <c:v>1363</c:v>
                </c:pt>
                <c:pt idx="1364">
                  <c:v>1364</c:v>
                </c:pt>
                <c:pt idx="1365">
                  <c:v>1365</c:v>
                </c:pt>
                <c:pt idx="1366">
                  <c:v>1366</c:v>
                </c:pt>
                <c:pt idx="1367">
                  <c:v>1367</c:v>
                </c:pt>
                <c:pt idx="1368">
                  <c:v>1368</c:v>
                </c:pt>
                <c:pt idx="1369">
                  <c:v>1369</c:v>
                </c:pt>
                <c:pt idx="1370">
                  <c:v>1370</c:v>
                </c:pt>
                <c:pt idx="1371">
                  <c:v>1371</c:v>
                </c:pt>
                <c:pt idx="1372">
                  <c:v>1372</c:v>
                </c:pt>
                <c:pt idx="1373">
                  <c:v>1373</c:v>
                </c:pt>
                <c:pt idx="1374">
                  <c:v>1374</c:v>
                </c:pt>
                <c:pt idx="1375">
                  <c:v>1375</c:v>
                </c:pt>
                <c:pt idx="1376">
                  <c:v>1376</c:v>
                </c:pt>
                <c:pt idx="1377">
                  <c:v>1377</c:v>
                </c:pt>
                <c:pt idx="1378">
                  <c:v>1378</c:v>
                </c:pt>
                <c:pt idx="1379">
                  <c:v>1379</c:v>
                </c:pt>
                <c:pt idx="1380">
                  <c:v>1380</c:v>
                </c:pt>
                <c:pt idx="1381">
                  <c:v>1381</c:v>
                </c:pt>
                <c:pt idx="1382">
                  <c:v>1382</c:v>
                </c:pt>
                <c:pt idx="1383">
                  <c:v>1383</c:v>
                </c:pt>
                <c:pt idx="1384">
                  <c:v>1384</c:v>
                </c:pt>
                <c:pt idx="1385">
                  <c:v>1385</c:v>
                </c:pt>
                <c:pt idx="1386">
                  <c:v>1386</c:v>
                </c:pt>
                <c:pt idx="1387">
                  <c:v>1387</c:v>
                </c:pt>
                <c:pt idx="1388">
                  <c:v>1388</c:v>
                </c:pt>
                <c:pt idx="1389">
                  <c:v>1389</c:v>
                </c:pt>
                <c:pt idx="1390">
                  <c:v>1390</c:v>
                </c:pt>
                <c:pt idx="1391">
                  <c:v>1391</c:v>
                </c:pt>
                <c:pt idx="1392">
                  <c:v>1392</c:v>
                </c:pt>
                <c:pt idx="1393">
                  <c:v>1393</c:v>
                </c:pt>
                <c:pt idx="1394">
                  <c:v>1394</c:v>
                </c:pt>
                <c:pt idx="1395">
                  <c:v>1395</c:v>
                </c:pt>
                <c:pt idx="1396">
                  <c:v>1396</c:v>
                </c:pt>
                <c:pt idx="1397">
                  <c:v>1397</c:v>
                </c:pt>
                <c:pt idx="1398">
                  <c:v>1398</c:v>
                </c:pt>
                <c:pt idx="1399">
                  <c:v>1399</c:v>
                </c:pt>
                <c:pt idx="1400">
                  <c:v>1400</c:v>
                </c:pt>
                <c:pt idx="1401">
                  <c:v>1401</c:v>
                </c:pt>
                <c:pt idx="1402">
                  <c:v>1402</c:v>
                </c:pt>
                <c:pt idx="1403">
                  <c:v>1403</c:v>
                </c:pt>
                <c:pt idx="1404">
                  <c:v>1404</c:v>
                </c:pt>
                <c:pt idx="1405">
                  <c:v>1405</c:v>
                </c:pt>
                <c:pt idx="1406">
                  <c:v>1406</c:v>
                </c:pt>
                <c:pt idx="1407">
                  <c:v>1407</c:v>
                </c:pt>
                <c:pt idx="1408">
                  <c:v>1408</c:v>
                </c:pt>
                <c:pt idx="1409">
                  <c:v>1409</c:v>
                </c:pt>
                <c:pt idx="1410">
                  <c:v>1410</c:v>
                </c:pt>
                <c:pt idx="1411">
                  <c:v>1411</c:v>
                </c:pt>
                <c:pt idx="1412">
                  <c:v>1412</c:v>
                </c:pt>
                <c:pt idx="1413">
                  <c:v>1413</c:v>
                </c:pt>
                <c:pt idx="1414">
                  <c:v>1414</c:v>
                </c:pt>
                <c:pt idx="1415">
                  <c:v>1415</c:v>
                </c:pt>
                <c:pt idx="1416">
                  <c:v>1416</c:v>
                </c:pt>
                <c:pt idx="1417">
                  <c:v>1417</c:v>
                </c:pt>
                <c:pt idx="1418">
                  <c:v>1418</c:v>
                </c:pt>
                <c:pt idx="1419">
                  <c:v>1419</c:v>
                </c:pt>
                <c:pt idx="1420">
                  <c:v>1420</c:v>
                </c:pt>
                <c:pt idx="1421">
                  <c:v>1421</c:v>
                </c:pt>
                <c:pt idx="1422">
                  <c:v>1422</c:v>
                </c:pt>
                <c:pt idx="1423">
                  <c:v>1423</c:v>
                </c:pt>
                <c:pt idx="1424">
                  <c:v>1424</c:v>
                </c:pt>
                <c:pt idx="1425">
                  <c:v>1425</c:v>
                </c:pt>
                <c:pt idx="1426">
                  <c:v>1426</c:v>
                </c:pt>
                <c:pt idx="1427">
                  <c:v>1427</c:v>
                </c:pt>
                <c:pt idx="1428">
                  <c:v>1428</c:v>
                </c:pt>
                <c:pt idx="1429">
                  <c:v>1429</c:v>
                </c:pt>
                <c:pt idx="1430">
                  <c:v>1430</c:v>
                </c:pt>
                <c:pt idx="1431">
                  <c:v>1431</c:v>
                </c:pt>
                <c:pt idx="1432">
                  <c:v>1432</c:v>
                </c:pt>
                <c:pt idx="1433">
                  <c:v>1433</c:v>
                </c:pt>
                <c:pt idx="1434">
                  <c:v>1434</c:v>
                </c:pt>
                <c:pt idx="1435">
                  <c:v>1435</c:v>
                </c:pt>
                <c:pt idx="1436">
                  <c:v>1436</c:v>
                </c:pt>
                <c:pt idx="1437">
                  <c:v>1437</c:v>
                </c:pt>
                <c:pt idx="1438">
                  <c:v>1438</c:v>
                </c:pt>
                <c:pt idx="1439">
                  <c:v>1439</c:v>
                </c:pt>
                <c:pt idx="1440">
                  <c:v>1440</c:v>
                </c:pt>
                <c:pt idx="1441">
                  <c:v>1441</c:v>
                </c:pt>
                <c:pt idx="1442">
                  <c:v>1442</c:v>
                </c:pt>
                <c:pt idx="1443">
                  <c:v>1443</c:v>
                </c:pt>
                <c:pt idx="1444">
                  <c:v>1444</c:v>
                </c:pt>
                <c:pt idx="1445">
                  <c:v>1445</c:v>
                </c:pt>
                <c:pt idx="1446">
                  <c:v>1446</c:v>
                </c:pt>
                <c:pt idx="1447">
                  <c:v>1447</c:v>
                </c:pt>
                <c:pt idx="1448">
                  <c:v>1448</c:v>
                </c:pt>
                <c:pt idx="1449">
                  <c:v>1449</c:v>
                </c:pt>
                <c:pt idx="1450">
                  <c:v>1450</c:v>
                </c:pt>
                <c:pt idx="1451">
                  <c:v>1451</c:v>
                </c:pt>
                <c:pt idx="1452">
                  <c:v>1452</c:v>
                </c:pt>
                <c:pt idx="1453">
                  <c:v>1453</c:v>
                </c:pt>
                <c:pt idx="1454">
                  <c:v>1454</c:v>
                </c:pt>
                <c:pt idx="1455">
                  <c:v>1455</c:v>
                </c:pt>
                <c:pt idx="1456">
                  <c:v>1456</c:v>
                </c:pt>
                <c:pt idx="1457">
                  <c:v>1457</c:v>
                </c:pt>
                <c:pt idx="1458">
                  <c:v>1458</c:v>
                </c:pt>
                <c:pt idx="1459">
                  <c:v>1459</c:v>
                </c:pt>
                <c:pt idx="1460">
                  <c:v>1460</c:v>
                </c:pt>
                <c:pt idx="1461">
                  <c:v>1461</c:v>
                </c:pt>
                <c:pt idx="1462">
                  <c:v>1462</c:v>
                </c:pt>
                <c:pt idx="1463">
                  <c:v>1463</c:v>
                </c:pt>
                <c:pt idx="1464">
                  <c:v>1464</c:v>
                </c:pt>
                <c:pt idx="1465">
                  <c:v>1465</c:v>
                </c:pt>
                <c:pt idx="1466">
                  <c:v>1466</c:v>
                </c:pt>
                <c:pt idx="1467">
                  <c:v>1467</c:v>
                </c:pt>
                <c:pt idx="1468">
                  <c:v>1468</c:v>
                </c:pt>
                <c:pt idx="1469">
                  <c:v>1469</c:v>
                </c:pt>
                <c:pt idx="1470">
                  <c:v>1470</c:v>
                </c:pt>
                <c:pt idx="1471">
                  <c:v>1471</c:v>
                </c:pt>
                <c:pt idx="1472">
                  <c:v>1472</c:v>
                </c:pt>
                <c:pt idx="1473">
                  <c:v>1473</c:v>
                </c:pt>
                <c:pt idx="1474">
                  <c:v>1474</c:v>
                </c:pt>
                <c:pt idx="1475">
                  <c:v>1475</c:v>
                </c:pt>
                <c:pt idx="1476">
                  <c:v>1476</c:v>
                </c:pt>
                <c:pt idx="1477">
                  <c:v>1477</c:v>
                </c:pt>
                <c:pt idx="1478">
                  <c:v>1478</c:v>
                </c:pt>
                <c:pt idx="1479">
                  <c:v>1479</c:v>
                </c:pt>
                <c:pt idx="1480">
                  <c:v>1480</c:v>
                </c:pt>
                <c:pt idx="1481">
                  <c:v>1481</c:v>
                </c:pt>
                <c:pt idx="1482">
                  <c:v>1482</c:v>
                </c:pt>
                <c:pt idx="1483">
                  <c:v>1483</c:v>
                </c:pt>
                <c:pt idx="1484">
                  <c:v>1484</c:v>
                </c:pt>
                <c:pt idx="1485">
                  <c:v>1485</c:v>
                </c:pt>
                <c:pt idx="1486">
                  <c:v>1486</c:v>
                </c:pt>
                <c:pt idx="1487">
                  <c:v>1487</c:v>
                </c:pt>
                <c:pt idx="1488">
                  <c:v>1488</c:v>
                </c:pt>
                <c:pt idx="1489">
                  <c:v>1489</c:v>
                </c:pt>
                <c:pt idx="1490">
                  <c:v>1490</c:v>
                </c:pt>
                <c:pt idx="1491">
                  <c:v>1491</c:v>
                </c:pt>
                <c:pt idx="1492">
                  <c:v>1492</c:v>
                </c:pt>
                <c:pt idx="1493">
                  <c:v>1493</c:v>
                </c:pt>
                <c:pt idx="1494">
                  <c:v>1494</c:v>
                </c:pt>
                <c:pt idx="1495">
                  <c:v>1495</c:v>
                </c:pt>
                <c:pt idx="1496">
                  <c:v>1496</c:v>
                </c:pt>
                <c:pt idx="1497">
                  <c:v>1497</c:v>
                </c:pt>
                <c:pt idx="1498">
                  <c:v>1498</c:v>
                </c:pt>
                <c:pt idx="1499">
                  <c:v>1499</c:v>
                </c:pt>
                <c:pt idx="1500">
                  <c:v>1500</c:v>
                </c:pt>
                <c:pt idx="1501">
                  <c:v>1501</c:v>
                </c:pt>
                <c:pt idx="1502">
                  <c:v>1502</c:v>
                </c:pt>
                <c:pt idx="1503">
                  <c:v>1503</c:v>
                </c:pt>
                <c:pt idx="1504">
                  <c:v>1504</c:v>
                </c:pt>
                <c:pt idx="1505">
                  <c:v>1505</c:v>
                </c:pt>
                <c:pt idx="1506">
                  <c:v>1506</c:v>
                </c:pt>
                <c:pt idx="1507">
                  <c:v>1507</c:v>
                </c:pt>
                <c:pt idx="1508">
                  <c:v>1508</c:v>
                </c:pt>
                <c:pt idx="1509">
                  <c:v>1509</c:v>
                </c:pt>
                <c:pt idx="1510">
                  <c:v>1510</c:v>
                </c:pt>
                <c:pt idx="1511">
                  <c:v>1511</c:v>
                </c:pt>
                <c:pt idx="1512">
                  <c:v>1512</c:v>
                </c:pt>
                <c:pt idx="1513">
                  <c:v>1513</c:v>
                </c:pt>
                <c:pt idx="1514">
                  <c:v>1514</c:v>
                </c:pt>
                <c:pt idx="1515">
                  <c:v>1515</c:v>
                </c:pt>
                <c:pt idx="1516">
                  <c:v>1516</c:v>
                </c:pt>
                <c:pt idx="1517">
                  <c:v>1517</c:v>
                </c:pt>
                <c:pt idx="1518">
                  <c:v>1518</c:v>
                </c:pt>
                <c:pt idx="1519">
                  <c:v>1519</c:v>
                </c:pt>
                <c:pt idx="1520">
                  <c:v>1520</c:v>
                </c:pt>
                <c:pt idx="1521">
                  <c:v>1521</c:v>
                </c:pt>
                <c:pt idx="1522">
                  <c:v>1522</c:v>
                </c:pt>
                <c:pt idx="1523">
                  <c:v>1523</c:v>
                </c:pt>
                <c:pt idx="1524">
                  <c:v>1524</c:v>
                </c:pt>
                <c:pt idx="1525">
                  <c:v>1525</c:v>
                </c:pt>
                <c:pt idx="1526">
                  <c:v>1526</c:v>
                </c:pt>
                <c:pt idx="1527">
                  <c:v>1527</c:v>
                </c:pt>
                <c:pt idx="1528">
                  <c:v>1528</c:v>
                </c:pt>
                <c:pt idx="1529">
                  <c:v>1529</c:v>
                </c:pt>
                <c:pt idx="1530">
                  <c:v>1530</c:v>
                </c:pt>
                <c:pt idx="1531">
                  <c:v>1531</c:v>
                </c:pt>
                <c:pt idx="1532">
                  <c:v>1532</c:v>
                </c:pt>
                <c:pt idx="1533">
                  <c:v>1533</c:v>
                </c:pt>
                <c:pt idx="1534">
                  <c:v>1534</c:v>
                </c:pt>
                <c:pt idx="1535">
                  <c:v>1535</c:v>
                </c:pt>
                <c:pt idx="1536">
                  <c:v>1536</c:v>
                </c:pt>
                <c:pt idx="1537">
                  <c:v>1537</c:v>
                </c:pt>
                <c:pt idx="1538">
                  <c:v>1538</c:v>
                </c:pt>
                <c:pt idx="1539">
                  <c:v>1539</c:v>
                </c:pt>
                <c:pt idx="1540">
                  <c:v>1540</c:v>
                </c:pt>
                <c:pt idx="1541">
                  <c:v>1541</c:v>
                </c:pt>
                <c:pt idx="1542">
                  <c:v>1542</c:v>
                </c:pt>
                <c:pt idx="1543">
                  <c:v>1543</c:v>
                </c:pt>
                <c:pt idx="1544">
                  <c:v>1544</c:v>
                </c:pt>
                <c:pt idx="1545">
                  <c:v>1545</c:v>
                </c:pt>
                <c:pt idx="1546">
                  <c:v>1546</c:v>
                </c:pt>
                <c:pt idx="1547">
                  <c:v>1547</c:v>
                </c:pt>
                <c:pt idx="1548">
                  <c:v>1548</c:v>
                </c:pt>
                <c:pt idx="1549">
                  <c:v>1549</c:v>
                </c:pt>
                <c:pt idx="1550">
                  <c:v>1550</c:v>
                </c:pt>
                <c:pt idx="1551">
                  <c:v>1551</c:v>
                </c:pt>
                <c:pt idx="1552">
                  <c:v>1552</c:v>
                </c:pt>
                <c:pt idx="1553">
                  <c:v>1553</c:v>
                </c:pt>
                <c:pt idx="1554">
                  <c:v>1554</c:v>
                </c:pt>
                <c:pt idx="1555">
                  <c:v>1555</c:v>
                </c:pt>
                <c:pt idx="1556">
                  <c:v>1556</c:v>
                </c:pt>
                <c:pt idx="1557">
                  <c:v>1557</c:v>
                </c:pt>
                <c:pt idx="1558">
                  <c:v>1558</c:v>
                </c:pt>
                <c:pt idx="1559">
                  <c:v>1559</c:v>
                </c:pt>
                <c:pt idx="1560">
                  <c:v>1560</c:v>
                </c:pt>
                <c:pt idx="1561">
                  <c:v>1561</c:v>
                </c:pt>
                <c:pt idx="1562">
                  <c:v>1562</c:v>
                </c:pt>
                <c:pt idx="1563">
                  <c:v>1563</c:v>
                </c:pt>
                <c:pt idx="1564">
                  <c:v>1564</c:v>
                </c:pt>
                <c:pt idx="1565">
                  <c:v>1565</c:v>
                </c:pt>
                <c:pt idx="1566">
                  <c:v>1566</c:v>
                </c:pt>
                <c:pt idx="1567">
                  <c:v>1567</c:v>
                </c:pt>
                <c:pt idx="1568">
                  <c:v>1568</c:v>
                </c:pt>
                <c:pt idx="1569">
                  <c:v>1569</c:v>
                </c:pt>
                <c:pt idx="1570">
                  <c:v>1570</c:v>
                </c:pt>
                <c:pt idx="1571">
                  <c:v>1571</c:v>
                </c:pt>
                <c:pt idx="1572">
                  <c:v>1572</c:v>
                </c:pt>
                <c:pt idx="1573">
                  <c:v>1573</c:v>
                </c:pt>
                <c:pt idx="1574">
                  <c:v>1574</c:v>
                </c:pt>
                <c:pt idx="1575">
                  <c:v>1575</c:v>
                </c:pt>
                <c:pt idx="1576">
                  <c:v>1576</c:v>
                </c:pt>
                <c:pt idx="1577">
                  <c:v>1577</c:v>
                </c:pt>
                <c:pt idx="1578">
                  <c:v>1578</c:v>
                </c:pt>
                <c:pt idx="1579">
                  <c:v>1579</c:v>
                </c:pt>
                <c:pt idx="1580">
                  <c:v>1580</c:v>
                </c:pt>
                <c:pt idx="1581">
                  <c:v>1581</c:v>
                </c:pt>
                <c:pt idx="1582">
                  <c:v>1582</c:v>
                </c:pt>
                <c:pt idx="1583">
                  <c:v>1583</c:v>
                </c:pt>
                <c:pt idx="1584">
                  <c:v>1584</c:v>
                </c:pt>
                <c:pt idx="1585">
                  <c:v>1585</c:v>
                </c:pt>
                <c:pt idx="1586">
                  <c:v>1586</c:v>
                </c:pt>
                <c:pt idx="1587">
                  <c:v>1587</c:v>
                </c:pt>
                <c:pt idx="1588">
                  <c:v>1588</c:v>
                </c:pt>
                <c:pt idx="1589">
                  <c:v>1589</c:v>
                </c:pt>
                <c:pt idx="1590">
                  <c:v>1590</c:v>
                </c:pt>
                <c:pt idx="1591">
                  <c:v>1591</c:v>
                </c:pt>
                <c:pt idx="1592">
                  <c:v>1592</c:v>
                </c:pt>
                <c:pt idx="1593">
                  <c:v>1593</c:v>
                </c:pt>
                <c:pt idx="1594">
                  <c:v>1594</c:v>
                </c:pt>
                <c:pt idx="1595">
                  <c:v>1595</c:v>
                </c:pt>
                <c:pt idx="1596">
                  <c:v>1596</c:v>
                </c:pt>
                <c:pt idx="1597">
                  <c:v>1597</c:v>
                </c:pt>
                <c:pt idx="1598">
                  <c:v>1598</c:v>
                </c:pt>
                <c:pt idx="1599">
                  <c:v>1599</c:v>
                </c:pt>
                <c:pt idx="1600">
                  <c:v>1600</c:v>
                </c:pt>
                <c:pt idx="1601">
                  <c:v>1601</c:v>
                </c:pt>
                <c:pt idx="1602">
                  <c:v>1602</c:v>
                </c:pt>
                <c:pt idx="1603">
                  <c:v>1603</c:v>
                </c:pt>
                <c:pt idx="1604">
                  <c:v>1604</c:v>
                </c:pt>
                <c:pt idx="1605">
                  <c:v>1605</c:v>
                </c:pt>
                <c:pt idx="1606">
                  <c:v>1606</c:v>
                </c:pt>
                <c:pt idx="1607">
                  <c:v>1607</c:v>
                </c:pt>
                <c:pt idx="1608">
                  <c:v>1608</c:v>
                </c:pt>
                <c:pt idx="1609">
                  <c:v>1609</c:v>
                </c:pt>
                <c:pt idx="1610">
                  <c:v>1610</c:v>
                </c:pt>
                <c:pt idx="1611">
                  <c:v>1611</c:v>
                </c:pt>
                <c:pt idx="1612">
                  <c:v>1612</c:v>
                </c:pt>
                <c:pt idx="1613">
                  <c:v>1613</c:v>
                </c:pt>
                <c:pt idx="1614">
                  <c:v>1614</c:v>
                </c:pt>
                <c:pt idx="1615">
                  <c:v>1615</c:v>
                </c:pt>
                <c:pt idx="1616">
                  <c:v>1616</c:v>
                </c:pt>
                <c:pt idx="1617">
                  <c:v>1617</c:v>
                </c:pt>
                <c:pt idx="1618">
                  <c:v>1618</c:v>
                </c:pt>
                <c:pt idx="1619">
                  <c:v>1619</c:v>
                </c:pt>
                <c:pt idx="1620">
                  <c:v>1620</c:v>
                </c:pt>
                <c:pt idx="1621">
                  <c:v>1621</c:v>
                </c:pt>
                <c:pt idx="1622">
                  <c:v>1622</c:v>
                </c:pt>
                <c:pt idx="1623">
                  <c:v>1623</c:v>
                </c:pt>
                <c:pt idx="1624">
                  <c:v>1624</c:v>
                </c:pt>
                <c:pt idx="1625">
                  <c:v>1625</c:v>
                </c:pt>
                <c:pt idx="1626">
                  <c:v>1626</c:v>
                </c:pt>
                <c:pt idx="1627">
                  <c:v>1627</c:v>
                </c:pt>
                <c:pt idx="1628">
                  <c:v>1628</c:v>
                </c:pt>
                <c:pt idx="1629">
                  <c:v>1629</c:v>
                </c:pt>
                <c:pt idx="1630">
                  <c:v>1630</c:v>
                </c:pt>
                <c:pt idx="1631">
                  <c:v>1631</c:v>
                </c:pt>
                <c:pt idx="1632">
                  <c:v>1632</c:v>
                </c:pt>
                <c:pt idx="1633">
                  <c:v>1633</c:v>
                </c:pt>
                <c:pt idx="1634">
                  <c:v>1634</c:v>
                </c:pt>
                <c:pt idx="1635">
                  <c:v>1635</c:v>
                </c:pt>
                <c:pt idx="1636">
                  <c:v>1636</c:v>
                </c:pt>
                <c:pt idx="1637">
                  <c:v>1637</c:v>
                </c:pt>
                <c:pt idx="1638">
                  <c:v>1638</c:v>
                </c:pt>
                <c:pt idx="1639">
                  <c:v>1639</c:v>
                </c:pt>
                <c:pt idx="1640">
                  <c:v>1640</c:v>
                </c:pt>
                <c:pt idx="1641">
                  <c:v>1641</c:v>
                </c:pt>
                <c:pt idx="1642">
                  <c:v>1642</c:v>
                </c:pt>
                <c:pt idx="1643">
                  <c:v>1643</c:v>
                </c:pt>
                <c:pt idx="1644">
                  <c:v>1644</c:v>
                </c:pt>
                <c:pt idx="1645">
                  <c:v>1645</c:v>
                </c:pt>
                <c:pt idx="1646">
                  <c:v>1646</c:v>
                </c:pt>
                <c:pt idx="1647">
                  <c:v>1647</c:v>
                </c:pt>
                <c:pt idx="1648">
                  <c:v>1648</c:v>
                </c:pt>
                <c:pt idx="1649">
                  <c:v>1649</c:v>
                </c:pt>
                <c:pt idx="1650">
                  <c:v>1650</c:v>
                </c:pt>
                <c:pt idx="1651">
                  <c:v>1651</c:v>
                </c:pt>
                <c:pt idx="1652">
                  <c:v>1652</c:v>
                </c:pt>
                <c:pt idx="1653">
                  <c:v>1653</c:v>
                </c:pt>
                <c:pt idx="1654">
                  <c:v>1654</c:v>
                </c:pt>
                <c:pt idx="1655">
                  <c:v>1655</c:v>
                </c:pt>
                <c:pt idx="1656">
                  <c:v>1656</c:v>
                </c:pt>
                <c:pt idx="1657">
                  <c:v>1657</c:v>
                </c:pt>
                <c:pt idx="1658">
                  <c:v>1658</c:v>
                </c:pt>
                <c:pt idx="1659">
                  <c:v>1659</c:v>
                </c:pt>
                <c:pt idx="1660">
                  <c:v>1660</c:v>
                </c:pt>
                <c:pt idx="1661">
                  <c:v>1661</c:v>
                </c:pt>
                <c:pt idx="1662">
                  <c:v>1662</c:v>
                </c:pt>
                <c:pt idx="1663">
                  <c:v>1663</c:v>
                </c:pt>
                <c:pt idx="1664">
                  <c:v>1664</c:v>
                </c:pt>
                <c:pt idx="1665">
                  <c:v>1665</c:v>
                </c:pt>
                <c:pt idx="1666">
                  <c:v>1666</c:v>
                </c:pt>
                <c:pt idx="1667">
                  <c:v>1667</c:v>
                </c:pt>
                <c:pt idx="1668">
                  <c:v>1668</c:v>
                </c:pt>
                <c:pt idx="1669">
                  <c:v>1669</c:v>
                </c:pt>
                <c:pt idx="1670">
                  <c:v>1670</c:v>
                </c:pt>
                <c:pt idx="1671">
                  <c:v>1671</c:v>
                </c:pt>
                <c:pt idx="1672">
                  <c:v>1672</c:v>
                </c:pt>
                <c:pt idx="1673">
                  <c:v>1673</c:v>
                </c:pt>
                <c:pt idx="1674">
                  <c:v>1674</c:v>
                </c:pt>
                <c:pt idx="1675">
                  <c:v>1675</c:v>
                </c:pt>
                <c:pt idx="1676">
                  <c:v>1676</c:v>
                </c:pt>
                <c:pt idx="1677">
                  <c:v>1677</c:v>
                </c:pt>
                <c:pt idx="1678">
                  <c:v>1678</c:v>
                </c:pt>
                <c:pt idx="1679">
                  <c:v>1679</c:v>
                </c:pt>
                <c:pt idx="1680">
                  <c:v>1680</c:v>
                </c:pt>
                <c:pt idx="1681">
                  <c:v>1681</c:v>
                </c:pt>
                <c:pt idx="1682">
                  <c:v>1682</c:v>
                </c:pt>
                <c:pt idx="1683">
                  <c:v>1683</c:v>
                </c:pt>
                <c:pt idx="1684">
                  <c:v>1684</c:v>
                </c:pt>
                <c:pt idx="1685">
                  <c:v>1685</c:v>
                </c:pt>
                <c:pt idx="1686">
                  <c:v>1686</c:v>
                </c:pt>
                <c:pt idx="1687">
                  <c:v>1687</c:v>
                </c:pt>
                <c:pt idx="1688">
                  <c:v>1688</c:v>
                </c:pt>
                <c:pt idx="1689">
                  <c:v>1689</c:v>
                </c:pt>
                <c:pt idx="1690">
                  <c:v>1690</c:v>
                </c:pt>
                <c:pt idx="1691">
                  <c:v>1691</c:v>
                </c:pt>
                <c:pt idx="1692">
                  <c:v>1692</c:v>
                </c:pt>
                <c:pt idx="1693">
                  <c:v>1693</c:v>
                </c:pt>
                <c:pt idx="1694">
                  <c:v>1694</c:v>
                </c:pt>
                <c:pt idx="1695">
                  <c:v>1695</c:v>
                </c:pt>
                <c:pt idx="1696">
                  <c:v>1696</c:v>
                </c:pt>
                <c:pt idx="1697">
                  <c:v>1697</c:v>
                </c:pt>
                <c:pt idx="1698">
                  <c:v>1698</c:v>
                </c:pt>
                <c:pt idx="1699">
                  <c:v>1699</c:v>
                </c:pt>
                <c:pt idx="1700">
                  <c:v>1700</c:v>
                </c:pt>
                <c:pt idx="1701">
                  <c:v>1701</c:v>
                </c:pt>
                <c:pt idx="1702">
                  <c:v>1702</c:v>
                </c:pt>
                <c:pt idx="1703">
                  <c:v>1703</c:v>
                </c:pt>
                <c:pt idx="1704">
                  <c:v>1704</c:v>
                </c:pt>
                <c:pt idx="1705">
                  <c:v>1705</c:v>
                </c:pt>
                <c:pt idx="1706">
                  <c:v>1706</c:v>
                </c:pt>
                <c:pt idx="1707">
                  <c:v>1707</c:v>
                </c:pt>
                <c:pt idx="1708">
                  <c:v>1708</c:v>
                </c:pt>
                <c:pt idx="1709">
                  <c:v>1709</c:v>
                </c:pt>
                <c:pt idx="1710">
                  <c:v>1710</c:v>
                </c:pt>
                <c:pt idx="1711">
                  <c:v>1711</c:v>
                </c:pt>
                <c:pt idx="1712">
                  <c:v>1712</c:v>
                </c:pt>
                <c:pt idx="1713">
                  <c:v>1713</c:v>
                </c:pt>
                <c:pt idx="1714">
                  <c:v>1714</c:v>
                </c:pt>
                <c:pt idx="1715">
                  <c:v>1715</c:v>
                </c:pt>
                <c:pt idx="1716">
                  <c:v>1716</c:v>
                </c:pt>
                <c:pt idx="1717">
                  <c:v>1717</c:v>
                </c:pt>
                <c:pt idx="1718">
                  <c:v>1718</c:v>
                </c:pt>
                <c:pt idx="1719">
                  <c:v>1719</c:v>
                </c:pt>
                <c:pt idx="1720">
                  <c:v>1720</c:v>
                </c:pt>
                <c:pt idx="1721">
                  <c:v>1721</c:v>
                </c:pt>
                <c:pt idx="1722">
                  <c:v>1722</c:v>
                </c:pt>
                <c:pt idx="1723">
                  <c:v>1723</c:v>
                </c:pt>
                <c:pt idx="1724">
                  <c:v>1724</c:v>
                </c:pt>
                <c:pt idx="1725">
                  <c:v>1725</c:v>
                </c:pt>
                <c:pt idx="1726">
                  <c:v>1726</c:v>
                </c:pt>
                <c:pt idx="1727">
                  <c:v>1727</c:v>
                </c:pt>
                <c:pt idx="1728">
                  <c:v>1728</c:v>
                </c:pt>
                <c:pt idx="1729">
                  <c:v>1729</c:v>
                </c:pt>
                <c:pt idx="1730">
                  <c:v>1730</c:v>
                </c:pt>
                <c:pt idx="1731">
                  <c:v>1731</c:v>
                </c:pt>
                <c:pt idx="1732">
                  <c:v>1732</c:v>
                </c:pt>
                <c:pt idx="1733">
                  <c:v>1733</c:v>
                </c:pt>
                <c:pt idx="1734">
                  <c:v>1734</c:v>
                </c:pt>
                <c:pt idx="1735">
                  <c:v>1735</c:v>
                </c:pt>
                <c:pt idx="1736">
                  <c:v>1736</c:v>
                </c:pt>
                <c:pt idx="1737">
                  <c:v>1737</c:v>
                </c:pt>
                <c:pt idx="1738">
                  <c:v>1738</c:v>
                </c:pt>
                <c:pt idx="1739">
                  <c:v>1739</c:v>
                </c:pt>
                <c:pt idx="1740">
                  <c:v>1740</c:v>
                </c:pt>
                <c:pt idx="1741">
                  <c:v>1741</c:v>
                </c:pt>
                <c:pt idx="1742">
                  <c:v>1742</c:v>
                </c:pt>
                <c:pt idx="1743">
                  <c:v>1743</c:v>
                </c:pt>
                <c:pt idx="1744">
                  <c:v>1744</c:v>
                </c:pt>
                <c:pt idx="1745">
                  <c:v>1745</c:v>
                </c:pt>
                <c:pt idx="1746">
                  <c:v>1746</c:v>
                </c:pt>
                <c:pt idx="1747">
                  <c:v>1747</c:v>
                </c:pt>
                <c:pt idx="1748">
                  <c:v>1748</c:v>
                </c:pt>
                <c:pt idx="1749">
                  <c:v>1749</c:v>
                </c:pt>
                <c:pt idx="1750">
                  <c:v>1750</c:v>
                </c:pt>
                <c:pt idx="1751">
                  <c:v>1751</c:v>
                </c:pt>
                <c:pt idx="1752">
                  <c:v>1752</c:v>
                </c:pt>
                <c:pt idx="1753">
                  <c:v>1753</c:v>
                </c:pt>
                <c:pt idx="1754">
                  <c:v>1754</c:v>
                </c:pt>
                <c:pt idx="1755">
                  <c:v>1755</c:v>
                </c:pt>
                <c:pt idx="1756">
                  <c:v>1756</c:v>
                </c:pt>
                <c:pt idx="1757">
                  <c:v>1757</c:v>
                </c:pt>
                <c:pt idx="1758">
                  <c:v>1758</c:v>
                </c:pt>
                <c:pt idx="1759">
                  <c:v>1759</c:v>
                </c:pt>
                <c:pt idx="1760">
                  <c:v>1760</c:v>
                </c:pt>
                <c:pt idx="1761">
                  <c:v>1761</c:v>
                </c:pt>
                <c:pt idx="1762">
                  <c:v>1762</c:v>
                </c:pt>
                <c:pt idx="1763">
                  <c:v>1763</c:v>
                </c:pt>
                <c:pt idx="1764">
                  <c:v>1764</c:v>
                </c:pt>
                <c:pt idx="1765">
                  <c:v>1765</c:v>
                </c:pt>
                <c:pt idx="1766">
                  <c:v>1766</c:v>
                </c:pt>
                <c:pt idx="1767">
                  <c:v>1767</c:v>
                </c:pt>
                <c:pt idx="1768">
                  <c:v>1768</c:v>
                </c:pt>
                <c:pt idx="1769">
                  <c:v>1769</c:v>
                </c:pt>
                <c:pt idx="1770">
                  <c:v>1770</c:v>
                </c:pt>
                <c:pt idx="1771">
                  <c:v>1771</c:v>
                </c:pt>
                <c:pt idx="1772">
                  <c:v>1772</c:v>
                </c:pt>
                <c:pt idx="1773">
                  <c:v>1773</c:v>
                </c:pt>
                <c:pt idx="1774">
                  <c:v>1774</c:v>
                </c:pt>
                <c:pt idx="1775">
                  <c:v>1775</c:v>
                </c:pt>
                <c:pt idx="1776">
                  <c:v>1776</c:v>
                </c:pt>
                <c:pt idx="1777">
                  <c:v>1777</c:v>
                </c:pt>
                <c:pt idx="1778">
                  <c:v>1778</c:v>
                </c:pt>
                <c:pt idx="1779">
                  <c:v>1779</c:v>
                </c:pt>
                <c:pt idx="1780">
                  <c:v>1780</c:v>
                </c:pt>
                <c:pt idx="1781">
                  <c:v>1781</c:v>
                </c:pt>
                <c:pt idx="1782">
                  <c:v>1782</c:v>
                </c:pt>
                <c:pt idx="1783">
                  <c:v>1783</c:v>
                </c:pt>
                <c:pt idx="1784">
                  <c:v>1784</c:v>
                </c:pt>
                <c:pt idx="1785">
                  <c:v>1785</c:v>
                </c:pt>
                <c:pt idx="1786">
                  <c:v>1786</c:v>
                </c:pt>
                <c:pt idx="1787">
                  <c:v>1787</c:v>
                </c:pt>
                <c:pt idx="1788">
                  <c:v>1788</c:v>
                </c:pt>
                <c:pt idx="1789">
                  <c:v>1789</c:v>
                </c:pt>
                <c:pt idx="1790">
                  <c:v>1790</c:v>
                </c:pt>
                <c:pt idx="1791">
                  <c:v>1791</c:v>
                </c:pt>
                <c:pt idx="1792">
                  <c:v>1792</c:v>
                </c:pt>
                <c:pt idx="1793">
                  <c:v>1793</c:v>
                </c:pt>
                <c:pt idx="1794">
                  <c:v>1794</c:v>
                </c:pt>
                <c:pt idx="1795">
                  <c:v>1795</c:v>
                </c:pt>
                <c:pt idx="1796">
                  <c:v>1796</c:v>
                </c:pt>
                <c:pt idx="1797">
                  <c:v>1797</c:v>
                </c:pt>
                <c:pt idx="1798">
                  <c:v>1798</c:v>
                </c:pt>
                <c:pt idx="1799">
                  <c:v>1799</c:v>
                </c:pt>
                <c:pt idx="1800">
                  <c:v>1800</c:v>
                </c:pt>
                <c:pt idx="1801">
                  <c:v>1801</c:v>
                </c:pt>
                <c:pt idx="1802">
                  <c:v>1802</c:v>
                </c:pt>
                <c:pt idx="1803">
                  <c:v>1803</c:v>
                </c:pt>
                <c:pt idx="1804">
                  <c:v>1804</c:v>
                </c:pt>
                <c:pt idx="1805">
                  <c:v>1805</c:v>
                </c:pt>
                <c:pt idx="1806">
                  <c:v>1806</c:v>
                </c:pt>
                <c:pt idx="1807">
                  <c:v>1807</c:v>
                </c:pt>
                <c:pt idx="1808">
                  <c:v>1808</c:v>
                </c:pt>
                <c:pt idx="1809">
                  <c:v>1809</c:v>
                </c:pt>
                <c:pt idx="1810">
                  <c:v>1810</c:v>
                </c:pt>
                <c:pt idx="1811">
                  <c:v>1811</c:v>
                </c:pt>
                <c:pt idx="1812">
                  <c:v>1812</c:v>
                </c:pt>
                <c:pt idx="1813">
                  <c:v>1813</c:v>
                </c:pt>
                <c:pt idx="1814">
                  <c:v>1814</c:v>
                </c:pt>
                <c:pt idx="1815">
                  <c:v>1815</c:v>
                </c:pt>
                <c:pt idx="1816">
                  <c:v>1816</c:v>
                </c:pt>
                <c:pt idx="1817">
                  <c:v>1817</c:v>
                </c:pt>
                <c:pt idx="1818">
                  <c:v>1818</c:v>
                </c:pt>
                <c:pt idx="1819">
                  <c:v>1819</c:v>
                </c:pt>
                <c:pt idx="1820">
                  <c:v>1820</c:v>
                </c:pt>
                <c:pt idx="1821">
                  <c:v>1821</c:v>
                </c:pt>
                <c:pt idx="1822">
                  <c:v>1822</c:v>
                </c:pt>
                <c:pt idx="1823">
                  <c:v>1823</c:v>
                </c:pt>
                <c:pt idx="1824">
                  <c:v>1824</c:v>
                </c:pt>
                <c:pt idx="1825">
                  <c:v>1825</c:v>
                </c:pt>
                <c:pt idx="1826">
                  <c:v>1826</c:v>
                </c:pt>
                <c:pt idx="1827">
                  <c:v>1827</c:v>
                </c:pt>
                <c:pt idx="1828">
                  <c:v>1828</c:v>
                </c:pt>
                <c:pt idx="1829">
                  <c:v>1829</c:v>
                </c:pt>
                <c:pt idx="1830">
                  <c:v>1830</c:v>
                </c:pt>
                <c:pt idx="1831">
                  <c:v>1831</c:v>
                </c:pt>
                <c:pt idx="1832">
                  <c:v>1832</c:v>
                </c:pt>
                <c:pt idx="1833">
                  <c:v>1833</c:v>
                </c:pt>
                <c:pt idx="1834">
                  <c:v>1834</c:v>
                </c:pt>
                <c:pt idx="1835">
                  <c:v>1835</c:v>
                </c:pt>
                <c:pt idx="1836">
                  <c:v>1836</c:v>
                </c:pt>
                <c:pt idx="1837">
                  <c:v>1837</c:v>
                </c:pt>
                <c:pt idx="1838">
                  <c:v>1838</c:v>
                </c:pt>
                <c:pt idx="1839">
                  <c:v>1839</c:v>
                </c:pt>
                <c:pt idx="1840">
                  <c:v>1840</c:v>
                </c:pt>
                <c:pt idx="1841">
                  <c:v>1841</c:v>
                </c:pt>
                <c:pt idx="1842">
                  <c:v>1842</c:v>
                </c:pt>
                <c:pt idx="1843">
                  <c:v>1843</c:v>
                </c:pt>
                <c:pt idx="1844">
                  <c:v>1844</c:v>
                </c:pt>
                <c:pt idx="1845">
                  <c:v>1845</c:v>
                </c:pt>
                <c:pt idx="1846">
                  <c:v>1846</c:v>
                </c:pt>
                <c:pt idx="1847">
                  <c:v>1847</c:v>
                </c:pt>
                <c:pt idx="1848">
                  <c:v>1848</c:v>
                </c:pt>
                <c:pt idx="1849">
                  <c:v>1849</c:v>
                </c:pt>
                <c:pt idx="1850">
                  <c:v>1850</c:v>
                </c:pt>
                <c:pt idx="1851">
                  <c:v>1851</c:v>
                </c:pt>
                <c:pt idx="1852">
                  <c:v>1852</c:v>
                </c:pt>
                <c:pt idx="1853">
                  <c:v>1853</c:v>
                </c:pt>
                <c:pt idx="1854">
                  <c:v>1854</c:v>
                </c:pt>
                <c:pt idx="1855">
                  <c:v>1855</c:v>
                </c:pt>
                <c:pt idx="1856">
                  <c:v>1856</c:v>
                </c:pt>
                <c:pt idx="1857">
                  <c:v>1857</c:v>
                </c:pt>
                <c:pt idx="1858">
                  <c:v>1858</c:v>
                </c:pt>
                <c:pt idx="1859">
                  <c:v>1859</c:v>
                </c:pt>
                <c:pt idx="1860">
                  <c:v>1860</c:v>
                </c:pt>
                <c:pt idx="1861">
                  <c:v>1861</c:v>
                </c:pt>
                <c:pt idx="1862">
                  <c:v>1862</c:v>
                </c:pt>
                <c:pt idx="1863">
                  <c:v>1863</c:v>
                </c:pt>
                <c:pt idx="1864">
                  <c:v>1864</c:v>
                </c:pt>
                <c:pt idx="1865">
                  <c:v>1865</c:v>
                </c:pt>
                <c:pt idx="1866">
                  <c:v>1866</c:v>
                </c:pt>
                <c:pt idx="1867">
                  <c:v>1867</c:v>
                </c:pt>
                <c:pt idx="1868">
                  <c:v>1868</c:v>
                </c:pt>
                <c:pt idx="1869">
                  <c:v>1869</c:v>
                </c:pt>
                <c:pt idx="1870">
                  <c:v>1870</c:v>
                </c:pt>
                <c:pt idx="1871">
                  <c:v>1871</c:v>
                </c:pt>
                <c:pt idx="1872">
                  <c:v>1872</c:v>
                </c:pt>
                <c:pt idx="1873">
                  <c:v>1873</c:v>
                </c:pt>
                <c:pt idx="1874">
                  <c:v>1874</c:v>
                </c:pt>
                <c:pt idx="1875">
                  <c:v>1875</c:v>
                </c:pt>
                <c:pt idx="1876">
                  <c:v>1876</c:v>
                </c:pt>
                <c:pt idx="1877">
                  <c:v>1877</c:v>
                </c:pt>
                <c:pt idx="1878">
                  <c:v>1878</c:v>
                </c:pt>
                <c:pt idx="1879">
                  <c:v>1879</c:v>
                </c:pt>
                <c:pt idx="1880">
                  <c:v>1880</c:v>
                </c:pt>
                <c:pt idx="1881">
                  <c:v>1881</c:v>
                </c:pt>
                <c:pt idx="1882">
                  <c:v>1882</c:v>
                </c:pt>
                <c:pt idx="1883">
                  <c:v>1883</c:v>
                </c:pt>
                <c:pt idx="1884">
                  <c:v>1884</c:v>
                </c:pt>
                <c:pt idx="1885">
                  <c:v>1885</c:v>
                </c:pt>
                <c:pt idx="1886">
                  <c:v>1886</c:v>
                </c:pt>
                <c:pt idx="1887">
                  <c:v>1887</c:v>
                </c:pt>
                <c:pt idx="1888">
                  <c:v>1888</c:v>
                </c:pt>
                <c:pt idx="1889">
                  <c:v>1889</c:v>
                </c:pt>
                <c:pt idx="1890">
                  <c:v>1890</c:v>
                </c:pt>
                <c:pt idx="1891">
                  <c:v>1891</c:v>
                </c:pt>
                <c:pt idx="1892">
                  <c:v>1892</c:v>
                </c:pt>
                <c:pt idx="1893">
                  <c:v>1893</c:v>
                </c:pt>
                <c:pt idx="1894">
                  <c:v>1894</c:v>
                </c:pt>
                <c:pt idx="1895">
                  <c:v>1895</c:v>
                </c:pt>
                <c:pt idx="1896">
                  <c:v>1896</c:v>
                </c:pt>
                <c:pt idx="1897">
                  <c:v>1897</c:v>
                </c:pt>
                <c:pt idx="1898">
                  <c:v>1898</c:v>
                </c:pt>
                <c:pt idx="1899">
                  <c:v>1899</c:v>
                </c:pt>
                <c:pt idx="1900">
                  <c:v>1900</c:v>
                </c:pt>
                <c:pt idx="1901">
                  <c:v>1901</c:v>
                </c:pt>
                <c:pt idx="1902">
                  <c:v>1902</c:v>
                </c:pt>
                <c:pt idx="1903">
                  <c:v>1903</c:v>
                </c:pt>
                <c:pt idx="1904">
                  <c:v>1904</c:v>
                </c:pt>
                <c:pt idx="1905">
                  <c:v>1905</c:v>
                </c:pt>
                <c:pt idx="1906">
                  <c:v>1906</c:v>
                </c:pt>
                <c:pt idx="1907">
                  <c:v>1907</c:v>
                </c:pt>
                <c:pt idx="1908">
                  <c:v>1908</c:v>
                </c:pt>
                <c:pt idx="1909">
                  <c:v>1909</c:v>
                </c:pt>
                <c:pt idx="1910">
                  <c:v>1910</c:v>
                </c:pt>
                <c:pt idx="1911">
                  <c:v>1911</c:v>
                </c:pt>
                <c:pt idx="1912">
                  <c:v>1912</c:v>
                </c:pt>
                <c:pt idx="1913">
                  <c:v>1913</c:v>
                </c:pt>
                <c:pt idx="1914">
                  <c:v>1914</c:v>
                </c:pt>
                <c:pt idx="1915">
                  <c:v>1915</c:v>
                </c:pt>
                <c:pt idx="1916">
                  <c:v>1916</c:v>
                </c:pt>
                <c:pt idx="1917">
                  <c:v>1917</c:v>
                </c:pt>
                <c:pt idx="1918">
                  <c:v>1918</c:v>
                </c:pt>
                <c:pt idx="1919">
                  <c:v>1919</c:v>
                </c:pt>
                <c:pt idx="1920">
                  <c:v>1920</c:v>
                </c:pt>
                <c:pt idx="1921">
                  <c:v>1921</c:v>
                </c:pt>
                <c:pt idx="1922">
                  <c:v>1922</c:v>
                </c:pt>
                <c:pt idx="1923">
                  <c:v>1923</c:v>
                </c:pt>
                <c:pt idx="1924">
                  <c:v>1924</c:v>
                </c:pt>
                <c:pt idx="1925">
                  <c:v>1925</c:v>
                </c:pt>
                <c:pt idx="1926">
                  <c:v>1926</c:v>
                </c:pt>
                <c:pt idx="1927">
                  <c:v>1927</c:v>
                </c:pt>
                <c:pt idx="1928">
                  <c:v>1928</c:v>
                </c:pt>
                <c:pt idx="1929">
                  <c:v>1929</c:v>
                </c:pt>
                <c:pt idx="1930">
                  <c:v>1930</c:v>
                </c:pt>
                <c:pt idx="1931">
                  <c:v>1931</c:v>
                </c:pt>
                <c:pt idx="1932">
                  <c:v>1932</c:v>
                </c:pt>
                <c:pt idx="1933">
                  <c:v>1933</c:v>
                </c:pt>
                <c:pt idx="1934">
                  <c:v>1934</c:v>
                </c:pt>
                <c:pt idx="1935">
                  <c:v>1935</c:v>
                </c:pt>
                <c:pt idx="1936">
                  <c:v>1936</c:v>
                </c:pt>
                <c:pt idx="1937">
                  <c:v>1937</c:v>
                </c:pt>
                <c:pt idx="1938">
                  <c:v>1938</c:v>
                </c:pt>
                <c:pt idx="1939">
                  <c:v>1939</c:v>
                </c:pt>
                <c:pt idx="1940">
                  <c:v>1940</c:v>
                </c:pt>
                <c:pt idx="1941">
                  <c:v>1941</c:v>
                </c:pt>
                <c:pt idx="1942">
                  <c:v>1942</c:v>
                </c:pt>
                <c:pt idx="1943">
                  <c:v>1943</c:v>
                </c:pt>
                <c:pt idx="1944">
                  <c:v>1944</c:v>
                </c:pt>
                <c:pt idx="1945">
                  <c:v>1945</c:v>
                </c:pt>
                <c:pt idx="1946">
                  <c:v>1946</c:v>
                </c:pt>
                <c:pt idx="1947">
                  <c:v>1947</c:v>
                </c:pt>
                <c:pt idx="1948">
                  <c:v>1948</c:v>
                </c:pt>
                <c:pt idx="1949">
                  <c:v>1949</c:v>
                </c:pt>
                <c:pt idx="1950">
                  <c:v>1950</c:v>
                </c:pt>
                <c:pt idx="1951">
                  <c:v>1951</c:v>
                </c:pt>
                <c:pt idx="1952">
                  <c:v>1952</c:v>
                </c:pt>
                <c:pt idx="1953">
                  <c:v>1953</c:v>
                </c:pt>
                <c:pt idx="1954">
                  <c:v>1954</c:v>
                </c:pt>
                <c:pt idx="1955">
                  <c:v>1955</c:v>
                </c:pt>
                <c:pt idx="1956">
                  <c:v>1956</c:v>
                </c:pt>
                <c:pt idx="1957">
                  <c:v>1957</c:v>
                </c:pt>
                <c:pt idx="1958">
                  <c:v>1958</c:v>
                </c:pt>
                <c:pt idx="1959">
                  <c:v>1959</c:v>
                </c:pt>
                <c:pt idx="1960">
                  <c:v>1960</c:v>
                </c:pt>
                <c:pt idx="1961">
                  <c:v>1961</c:v>
                </c:pt>
                <c:pt idx="1962">
                  <c:v>1962</c:v>
                </c:pt>
                <c:pt idx="1963">
                  <c:v>1963</c:v>
                </c:pt>
                <c:pt idx="1964">
                  <c:v>1964</c:v>
                </c:pt>
                <c:pt idx="1965">
                  <c:v>1965</c:v>
                </c:pt>
                <c:pt idx="1966">
                  <c:v>1966</c:v>
                </c:pt>
                <c:pt idx="1967">
                  <c:v>1967</c:v>
                </c:pt>
                <c:pt idx="1968">
                  <c:v>1968</c:v>
                </c:pt>
                <c:pt idx="1969">
                  <c:v>1969</c:v>
                </c:pt>
                <c:pt idx="1970">
                  <c:v>1970</c:v>
                </c:pt>
                <c:pt idx="1971">
                  <c:v>1971</c:v>
                </c:pt>
                <c:pt idx="1972">
                  <c:v>1972</c:v>
                </c:pt>
                <c:pt idx="1973">
                  <c:v>1973</c:v>
                </c:pt>
                <c:pt idx="1974">
                  <c:v>1974</c:v>
                </c:pt>
                <c:pt idx="1975">
                  <c:v>1975</c:v>
                </c:pt>
                <c:pt idx="1976">
                  <c:v>1976</c:v>
                </c:pt>
                <c:pt idx="1977">
                  <c:v>1977</c:v>
                </c:pt>
                <c:pt idx="1978">
                  <c:v>1978</c:v>
                </c:pt>
                <c:pt idx="1979">
                  <c:v>1979</c:v>
                </c:pt>
                <c:pt idx="1980">
                  <c:v>1980</c:v>
                </c:pt>
                <c:pt idx="1981">
                  <c:v>1981</c:v>
                </c:pt>
                <c:pt idx="1982">
                  <c:v>1982</c:v>
                </c:pt>
                <c:pt idx="1983">
                  <c:v>1983</c:v>
                </c:pt>
                <c:pt idx="1984">
                  <c:v>1984</c:v>
                </c:pt>
                <c:pt idx="1985">
                  <c:v>1985</c:v>
                </c:pt>
                <c:pt idx="1986">
                  <c:v>1986</c:v>
                </c:pt>
                <c:pt idx="1987">
                  <c:v>1987</c:v>
                </c:pt>
                <c:pt idx="1988">
                  <c:v>1988</c:v>
                </c:pt>
                <c:pt idx="1989">
                  <c:v>1989</c:v>
                </c:pt>
                <c:pt idx="1990">
                  <c:v>1990</c:v>
                </c:pt>
                <c:pt idx="1991">
                  <c:v>1991</c:v>
                </c:pt>
                <c:pt idx="1992">
                  <c:v>1992</c:v>
                </c:pt>
                <c:pt idx="1993">
                  <c:v>1993</c:v>
                </c:pt>
                <c:pt idx="1994">
                  <c:v>1994</c:v>
                </c:pt>
                <c:pt idx="1995">
                  <c:v>1995</c:v>
                </c:pt>
                <c:pt idx="1996">
                  <c:v>1996</c:v>
                </c:pt>
                <c:pt idx="1997">
                  <c:v>1997</c:v>
                </c:pt>
                <c:pt idx="1998">
                  <c:v>1998</c:v>
                </c:pt>
                <c:pt idx="1999">
                  <c:v>1999</c:v>
                </c:pt>
                <c:pt idx="2000">
                  <c:v>2000</c:v>
                </c:pt>
              </c:numCache>
            </c:numRef>
          </c:xVal>
          <c:yVal>
            <c:numRef>
              <c:f>'Fitting Equation 11'!$K$9:$K$2009</c:f>
              <c:numCache>
                <c:formatCode>General</c:formatCode>
                <c:ptCount val="2001"/>
                <c:pt idx="0" formatCode="0.000000">
                  <c:v>-8.2014839999999996E-4</c:v>
                </c:pt>
                <c:pt idx="50" formatCode="0.000000">
                  <c:v>-3.0051079999999998E-4</c:v>
                </c:pt>
                <c:pt idx="100" formatCode="0.000000">
                  <c:v>2.0933019999999999E-4</c:v>
                </c:pt>
                <c:pt idx="200" formatCode="0.000000">
                  <c:v>6.1560059999999999E-4</c:v>
                </c:pt>
                <c:pt idx="300" formatCode="0.000000">
                  <c:v>7.6624129999999996E-4</c:v>
                </c:pt>
                <c:pt idx="500" formatCode="0.000000">
                  <c:v>6.4001010000000003E-4</c:v>
                </c:pt>
                <c:pt idx="800" formatCode="0.000000">
                  <c:v>1.0248142E-3</c:v>
                </c:pt>
                <c:pt idx="1000" formatCode="0.000000">
                  <c:v>9.1448820000000004E-4</c:v>
                </c:pt>
                <c:pt idx="1400" formatCode="0.000000">
                  <c:v>9.274795E-4</c:v>
                </c:pt>
                <c:pt idx="1500" formatCode="0.00">
                  <c:v>9.6041910000000004E-4</c:v>
                </c:pt>
                <c:pt idx="1800" formatCode="0.000000">
                  <c:v>9.6041910000000004E-4</c:v>
                </c:pt>
                <c:pt idx="2000" formatCode="0.000000">
                  <c:v>8.5731990000000003E-4</c:v>
                </c:pt>
              </c:numCache>
            </c:numRef>
          </c:yVal>
          <c:smooth val="0"/>
          <c:extLst>
            <c:ext xmlns:c16="http://schemas.microsoft.com/office/drawing/2014/chart" uri="{C3380CC4-5D6E-409C-BE32-E72D297353CC}">
              <c16:uniqueId val="{00000000-AB88-3F43-BD05-B2D0FEA6F225}"/>
            </c:ext>
          </c:extLst>
        </c:ser>
        <c:ser>
          <c:idx val="1"/>
          <c:order val="1"/>
          <c:spPr>
            <a:ln w="3175">
              <a:solidFill>
                <a:srgbClr val="000000"/>
              </a:solidFill>
              <a:prstDash val="solid"/>
            </a:ln>
          </c:spPr>
          <c:marker>
            <c:symbol val="none"/>
          </c:marker>
          <c:xVal>
            <c:numRef>
              <c:f>'Fitting Equation 11'!$J$9:$J$2009</c:f>
              <c:numCache>
                <c:formatCode>General</c:formatCode>
                <c:ptCount val="20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pt idx="746">
                  <c:v>746</c:v>
                </c:pt>
                <c:pt idx="747">
                  <c:v>747</c:v>
                </c:pt>
                <c:pt idx="748">
                  <c:v>748</c:v>
                </c:pt>
                <c:pt idx="749">
                  <c:v>749</c:v>
                </c:pt>
                <c:pt idx="750">
                  <c:v>750</c:v>
                </c:pt>
                <c:pt idx="751">
                  <c:v>751</c:v>
                </c:pt>
                <c:pt idx="752">
                  <c:v>752</c:v>
                </c:pt>
                <c:pt idx="753">
                  <c:v>753</c:v>
                </c:pt>
                <c:pt idx="754">
                  <c:v>754</c:v>
                </c:pt>
                <c:pt idx="755">
                  <c:v>755</c:v>
                </c:pt>
                <c:pt idx="756">
                  <c:v>756</c:v>
                </c:pt>
                <c:pt idx="757">
                  <c:v>757</c:v>
                </c:pt>
                <c:pt idx="758">
                  <c:v>758</c:v>
                </c:pt>
                <c:pt idx="759">
                  <c:v>759</c:v>
                </c:pt>
                <c:pt idx="760">
                  <c:v>760</c:v>
                </c:pt>
                <c:pt idx="761">
                  <c:v>761</c:v>
                </c:pt>
                <c:pt idx="762">
                  <c:v>762</c:v>
                </c:pt>
                <c:pt idx="763">
                  <c:v>763</c:v>
                </c:pt>
                <c:pt idx="764">
                  <c:v>764</c:v>
                </c:pt>
                <c:pt idx="765">
                  <c:v>765</c:v>
                </c:pt>
                <c:pt idx="766">
                  <c:v>766</c:v>
                </c:pt>
                <c:pt idx="767">
                  <c:v>767</c:v>
                </c:pt>
                <c:pt idx="768">
                  <c:v>768</c:v>
                </c:pt>
                <c:pt idx="769">
                  <c:v>769</c:v>
                </c:pt>
                <c:pt idx="770">
                  <c:v>770</c:v>
                </c:pt>
                <c:pt idx="771">
                  <c:v>771</c:v>
                </c:pt>
                <c:pt idx="772">
                  <c:v>772</c:v>
                </c:pt>
                <c:pt idx="773">
                  <c:v>773</c:v>
                </c:pt>
                <c:pt idx="774">
                  <c:v>774</c:v>
                </c:pt>
                <c:pt idx="775">
                  <c:v>775</c:v>
                </c:pt>
                <c:pt idx="776">
                  <c:v>776</c:v>
                </c:pt>
                <c:pt idx="777">
                  <c:v>777</c:v>
                </c:pt>
                <c:pt idx="778">
                  <c:v>778</c:v>
                </c:pt>
                <c:pt idx="779">
                  <c:v>779</c:v>
                </c:pt>
                <c:pt idx="780">
                  <c:v>780</c:v>
                </c:pt>
                <c:pt idx="781">
                  <c:v>781</c:v>
                </c:pt>
                <c:pt idx="782">
                  <c:v>782</c:v>
                </c:pt>
                <c:pt idx="783">
                  <c:v>783</c:v>
                </c:pt>
                <c:pt idx="784">
                  <c:v>784</c:v>
                </c:pt>
                <c:pt idx="785">
                  <c:v>785</c:v>
                </c:pt>
                <c:pt idx="786">
                  <c:v>786</c:v>
                </c:pt>
                <c:pt idx="787">
                  <c:v>787</c:v>
                </c:pt>
                <c:pt idx="788">
                  <c:v>788</c:v>
                </c:pt>
                <c:pt idx="789">
                  <c:v>789</c:v>
                </c:pt>
                <c:pt idx="790">
                  <c:v>790</c:v>
                </c:pt>
                <c:pt idx="791">
                  <c:v>791</c:v>
                </c:pt>
                <c:pt idx="792">
                  <c:v>792</c:v>
                </c:pt>
                <c:pt idx="793">
                  <c:v>793</c:v>
                </c:pt>
                <c:pt idx="794">
                  <c:v>794</c:v>
                </c:pt>
                <c:pt idx="795">
                  <c:v>795</c:v>
                </c:pt>
                <c:pt idx="796">
                  <c:v>796</c:v>
                </c:pt>
                <c:pt idx="797">
                  <c:v>797</c:v>
                </c:pt>
                <c:pt idx="798">
                  <c:v>798</c:v>
                </c:pt>
                <c:pt idx="799">
                  <c:v>799</c:v>
                </c:pt>
                <c:pt idx="800">
                  <c:v>800</c:v>
                </c:pt>
                <c:pt idx="801">
                  <c:v>801</c:v>
                </c:pt>
                <c:pt idx="802">
                  <c:v>802</c:v>
                </c:pt>
                <c:pt idx="803">
                  <c:v>803</c:v>
                </c:pt>
                <c:pt idx="804">
                  <c:v>804</c:v>
                </c:pt>
                <c:pt idx="805">
                  <c:v>805</c:v>
                </c:pt>
                <c:pt idx="806">
                  <c:v>806</c:v>
                </c:pt>
                <c:pt idx="807">
                  <c:v>807</c:v>
                </c:pt>
                <c:pt idx="808">
                  <c:v>808</c:v>
                </c:pt>
                <c:pt idx="809">
                  <c:v>809</c:v>
                </c:pt>
                <c:pt idx="810">
                  <c:v>810</c:v>
                </c:pt>
                <c:pt idx="811">
                  <c:v>811</c:v>
                </c:pt>
                <c:pt idx="812">
                  <c:v>812</c:v>
                </c:pt>
                <c:pt idx="813">
                  <c:v>813</c:v>
                </c:pt>
                <c:pt idx="814">
                  <c:v>814</c:v>
                </c:pt>
                <c:pt idx="815">
                  <c:v>815</c:v>
                </c:pt>
                <c:pt idx="816">
                  <c:v>816</c:v>
                </c:pt>
                <c:pt idx="817">
                  <c:v>817</c:v>
                </c:pt>
                <c:pt idx="818">
                  <c:v>818</c:v>
                </c:pt>
                <c:pt idx="819">
                  <c:v>819</c:v>
                </c:pt>
                <c:pt idx="820">
                  <c:v>820</c:v>
                </c:pt>
                <c:pt idx="821">
                  <c:v>821</c:v>
                </c:pt>
                <c:pt idx="822">
                  <c:v>822</c:v>
                </c:pt>
                <c:pt idx="823">
                  <c:v>823</c:v>
                </c:pt>
                <c:pt idx="824">
                  <c:v>824</c:v>
                </c:pt>
                <c:pt idx="825">
                  <c:v>825</c:v>
                </c:pt>
                <c:pt idx="826">
                  <c:v>826</c:v>
                </c:pt>
                <c:pt idx="827">
                  <c:v>827</c:v>
                </c:pt>
                <c:pt idx="828">
                  <c:v>828</c:v>
                </c:pt>
                <c:pt idx="829">
                  <c:v>829</c:v>
                </c:pt>
                <c:pt idx="830">
                  <c:v>830</c:v>
                </c:pt>
                <c:pt idx="831">
                  <c:v>831</c:v>
                </c:pt>
                <c:pt idx="832">
                  <c:v>832</c:v>
                </c:pt>
                <c:pt idx="833">
                  <c:v>833</c:v>
                </c:pt>
                <c:pt idx="834">
                  <c:v>834</c:v>
                </c:pt>
                <c:pt idx="835">
                  <c:v>835</c:v>
                </c:pt>
                <c:pt idx="836">
                  <c:v>836</c:v>
                </c:pt>
                <c:pt idx="837">
                  <c:v>837</c:v>
                </c:pt>
                <c:pt idx="838">
                  <c:v>838</c:v>
                </c:pt>
                <c:pt idx="839">
                  <c:v>839</c:v>
                </c:pt>
                <c:pt idx="840">
                  <c:v>840</c:v>
                </c:pt>
                <c:pt idx="841">
                  <c:v>841</c:v>
                </c:pt>
                <c:pt idx="842">
                  <c:v>842</c:v>
                </c:pt>
                <c:pt idx="843">
                  <c:v>843</c:v>
                </c:pt>
                <c:pt idx="844">
                  <c:v>844</c:v>
                </c:pt>
                <c:pt idx="845">
                  <c:v>845</c:v>
                </c:pt>
                <c:pt idx="846">
                  <c:v>846</c:v>
                </c:pt>
                <c:pt idx="847">
                  <c:v>847</c:v>
                </c:pt>
                <c:pt idx="848">
                  <c:v>848</c:v>
                </c:pt>
                <c:pt idx="849">
                  <c:v>849</c:v>
                </c:pt>
                <c:pt idx="850">
                  <c:v>850</c:v>
                </c:pt>
                <c:pt idx="851">
                  <c:v>851</c:v>
                </c:pt>
                <c:pt idx="852">
                  <c:v>852</c:v>
                </c:pt>
                <c:pt idx="853">
                  <c:v>853</c:v>
                </c:pt>
                <c:pt idx="854">
                  <c:v>854</c:v>
                </c:pt>
                <c:pt idx="855">
                  <c:v>855</c:v>
                </c:pt>
                <c:pt idx="856">
                  <c:v>856</c:v>
                </c:pt>
                <c:pt idx="857">
                  <c:v>857</c:v>
                </c:pt>
                <c:pt idx="858">
                  <c:v>858</c:v>
                </c:pt>
                <c:pt idx="859">
                  <c:v>859</c:v>
                </c:pt>
                <c:pt idx="860">
                  <c:v>860</c:v>
                </c:pt>
                <c:pt idx="861">
                  <c:v>861</c:v>
                </c:pt>
                <c:pt idx="862">
                  <c:v>862</c:v>
                </c:pt>
                <c:pt idx="863">
                  <c:v>863</c:v>
                </c:pt>
                <c:pt idx="864">
                  <c:v>864</c:v>
                </c:pt>
                <c:pt idx="865">
                  <c:v>865</c:v>
                </c:pt>
                <c:pt idx="866">
                  <c:v>866</c:v>
                </c:pt>
                <c:pt idx="867">
                  <c:v>867</c:v>
                </c:pt>
                <c:pt idx="868">
                  <c:v>868</c:v>
                </c:pt>
                <c:pt idx="869">
                  <c:v>869</c:v>
                </c:pt>
                <c:pt idx="870">
                  <c:v>870</c:v>
                </c:pt>
                <c:pt idx="871">
                  <c:v>871</c:v>
                </c:pt>
                <c:pt idx="872">
                  <c:v>872</c:v>
                </c:pt>
                <c:pt idx="873">
                  <c:v>873</c:v>
                </c:pt>
                <c:pt idx="874">
                  <c:v>874</c:v>
                </c:pt>
                <c:pt idx="875">
                  <c:v>875</c:v>
                </c:pt>
                <c:pt idx="876">
                  <c:v>876</c:v>
                </c:pt>
                <c:pt idx="877">
                  <c:v>877</c:v>
                </c:pt>
                <c:pt idx="878">
                  <c:v>878</c:v>
                </c:pt>
                <c:pt idx="879">
                  <c:v>879</c:v>
                </c:pt>
                <c:pt idx="880">
                  <c:v>880</c:v>
                </c:pt>
                <c:pt idx="881">
                  <c:v>881</c:v>
                </c:pt>
                <c:pt idx="882">
                  <c:v>882</c:v>
                </c:pt>
                <c:pt idx="883">
                  <c:v>883</c:v>
                </c:pt>
                <c:pt idx="884">
                  <c:v>884</c:v>
                </c:pt>
                <c:pt idx="885">
                  <c:v>885</c:v>
                </c:pt>
                <c:pt idx="886">
                  <c:v>886</c:v>
                </c:pt>
                <c:pt idx="887">
                  <c:v>887</c:v>
                </c:pt>
                <c:pt idx="888">
                  <c:v>888</c:v>
                </c:pt>
                <c:pt idx="889">
                  <c:v>889</c:v>
                </c:pt>
                <c:pt idx="890">
                  <c:v>890</c:v>
                </c:pt>
                <c:pt idx="891">
                  <c:v>891</c:v>
                </c:pt>
                <c:pt idx="892">
                  <c:v>892</c:v>
                </c:pt>
                <c:pt idx="893">
                  <c:v>893</c:v>
                </c:pt>
                <c:pt idx="894">
                  <c:v>894</c:v>
                </c:pt>
                <c:pt idx="895">
                  <c:v>895</c:v>
                </c:pt>
                <c:pt idx="896">
                  <c:v>896</c:v>
                </c:pt>
                <c:pt idx="897">
                  <c:v>897</c:v>
                </c:pt>
                <c:pt idx="898">
                  <c:v>898</c:v>
                </c:pt>
                <c:pt idx="899">
                  <c:v>899</c:v>
                </c:pt>
                <c:pt idx="900">
                  <c:v>900</c:v>
                </c:pt>
                <c:pt idx="901">
                  <c:v>901</c:v>
                </c:pt>
                <c:pt idx="902">
                  <c:v>902</c:v>
                </c:pt>
                <c:pt idx="903">
                  <c:v>903</c:v>
                </c:pt>
                <c:pt idx="904">
                  <c:v>904</c:v>
                </c:pt>
                <c:pt idx="905">
                  <c:v>905</c:v>
                </c:pt>
                <c:pt idx="906">
                  <c:v>906</c:v>
                </c:pt>
                <c:pt idx="907">
                  <c:v>907</c:v>
                </c:pt>
                <c:pt idx="908">
                  <c:v>908</c:v>
                </c:pt>
                <c:pt idx="909">
                  <c:v>909</c:v>
                </c:pt>
                <c:pt idx="910">
                  <c:v>910</c:v>
                </c:pt>
                <c:pt idx="911">
                  <c:v>911</c:v>
                </c:pt>
                <c:pt idx="912">
                  <c:v>912</c:v>
                </c:pt>
                <c:pt idx="913">
                  <c:v>913</c:v>
                </c:pt>
                <c:pt idx="914">
                  <c:v>914</c:v>
                </c:pt>
                <c:pt idx="915">
                  <c:v>915</c:v>
                </c:pt>
                <c:pt idx="916">
                  <c:v>916</c:v>
                </c:pt>
                <c:pt idx="917">
                  <c:v>917</c:v>
                </c:pt>
                <c:pt idx="918">
                  <c:v>918</c:v>
                </c:pt>
                <c:pt idx="919">
                  <c:v>919</c:v>
                </c:pt>
                <c:pt idx="920">
                  <c:v>920</c:v>
                </c:pt>
                <c:pt idx="921">
                  <c:v>921</c:v>
                </c:pt>
                <c:pt idx="922">
                  <c:v>922</c:v>
                </c:pt>
                <c:pt idx="923">
                  <c:v>923</c:v>
                </c:pt>
                <c:pt idx="924">
                  <c:v>924</c:v>
                </c:pt>
                <c:pt idx="925">
                  <c:v>925</c:v>
                </c:pt>
                <c:pt idx="926">
                  <c:v>926</c:v>
                </c:pt>
                <c:pt idx="927">
                  <c:v>927</c:v>
                </c:pt>
                <c:pt idx="928">
                  <c:v>928</c:v>
                </c:pt>
                <c:pt idx="929">
                  <c:v>929</c:v>
                </c:pt>
                <c:pt idx="930">
                  <c:v>930</c:v>
                </c:pt>
                <c:pt idx="931">
                  <c:v>931</c:v>
                </c:pt>
                <c:pt idx="932">
                  <c:v>932</c:v>
                </c:pt>
                <c:pt idx="933">
                  <c:v>933</c:v>
                </c:pt>
                <c:pt idx="934">
                  <c:v>934</c:v>
                </c:pt>
                <c:pt idx="935">
                  <c:v>935</c:v>
                </c:pt>
                <c:pt idx="936">
                  <c:v>936</c:v>
                </c:pt>
                <c:pt idx="937">
                  <c:v>937</c:v>
                </c:pt>
                <c:pt idx="938">
                  <c:v>938</c:v>
                </c:pt>
                <c:pt idx="939">
                  <c:v>939</c:v>
                </c:pt>
                <c:pt idx="940">
                  <c:v>940</c:v>
                </c:pt>
                <c:pt idx="941">
                  <c:v>941</c:v>
                </c:pt>
                <c:pt idx="942">
                  <c:v>942</c:v>
                </c:pt>
                <c:pt idx="943">
                  <c:v>943</c:v>
                </c:pt>
                <c:pt idx="944">
                  <c:v>944</c:v>
                </c:pt>
                <c:pt idx="945">
                  <c:v>945</c:v>
                </c:pt>
                <c:pt idx="946">
                  <c:v>946</c:v>
                </c:pt>
                <c:pt idx="947">
                  <c:v>947</c:v>
                </c:pt>
                <c:pt idx="948">
                  <c:v>948</c:v>
                </c:pt>
                <c:pt idx="949">
                  <c:v>949</c:v>
                </c:pt>
                <c:pt idx="950">
                  <c:v>950</c:v>
                </c:pt>
                <c:pt idx="951">
                  <c:v>951</c:v>
                </c:pt>
                <c:pt idx="952">
                  <c:v>952</c:v>
                </c:pt>
                <c:pt idx="953">
                  <c:v>953</c:v>
                </c:pt>
                <c:pt idx="954">
                  <c:v>954</c:v>
                </c:pt>
                <c:pt idx="955">
                  <c:v>955</c:v>
                </c:pt>
                <c:pt idx="956">
                  <c:v>956</c:v>
                </c:pt>
                <c:pt idx="957">
                  <c:v>957</c:v>
                </c:pt>
                <c:pt idx="958">
                  <c:v>958</c:v>
                </c:pt>
                <c:pt idx="959">
                  <c:v>959</c:v>
                </c:pt>
                <c:pt idx="960">
                  <c:v>960</c:v>
                </c:pt>
                <c:pt idx="961">
                  <c:v>961</c:v>
                </c:pt>
                <c:pt idx="962">
                  <c:v>962</c:v>
                </c:pt>
                <c:pt idx="963">
                  <c:v>963</c:v>
                </c:pt>
                <c:pt idx="964">
                  <c:v>964</c:v>
                </c:pt>
                <c:pt idx="965">
                  <c:v>965</c:v>
                </c:pt>
                <c:pt idx="966">
                  <c:v>966</c:v>
                </c:pt>
                <c:pt idx="967">
                  <c:v>967</c:v>
                </c:pt>
                <c:pt idx="968">
                  <c:v>968</c:v>
                </c:pt>
                <c:pt idx="969">
                  <c:v>969</c:v>
                </c:pt>
                <c:pt idx="970">
                  <c:v>970</c:v>
                </c:pt>
                <c:pt idx="971">
                  <c:v>971</c:v>
                </c:pt>
                <c:pt idx="972">
                  <c:v>972</c:v>
                </c:pt>
                <c:pt idx="973">
                  <c:v>973</c:v>
                </c:pt>
                <c:pt idx="974">
                  <c:v>974</c:v>
                </c:pt>
                <c:pt idx="975">
                  <c:v>975</c:v>
                </c:pt>
                <c:pt idx="976">
                  <c:v>976</c:v>
                </c:pt>
                <c:pt idx="977">
                  <c:v>977</c:v>
                </c:pt>
                <c:pt idx="978">
                  <c:v>978</c:v>
                </c:pt>
                <c:pt idx="979">
                  <c:v>979</c:v>
                </c:pt>
                <c:pt idx="980">
                  <c:v>980</c:v>
                </c:pt>
                <c:pt idx="981">
                  <c:v>981</c:v>
                </c:pt>
                <c:pt idx="982">
                  <c:v>982</c:v>
                </c:pt>
                <c:pt idx="983">
                  <c:v>983</c:v>
                </c:pt>
                <c:pt idx="984">
                  <c:v>984</c:v>
                </c:pt>
                <c:pt idx="985">
                  <c:v>985</c:v>
                </c:pt>
                <c:pt idx="986">
                  <c:v>986</c:v>
                </c:pt>
                <c:pt idx="987">
                  <c:v>987</c:v>
                </c:pt>
                <c:pt idx="988">
                  <c:v>988</c:v>
                </c:pt>
                <c:pt idx="989">
                  <c:v>989</c:v>
                </c:pt>
                <c:pt idx="990">
                  <c:v>990</c:v>
                </c:pt>
                <c:pt idx="991">
                  <c:v>991</c:v>
                </c:pt>
                <c:pt idx="992">
                  <c:v>992</c:v>
                </c:pt>
                <c:pt idx="993">
                  <c:v>993</c:v>
                </c:pt>
                <c:pt idx="994">
                  <c:v>994</c:v>
                </c:pt>
                <c:pt idx="995">
                  <c:v>995</c:v>
                </c:pt>
                <c:pt idx="996">
                  <c:v>996</c:v>
                </c:pt>
                <c:pt idx="997">
                  <c:v>997</c:v>
                </c:pt>
                <c:pt idx="998">
                  <c:v>998</c:v>
                </c:pt>
                <c:pt idx="999">
                  <c:v>999</c:v>
                </c:pt>
                <c:pt idx="1000">
                  <c:v>1000</c:v>
                </c:pt>
                <c:pt idx="1001">
                  <c:v>1001</c:v>
                </c:pt>
                <c:pt idx="1002">
                  <c:v>1002</c:v>
                </c:pt>
                <c:pt idx="1003">
                  <c:v>1003</c:v>
                </c:pt>
                <c:pt idx="1004">
                  <c:v>1004</c:v>
                </c:pt>
                <c:pt idx="1005">
                  <c:v>1005</c:v>
                </c:pt>
                <c:pt idx="1006">
                  <c:v>1006</c:v>
                </c:pt>
                <c:pt idx="1007">
                  <c:v>1007</c:v>
                </c:pt>
                <c:pt idx="1008">
                  <c:v>1008</c:v>
                </c:pt>
                <c:pt idx="1009">
                  <c:v>1009</c:v>
                </c:pt>
                <c:pt idx="1010">
                  <c:v>1010</c:v>
                </c:pt>
                <c:pt idx="1011">
                  <c:v>1011</c:v>
                </c:pt>
                <c:pt idx="1012">
                  <c:v>1012</c:v>
                </c:pt>
                <c:pt idx="1013">
                  <c:v>1013</c:v>
                </c:pt>
                <c:pt idx="1014">
                  <c:v>1014</c:v>
                </c:pt>
                <c:pt idx="1015">
                  <c:v>1015</c:v>
                </c:pt>
                <c:pt idx="1016">
                  <c:v>1016</c:v>
                </c:pt>
                <c:pt idx="1017">
                  <c:v>1017</c:v>
                </c:pt>
                <c:pt idx="1018">
                  <c:v>1018</c:v>
                </c:pt>
                <c:pt idx="1019">
                  <c:v>1019</c:v>
                </c:pt>
                <c:pt idx="1020">
                  <c:v>1020</c:v>
                </c:pt>
                <c:pt idx="1021">
                  <c:v>1021</c:v>
                </c:pt>
                <c:pt idx="1022">
                  <c:v>1022</c:v>
                </c:pt>
                <c:pt idx="1023">
                  <c:v>1023</c:v>
                </c:pt>
                <c:pt idx="1024">
                  <c:v>1024</c:v>
                </c:pt>
                <c:pt idx="1025">
                  <c:v>1025</c:v>
                </c:pt>
                <c:pt idx="1026">
                  <c:v>1026</c:v>
                </c:pt>
                <c:pt idx="1027">
                  <c:v>1027</c:v>
                </c:pt>
                <c:pt idx="1028">
                  <c:v>1028</c:v>
                </c:pt>
                <c:pt idx="1029">
                  <c:v>1029</c:v>
                </c:pt>
                <c:pt idx="1030">
                  <c:v>1030</c:v>
                </c:pt>
                <c:pt idx="1031">
                  <c:v>1031</c:v>
                </c:pt>
                <c:pt idx="1032">
                  <c:v>1032</c:v>
                </c:pt>
                <c:pt idx="1033">
                  <c:v>1033</c:v>
                </c:pt>
                <c:pt idx="1034">
                  <c:v>1034</c:v>
                </c:pt>
                <c:pt idx="1035">
                  <c:v>1035</c:v>
                </c:pt>
                <c:pt idx="1036">
                  <c:v>1036</c:v>
                </c:pt>
                <c:pt idx="1037">
                  <c:v>1037</c:v>
                </c:pt>
                <c:pt idx="1038">
                  <c:v>1038</c:v>
                </c:pt>
                <c:pt idx="1039">
                  <c:v>1039</c:v>
                </c:pt>
                <c:pt idx="1040">
                  <c:v>1040</c:v>
                </c:pt>
                <c:pt idx="1041">
                  <c:v>1041</c:v>
                </c:pt>
                <c:pt idx="1042">
                  <c:v>1042</c:v>
                </c:pt>
                <c:pt idx="1043">
                  <c:v>1043</c:v>
                </c:pt>
                <c:pt idx="1044">
                  <c:v>1044</c:v>
                </c:pt>
                <c:pt idx="1045">
                  <c:v>1045</c:v>
                </c:pt>
                <c:pt idx="1046">
                  <c:v>1046</c:v>
                </c:pt>
                <c:pt idx="1047">
                  <c:v>1047</c:v>
                </c:pt>
                <c:pt idx="1048">
                  <c:v>1048</c:v>
                </c:pt>
                <c:pt idx="1049">
                  <c:v>1049</c:v>
                </c:pt>
                <c:pt idx="1050">
                  <c:v>1050</c:v>
                </c:pt>
                <c:pt idx="1051">
                  <c:v>1051</c:v>
                </c:pt>
                <c:pt idx="1052">
                  <c:v>1052</c:v>
                </c:pt>
                <c:pt idx="1053">
                  <c:v>1053</c:v>
                </c:pt>
                <c:pt idx="1054">
                  <c:v>1054</c:v>
                </c:pt>
                <c:pt idx="1055">
                  <c:v>1055</c:v>
                </c:pt>
                <c:pt idx="1056">
                  <c:v>1056</c:v>
                </c:pt>
                <c:pt idx="1057">
                  <c:v>1057</c:v>
                </c:pt>
                <c:pt idx="1058">
                  <c:v>1058</c:v>
                </c:pt>
                <c:pt idx="1059">
                  <c:v>1059</c:v>
                </c:pt>
                <c:pt idx="1060">
                  <c:v>1060</c:v>
                </c:pt>
                <c:pt idx="1061">
                  <c:v>1061</c:v>
                </c:pt>
                <c:pt idx="1062">
                  <c:v>1062</c:v>
                </c:pt>
                <c:pt idx="1063">
                  <c:v>1063</c:v>
                </c:pt>
                <c:pt idx="1064">
                  <c:v>1064</c:v>
                </c:pt>
                <c:pt idx="1065">
                  <c:v>1065</c:v>
                </c:pt>
                <c:pt idx="1066">
                  <c:v>1066</c:v>
                </c:pt>
                <c:pt idx="1067">
                  <c:v>1067</c:v>
                </c:pt>
                <c:pt idx="1068">
                  <c:v>1068</c:v>
                </c:pt>
                <c:pt idx="1069">
                  <c:v>1069</c:v>
                </c:pt>
                <c:pt idx="1070">
                  <c:v>1070</c:v>
                </c:pt>
                <c:pt idx="1071">
                  <c:v>1071</c:v>
                </c:pt>
                <c:pt idx="1072">
                  <c:v>1072</c:v>
                </c:pt>
                <c:pt idx="1073">
                  <c:v>1073</c:v>
                </c:pt>
                <c:pt idx="1074">
                  <c:v>1074</c:v>
                </c:pt>
                <c:pt idx="1075">
                  <c:v>1075</c:v>
                </c:pt>
                <c:pt idx="1076">
                  <c:v>1076</c:v>
                </c:pt>
                <c:pt idx="1077">
                  <c:v>1077</c:v>
                </c:pt>
                <c:pt idx="1078">
                  <c:v>1078</c:v>
                </c:pt>
                <c:pt idx="1079">
                  <c:v>1079</c:v>
                </c:pt>
                <c:pt idx="1080">
                  <c:v>1080</c:v>
                </c:pt>
                <c:pt idx="1081">
                  <c:v>1081</c:v>
                </c:pt>
                <c:pt idx="1082">
                  <c:v>1082</c:v>
                </c:pt>
                <c:pt idx="1083">
                  <c:v>1083</c:v>
                </c:pt>
                <c:pt idx="1084">
                  <c:v>1084</c:v>
                </c:pt>
                <c:pt idx="1085">
                  <c:v>1085</c:v>
                </c:pt>
                <c:pt idx="1086">
                  <c:v>1086</c:v>
                </c:pt>
                <c:pt idx="1087">
                  <c:v>1087</c:v>
                </c:pt>
                <c:pt idx="1088">
                  <c:v>1088</c:v>
                </c:pt>
                <c:pt idx="1089">
                  <c:v>1089</c:v>
                </c:pt>
                <c:pt idx="1090">
                  <c:v>1090</c:v>
                </c:pt>
                <c:pt idx="1091">
                  <c:v>1091</c:v>
                </c:pt>
                <c:pt idx="1092">
                  <c:v>1092</c:v>
                </c:pt>
                <c:pt idx="1093">
                  <c:v>1093</c:v>
                </c:pt>
                <c:pt idx="1094">
                  <c:v>1094</c:v>
                </c:pt>
                <c:pt idx="1095">
                  <c:v>1095</c:v>
                </c:pt>
                <c:pt idx="1096">
                  <c:v>1096</c:v>
                </c:pt>
                <c:pt idx="1097">
                  <c:v>1097</c:v>
                </c:pt>
                <c:pt idx="1098">
                  <c:v>1098</c:v>
                </c:pt>
                <c:pt idx="1099">
                  <c:v>1099</c:v>
                </c:pt>
                <c:pt idx="1100">
                  <c:v>1100</c:v>
                </c:pt>
                <c:pt idx="1101">
                  <c:v>1101</c:v>
                </c:pt>
                <c:pt idx="1102">
                  <c:v>1102</c:v>
                </c:pt>
                <c:pt idx="1103">
                  <c:v>1103</c:v>
                </c:pt>
                <c:pt idx="1104">
                  <c:v>1104</c:v>
                </c:pt>
                <c:pt idx="1105">
                  <c:v>1105</c:v>
                </c:pt>
                <c:pt idx="1106">
                  <c:v>1106</c:v>
                </c:pt>
                <c:pt idx="1107">
                  <c:v>1107</c:v>
                </c:pt>
                <c:pt idx="1108">
                  <c:v>1108</c:v>
                </c:pt>
                <c:pt idx="1109">
                  <c:v>1109</c:v>
                </c:pt>
                <c:pt idx="1110">
                  <c:v>1110</c:v>
                </c:pt>
                <c:pt idx="1111">
                  <c:v>1111</c:v>
                </c:pt>
                <c:pt idx="1112">
                  <c:v>1112</c:v>
                </c:pt>
                <c:pt idx="1113">
                  <c:v>1113</c:v>
                </c:pt>
                <c:pt idx="1114">
                  <c:v>1114</c:v>
                </c:pt>
                <c:pt idx="1115">
                  <c:v>1115</c:v>
                </c:pt>
                <c:pt idx="1116">
                  <c:v>1116</c:v>
                </c:pt>
                <c:pt idx="1117">
                  <c:v>1117</c:v>
                </c:pt>
                <c:pt idx="1118">
                  <c:v>1118</c:v>
                </c:pt>
                <c:pt idx="1119">
                  <c:v>1119</c:v>
                </c:pt>
                <c:pt idx="1120">
                  <c:v>1120</c:v>
                </c:pt>
                <c:pt idx="1121">
                  <c:v>1121</c:v>
                </c:pt>
                <c:pt idx="1122">
                  <c:v>1122</c:v>
                </c:pt>
                <c:pt idx="1123">
                  <c:v>1123</c:v>
                </c:pt>
                <c:pt idx="1124">
                  <c:v>1124</c:v>
                </c:pt>
                <c:pt idx="1125">
                  <c:v>1125</c:v>
                </c:pt>
                <c:pt idx="1126">
                  <c:v>1126</c:v>
                </c:pt>
                <c:pt idx="1127">
                  <c:v>1127</c:v>
                </c:pt>
                <c:pt idx="1128">
                  <c:v>1128</c:v>
                </c:pt>
                <c:pt idx="1129">
                  <c:v>1129</c:v>
                </c:pt>
                <c:pt idx="1130">
                  <c:v>1130</c:v>
                </c:pt>
                <c:pt idx="1131">
                  <c:v>1131</c:v>
                </c:pt>
                <c:pt idx="1132">
                  <c:v>1132</c:v>
                </c:pt>
                <c:pt idx="1133">
                  <c:v>1133</c:v>
                </c:pt>
                <c:pt idx="1134">
                  <c:v>1134</c:v>
                </c:pt>
                <c:pt idx="1135">
                  <c:v>1135</c:v>
                </c:pt>
                <c:pt idx="1136">
                  <c:v>1136</c:v>
                </c:pt>
                <c:pt idx="1137">
                  <c:v>1137</c:v>
                </c:pt>
                <c:pt idx="1138">
                  <c:v>1138</c:v>
                </c:pt>
                <c:pt idx="1139">
                  <c:v>1139</c:v>
                </c:pt>
                <c:pt idx="1140">
                  <c:v>1140</c:v>
                </c:pt>
                <c:pt idx="1141">
                  <c:v>1141</c:v>
                </c:pt>
                <c:pt idx="1142">
                  <c:v>1142</c:v>
                </c:pt>
                <c:pt idx="1143">
                  <c:v>1143</c:v>
                </c:pt>
                <c:pt idx="1144">
                  <c:v>1144</c:v>
                </c:pt>
                <c:pt idx="1145">
                  <c:v>1145</c:v>
                </c:pt>
                <c:pt idx="1146">
                  <c:v>1146</c:v>
                </c:pt>
                <c:pt idx="1147">
                  <c:v>1147</c:v>
                </c:pt>
                <c:pt idx="1148">
                  <c:v>1148</c:v>
                </c:pt>
                <c:pt idx="1149">
                  <c:v>1149</c:v>
                </c:pt>
                <c:pt idx="1150">
                  <c:v>1150</c:v>
                </c:pt>
                <c:pt idx="1151">
                  <c:v>1151</c:v>
                </c:pt>
                <c:pt idx="1152">
                  <c:v>1152</c:v>
                </c:pt>
                <c:pt idx="1153">
                  <c:v>1153</c:v>
                </c:pt>
                <c:pt idx="1154">
                  <c:v>1154</c:v>
                </c:pt>
                <c:pt idx="1155">
                  <c:v>1155</c:v>
                </c:pt>
                <c:pt idx="1156">
                  <c:v>1156</c:v>
                </c:pt>
                <c:pt idx="1157">
                  <c:v>1157</c:v>
                </c:pt>
                <c:pt idx="1158">
                  <c:v>1158</c:v>
                </c:pt>
                <c:pt idx="1159">
                  <c:v>1159</c:v>
                </c:pt>
                <c:pt idx="1160">
                  <c:v>1160</c:v>
                </c:pt>
                <c:pt idx="1161">
                  <c:v>1161</c:v>
                </c:pt>
                <c:pt idx="1162">
                  <c:v>1162</c:v>
                </c:pt>
                <c:pt idx="1163">
                  <c:v>1163</c:v>
                </c:pt>
                <c:pt idx="1164">
                  <c:v>1164</c:v>
                </c:pt>
                <c:pt idx="1165">
                  <c:v>1165</c:v>
                </c:pt>
                <c:pt idx="1166">
                  <c:v>1166</c:v>
                </c:pt>
                <c:pt idx="1167">
                  <c:v>1167</c:v>
                </c:pt>
                <c:pt idx="1168">
                  <c:v>1168</c:v>
                </c:pt>
                <c:pt idx="1169">
                  <c:v>1169</c:v>
                </c:pt>
                <c:pt idx="1170">
                  <c:v>1170</c:v>
                </c:pt>
                <c:pt idx="1171">
                  <c:v>1171</c:v>
                </c:pt>
                <c:pt idx="1172">
                  <c:v>1172</c:v>
                </c:pt>
                <c:pt idx="1173">
                  <c:v>1173</c:v>
                </c:pt>
                <c:pt idx="1174">
                  <c:v>1174</c:v>
                </c:pt>
                <c:pt idx="1175">
                  <c:v>1175</c:v>
                </c:pt>
                <c:pt idx="1176">
                  <c:v>1176</c:v>
                </c:pt>
                <c:pt idx="1177">
                  <c:v>1177</c:v>
                </c:pt>
                <c:pt idx="1178">
                  <c:v>1178</c:v>
                </c:pt>
                <c:pt idx="1179">
                  <c:v>1179</c:v>
                </c:pt>
                <c:pt idx="1180">
                  <c:v>1180</c:v>
                </c:pt>
                <c:pt idx="1181">
                  <c:v>1181</c:v>
                </c:pt>
                <c:pt idx="1182">
                  <c:v>1182</c:v>
                </c:pt>
                <c:pt idx="1183">
                  <c:v>1183</c:v>
                </c:pt>
                <c:pt idx="1184">
                  <c:v>1184</c:v>
                </c:pt>
                <c:pt idx="1185">
                  <c:v>1185</c:v>
                </c:pt>
                <c:pt idx="1186">
                  <c:v>1186</c:v>
                </c:pt>
                <c:pt idx="1187">
                  <c:v>1187</c:v>
                </c:pt>
                <c:pt idx="1188">
                  <c:v>1188</c:v>
                </c:pt>
                <c:pt idx="1189">
                  <c:v>1189</c:v>
                </c:pt>
                <c:pt idx="1190">
                  <c:v>1190</c:v>
                </c:pt>
                <c:pt idx="1191">
                  <c:v>1191</c:v>
                </c:pt>
                <c:pt idx="1192">
                  <c:v>1192</c:v>
                </c:pt>
                <c:pt idx="1193">
                  <c:v>1193</c:v>
                </c:pt>
                <c:pt idx="1194">
                  <c:v>1194</c:v>
                </c:pt>
                <c:pt idx="1195">
                  <c:v>1195</c:v>
                </c:pt>
                <c:pt idx="1196">
                  <c:v>1196</c:v>
                </c:pt>
                <c:pt idx="1197">
                  <c:v>1197</c:v>
                </c:pt>
                <c:pt idx="1198">
                  <c:v>1198</c:v>
                </c:pt>
                <c:pt idx="1199">
                  <c:v>1199</c:v>
                </c:pt>
                <c:pt idx="1200">
                  <c:v>1200</c:v>
                </c:pt>
                <c:pt idx="1201">
                  <c:v>1201</c:v>
                </c:pt>
                <c:pt idx="1202">
                  <c:v>1202</c:v>
                </c:pt>
                <c:pt idx="1203">
                  <c:v>1203</c:v>
                </c:pt>
                <c:pt idx="1204">
                  <c:v>1204</c:v>
                </c:pt>
                <c:pt idx="1205">
                  <c:v>1205</c:v>
                </c:pt>
                <c:pt idx="1206">
                  <c:v>1206</c:v>
                </c:pt>
                <c:pt idx="1207">
                  <c:v>1207</c:v>
                </c:pt>
                <c:pt idx="1208">
                  <c:v>1208</c:v>
                </c:pt>
                <c:pt idx="1209">
                  <c:v>1209</c:v>
                </c:pt>
                <c:pt idx="1210">
                  <c:v>1210</c:v>
                </c:pt>
                <c:pt idx="1211">
                  <c:v>1211</c:v>
                </c:pt>
                <c:pt idx="1212">
                  <c:v>1212</c:v>
                </c:pt>
                <c:pt idx="1213">
                  <c:v>1213</c:v>
                </c:pt>
                <c:pt idx="1214">
                  <c:v>1214</c:v>
                </c:pt>
                <c:pt idx="1215">
                  <c:v>1215</c:v>
                </c:pt>
                <c:pt idx="1216">
                  <c:v>1216</c:v>
                </c:pt>
                <c:pt idx="1217">
                  <c:v>1217</c:v>
                </c:pt>
                <c:pt idx="1218">
                  <c:v>1218</c:v>
                </c:pt>
                <c:pt idx="1219">
                  <c:v>1219</c:v>
                </c:pt>
                <c:pt idx="1220">
                  <c:v>1220</c:v>
                </c:pt>
                <c:pt idx="1221">
                  <c:v>1221</c:v>
                </c:pt>
                <c:pt idx="1222">
                  <c:v>1222</c:v>
                </c:pt>
                <c:pt idx="1223">
                  <c:v>1223</c:v>
                </c:pt>
                <c:pt idx="1224">
                  <c:v>1224</c:v>
                </c:pt>
                <c:pt idx="1225">
                  <c:v>1225</c:v>
                </c:pt>
                <c:pt idx="1226">
                  <c:v>1226</c:v>
                </c:pt>
                <c:pt idx="1227">
                  <c:v>1227</c:v>
                </c:pt>
                <c:pt idx="1228">
                  <c:v>1228</c:v>
                </c:pt>
                <c:pt idx="1229">
                  <c:v>1229</c:v>
                </c:pt>
                <c:pt idx="1230">
                  <c:v>1230</c:v>
                </c:pt>
                <c:pt idx="1231">
                  <c:v>1231</c:v>
                </c:pt>
                <c:pt idx="1232">
                  <c:v>1232</c:v>
                </c:pt>
                <c:pt idx="1233">
                  <c:v>1233</c:v>
                </c:pt>
                <c:pt idx="1234">
                  <c:v>1234</c:v>
                </c:pt>
                <c:pt idx="1235">
                  <c:v>1235</c:v>
                </c:pt>
                <c:pt idx="1236">
                  <c:v>1236</c:v>
                </c:pt>
                <c:pt idx="1237">
                  <c:v>1237</c:v>
                </c:pt>
                <c:pt idx="1238">
                  <c:v>1238</c:v>
                </c:pt>
                <c:pt idx="1239">
                  <c:v>1239</c:v>
                </c:pt>
                <c:pt idx="1240">
                  <c:v>1240</c:v>
                </c:pt>
                <c:pt idx="1241">
                  <c:v>1241</c:v>
                </c:pt>
                <c:pt idx="1242">
                  <c:v>1242</c:v>
                </c:pt>
                <c:pt idx="1243">
                  <c:v>1243</c:v>
                </c:pt>
                <c:pt idx="1244">
                  <c:v>1244</c:v>
                </c:pt>
                <c:pt idx="1245">
                  <c:v>1245</c:v>
                </c:pt>
                <c:pt idx="1246">
                  <c:v>1246</c:v>
                </c:pt>
                <c:pt idx="1247">
                  <c:v>1247</c:v>
                </c:pt>
                <c:pt idx="1248">
                  <c:v>1248</c:v>
                </c:pt>
                <c:pt idx="1249">
                  <c:v>1249</c:v>
                </c:pt>
                <c:pt idx="1250">
                  <c:v>1250</c:v>
                </c:pt>
                <c:pt idx="1251">
                  <c:v>1251</c:v>
                </c:pt>
                <c:pt idx="1252">
                  <c:v>1252</c:v>
                </c:pt>
                <c:pt idx="1253">
                  <c:v>1253</c:v>
                </c:pt>
                <c:pt idx="1254">
                  <c:v>1254</c:v>
                </c:pt>
                <c:pt idx="1255">
                  <c:v>1255</c:v>
                </c:pt>
                <c:pt idx="1256">
                  <c:v>1256</c:v>
                </c:pt>
                <c:pt idx="1257">
                  <c:v>1257</c:v>
                </c:pt>
                <c:pt idx="1258">
                  <c:v>1258</c:v>
                </c:pt>
                <c:pt idx="1259">
                  <c:v>1259</c:v>
                </c:pt>
                <c:pt idx="1260">
                  <c:v>1260</c:v>
                </c:pt>
                <c:pt idx="1261">
                  <c:v>1261</c:v>
                </c:pt>
                <c:pt idx="1262">
                  <c:v>1262</c:v>
                </c:pt>
                <c:pt idx="1263">
                  <c:v>1263</c:v>
                </c:pt>
                <c:pt idx="1264">
                  <c:v>1264</c:v>
                </c:pt>
                <c:pt idx="1265">
                  <c:v>1265</c:v>
                </c:pt>
                <c:pt idx="1266">
                  <c:v>1266</c:v>
                </c:pt>
                <c:pt idx="1267">
                  <c:v>1267</c:v>
                </c:pt>
                <c:pt idx="1268">
                  <c:v>1268</c:v>
                </c:pt>
                <c:pt idx="1269">
                  <c:v>1269</c:v>
                </c:pt>
                <c:pt idx="1270">
                  <c:v>1270</c:v>
                </c:pt>
                <c:pt idx="1271">
                  <c:v>1271</c:v>
                </c:pt>
                <c:pt idx="1272">
                  <c:v>1272</c:v>
                </c:pt>
                <c:pt idx="1273">
                  <c:v>1273</c:v>
                </c:pt>
                <c:pt idx="1274">
                  <c:v>1274</c:v>
                </c:pt>
                <c:pt idx="1275">
                  <c:v>1275</c:v>
                </c:pt>
                <c:pt idx="1276">
                  <c:v>1276</c:v>
                </c:pt>
                <c:pt idx="1277">
                  <c:v>1277</c:v>
                </c:pt>
                <c:pt idx="1278">
                  <c:v>1278</c:v>
                </c:pt>
                <c:pt idx="1279">
                  <c:v>1279</c:v>
                </c:pt>
                <c:pt idx="1280">
                  <c:v>1280</c:v>
                </c:pt>
                <c:pt idx="1281">
                  <c:v>1281</c:v>
                </c:pt>
                <c:pt idx="1282">
                  <c:v>1282</c:v>
                </c:pt>
                <c:pt idx="1283">
                  <c:v>1283</c:v>
                </c:pt>
                <c:pt idx="1284">
                  <c:v>1284</c:v>
                </c:pt>
                <c:pt idx="1285">
                  <c:v>1285</c:v>
                </c:pt>
                <c:pt idx="1286">
                  <c:v>1286</c:v>
                </c:pt>
                <c:pt idx="1287">
                  <c:v>1287</c:v>
                </c:pt>
                <c:pt idx="1288">
                  <c:v>1288</c:v>
                </c:pt>
                <c:pt idx="1289">
                  <c:v>1289</c:v>
                </c:pt>
                <c:pt idx="1290">
                  <c:v>1290</c:v>
                </c:pt>
                <c:pt idx="1291">
                  <c:v>1291</c:v>
                </c:pt>
                <c:pt idx="1292">
                  <c:v>1292</c:v>
                </c:pt>
                <c:pt idx="1293">
                  <c:v>1293</c:v>
                </c:pt>
                <c:pt idx="1294">
                  <c:v>1294</c:v>
                </c:pt>
                <c:pt idx="1295">
                  <c:v>1295</c:v>
                </c:pt>
                <c:pt idx="1296">
                  <c:v>1296</c:v>
                </c:pt>
                <c:pt idx="1297">
                  <c:v>1297</c:v>
                </c:pt>
                <c:pt idx="1298">
                  <c:v>1298</c:v>
                </c:pt>
                <c:pt idx="1299">
                  <c:v>1299</c:v>
                </c:pt>
                <c:pt idx="1300">
                  <c:v>1300</c:v>
                </c:pt>
                <c:pt idx="1301">
                  <c:v>1301</c:v>
                </c:pt>
                <c:pt idx="1302">
                  <c:v>1302</c:v>
                </c:pt>
                <c:pt idx="1303">
                  <c:v>1303</c:v>
                </c:pt>
                <c:pt idx="1304">
                  <c:v>1304</c:v>
                </c:pt>
                <c:pt idx="1305">
                  <c:v>1305</c:v>
                </c:pt>
                <c:pt idx="1306">
                  <c:v>1306</c:v>
                </c:pt>
                <c:pt idx="1307">
                  <c:v>1307</c:v>
                </c:pt>
                <c:pt idx="1308">
                  <c:v>1308</c:v>
                </c:pt>
                <c:pt idx="1309">
                  <c:v>1309</c:v>
                </c:pt>
                <c:pt idx="1310">
                  <c:v>1310</c:v>
                </c:pt>
                <c:pt idx="1311">
                  <c:v>1311</c:v>
                </c:pt>
                <c:pt idx="1312">
                  <c:v>1312</c:v>
                </c:pt>
                <c:pt idx="1313">
                  <c:v>1313</c:v>
                </c:pt>
                <c:pt idx="1314">
                  <c:v>1314</c:v>
                </c:pt>
                <c:pt idx="1315">
                  <c:v>1315</c:v>
                </c:pt>
                <c:pt idx="1316">
                  <c:v>1316</c:v>
                </c:pt>
                <c:pt idx="1317">
                  <c:v>1317</c:v>
                </c:pt>
                <c:pt idx="1318">
                  <c:v>1318</c:v>
                </c:pt>
                <c:pt idx="1319">
                  <c:v>1319</c:v>
                </c:pt>
                <c:pt idx="1320">
                  <c:v>1320</c:v>
                </c:pt>
                <c:pt idx="1321">
                  <c:v>1321</c:v>
                </c:pt>
                <c:pt idx="1322">
                  <c:v>1322</c:v>
                </c:pt>
                <c:pt idx="1323">
                  <c:v>1323</c:v>
                </c:pt>
                <c:pt idx="1324">
                  <c:v>1324</c:v>
                </c:pt>
                <c:pt idx="1325">
                  <c:v>1325</c:v>
                </c:pt>
                <c:pt idx="1326">
                  <c:v>1326</c:v>
                </c:pt>
                <c:pt idx="1327">
                  <c:v>1327</c:v>
                </c:pt>
                <c:pt idx="1328">
                  <c:v>1328</c:v>
                </c:pt>
                <c:pt idx="1329">
                  <c:v>1329</c:v>
                </c:pt>
                <c:pt idx="1330">
                  <c:v>1330</c:v>
                </c:pt>
                <c:pt idx="1331">
                  <c:v>1331</c:v>
                </c:pt>
                <c:pt idx="1332">
                  <c:v>1332</c:v>
                </c:pt>
                <c:pt idx="1333">
                  <c:v>1333</c:v>
                </c:pt>
                <c:pt idx="1334">
                  <c:v>1334</c:v>
                </c:pt>
                <c:pt idx="1335">
                  <c:v>1335</c:v>
                </c:pt>
                <c:pt idx="1336">
                  <c:v>1336</c:v>
                </c:pt>
                <c:pt idx="1337">
                  <c:v>1337</c:v>
                </c:pt>
                <c:pt idx="1338">
                  <c:v>1338</c:v>
                </c:pt>
                <c:pt idx="1339">
                  <c:v>1339</c:v>
                </c:pt>
                <c:pt idx="1340">
                  <c:v>1340</c:v>
                </c:pt>
                <c:pt idx="1341">
                  <c:v>1341</c:v>
                </c:pt>
                <c:pt idx="1342">
                  <c:v>1342</c:v>
                </c:pt>
                <c:pt idx="1343">
                  <c:v>1343</c:v>
                </c:pt>
                <c:pt idx="1344">
                  <c:v>1344</c:v>
                </c:pt>
                <c:pt idx="1345">
                  <c:v>1345</c:v>
                </c:pt>
                <c:pt idx="1346">
                  <c:v>1346</c:v>
                </c:pt>
                <c:pt idx="1347">
                  <c:v>1347</c:v>
                </c:pt>
                <c:pt idx="1348">
                  <c:v>1348</c:v>
                </c:pt>
                <c:pt idx="1349">
                  <c:v>1349</c:v>
                </c:pt>
                <c:pt idx="1350">
                  <c:v>1350</c:v>
                </c:pt>
                <c:pt idx="1351">
                  <c:v>1351</c:v>
                </c:pt>
                <c:pt idx="1352">
                  <c:v>1352</c:v>
                </c:pt>
                <c:pt idx="1353">
                  <c:v>1353</c:v>
                </c:pt>
                <c:pt idx="1354">
                  <c:v>1354</c:v>
                </c:pt>
                <c:pt idx="1355">
                  <c:v>1355</c:v>
                </c:pt>
                <c:pt idx="1356">
                  <c:v>1356</c:v>
                </c:pt>
                <c:pt idx="1357">
                  <c:v>1357</c:v>
                </c:pt>
                <c:pt idx="1358">
                  <c:v>1358</c:v>
                </c:pt>
                <c:pt idx="1359">
                  <c:v>1359</c:v>
                </c:pt>
                <c:pt idx="1360">
                  <c:v>1360</c:v>
                </c:pt>
                <c:pt idx="1361">
                  <c:v>1361</c:v>
                </c:pt>
                <c:pt idx="1362">
                  <c:v>1362</c:v>
                </c:pt>
                <c:pt idx="1363">
                  <c:v>1363</c:v>
                </c:pt>
                <c:pt idx="1364">
                  <c:v>1364</c:v>
                </c:pt>
                <c:pt idx="1365">
                  <c:v>1365</c:v>
                </c:pt>
                <c:pt idx="1366">
                  <c:v>1366</c:v>
                </c:pt>
                <c:pt idx="1367">
                  <c:v>1367</c:v>
                </c:pt>
                <c:pt idx="1368">
                  <c:v>1368</c:v>
                </c:pt>
                <c:pt idx="1369">
                  <c:v>1369</c:v>
                </c:pt>
                <c:pt idx="1370">
                  <c:v>1370</c:v>
                </c:pt>
                <c:pt idx="1371">
                  <c:v>1371</c:v>
                </c:pt>
                <c:pt idx="1372">
                  <c:v>1372</c:v>
                </c:pt>
                <c:pt idx="1373">
                  <c:v>1373</c:v>
                </c:pt>
                <c:pt idx="1374">
                  <c:v>1374</c:v>
                </c:pt>
                <c:pt idx="1375">
                  <c:v>1375</c:v>
                </c:pt>
                <c:pt idx="1376">
                  <c:v>1376</c:v>
                </c:pt>
                <c:pt idx="1377">
                  <c:v>1377</c:v>
                </c:pt>
                <c:pt idx="1378">
                  <c:v>1378</c:v>
                </c:pt>
                <c:pt idx="1379">
                  <c:v>1379</c:v>
                </c:pt>
                <c:pt idx="1380">
                  <c:v>1380</c:v>
                </c:pt>
                <c:pt idx="1381">
                  <c:v>1381</c:v>
                </c:pt>
                <c:pt idx="1382">
                  <c:v>1382</c:v>
                </c:pt>
                <c:pt idx="1383">
                  <c:v>1383</c:v>
                </c:pt>
                <c:pt idx="1384">
                  <c:v>1384</c:v>
                </c:pt>
                <c:pt idx="1385">
                  <c:v>1385</c:v>
                </c:pt>
                <c:pt idx="1386">
                  <c:v>1386</c:v>
                </c:pt>
                <c:pt idx="1387">
                  <c:v>1387</c:v>
                </c:pt>
                <c:pt idx="1388">
                  <c:v>1388</c:v>
                </c:pt>
                <c:pt idx="1389">
                  <c:v>1389</c:v>
                </c:pt>
                <c:pt idx="1390">
                  <c:v>1390</c:v>
                </c:pt>
                <c:pt idx="1391">
                  <c:v>1391</c:v>
                </c:pt>
                <c:pt idx="1392">
                  <c:v>1392</c:v>
                </c:pt>
                <c:pt idx="1393">
                  <c:v>1393</c:v>
                </c:pt>
                <c:pt idx="1394">
                  <c:v>1394</c:v>
                </c:pt>
                <c:pt idx="1395">
                  <c:v>1395</c:v>
                </c:pt>
                <c:pt idx="1396">
                  <c:v>1396</c:v>
                </c:pt>
                <c:pt idx="1397">
                  <c:v>1397</c:v>
                </c:pt>
                <c:pt idx="1398">
                  <c:v>1398</c:v>
                </c:pt>
                <c:pt idx="1399">
                  <c:v>1399</c:v>
                </c:pt>
                <c:pt idx="1400">
                  <c:v>1400</c:v>
                </c:pt>
                <c:pt idx="1401">
                  <c:v>1401</c:v>
                </c:pt>
                <c:pt idx="1402">
                  <c:v>1402</c:v>
                </c:pt>
                <c:pt idx="1403">
                  <c:v>1403</c:v>
                </c:pt>
                <c:pt idx="1404">
                  <c:v>1404</c:v>
                </c:pt>
                <c:pt idx="1405">
                  <c:v>1405</c:v>
                </c:pt>
                <c:pt idx="1406">
                  <c:v>1406</c:v>
                </c:pt>
                <c:pt idx="1407">
                  <c:v>1407</c:v>
                </c:pt>
                <c:pt idx="1408">
                  <c:v>1408</c:v>
                </c:pt>
                <c:pt idx="1409">
                  <c:v>1409</c:v>
                </c:pt>
                <c:pt idx="1410">
                  <c:v>1410</c:v>
                </c:pt>
                <c:pt idx="1411">
                  <c:v>1411</c:v>
                </c:pt>
                <c:pt idx="1412">
                  <c:v>1412</c:v>
                </c:pt>
                <c:pt idx="1413">
                  <c:v>1413</c:v>
                </c:pt>
                <c:pt idx="1414">
                  <c:v>1414</c:v>
                </c:pt>
                <c:pt idx="1415">
                  <c:v>1415</c:v>
                </c:pt>
                <c:pt idx="1416">
                  <c:v>1416</c:v>
                </c:pt>
                <c:pt idx="1417">
                  <c:v>1417</c:v>
                </c:pt>
                <c:pt idx="1418">
                  <c:v>1418</c:v>
                </c:pt>
                <c:pt idx="1419">
                  <c:v>1419</c:v>
                </c:pt>
                <c:pt idx="1420">
                  <c:v>1420</c:v>
                </c:pt>
                <c:pt idx="1421">
                  <c:v>1421</c:v>
                </c:pt>
                <c:pt idx="1422">
                  <c:v>1422</c:v>
                </c:pt>
                <c:pt idx="1423">
                  <c:v>1423</c:v>
                </c:pt>
                <c:pt idx="1424">
                  <c:v>1424</c:v>
                </c:pt>
                <c:pt idx="1425">
                  <c:v>1425</c:v>
                </c:pt>
                <c:pt idx="1426">
                  <c:v>1426</c:v>
                </c:pt>
                <c:pt idx="1427">
                  <c:v>1427</c:v>
                </c:pt>
                <c:pt idx="1428">
                  <c:v>1428</c:v>
                </c:pt>
                <c:pt idx="1429">
                  <c:v>1429</c:v>
                </c:pt>
                <c:pt idx="1430">
                  <c:v>1430</c:v>
                </c:pt>
                <c:pt idx="1431">
                  <c:v>1431</c:v>
                </c:pt>
                <c:pt idx="1432">
                  <c:v>1432</c:v>
                </c:pt>
                <c:pt idx="1433">
                  <c:v>1433</c:v>
                </c:pt>
                <c:pt idx="1434">
                  <c:v>1434</c:v>
                </c:pt>
                <c:pt idx="1435">
                  <c:v>1435</c:v>
                </c:pt>
                <c:pt idx="1436">
                  <c:v>1436</c:v>
                </c:pt>
                <c:pt idx="1437">
                  <c:v>1437</c:v>
                </c:pt>
                <c:pt idx="1438">
                  <c:v>1438</c:v>
                </c:pt>
                <c:pt idx="1439">
                  <c:v>1439</c:v>
                </c:pt>
                <c:pt idx="1440">
                  <c:v>1440</c:v>
                </c:pt>
                <c:pt idx="1441">
                  <c:v>1441</c:v>
                </c:pt>
                <c:pt idx="1442">
                  <c:v>1442</c:v>
                </c:pt>
                <c:pt idx="1443">
                  <c:v>1443</c:v>
                </c:pt>
                <c:pt idx="1444">
                  <c:v>1444</c:v>
                </c:pt>
                <c:pt idx="1445">
                  <c:v>1445</c:v>
                </c:pt>
                <c:pt idx="1446">
                  <c:v>1446</c:v>
                </c:pt>
                <c:pt idx="1447">
                  <c:v>1447</c:v>
                </c:pt>
                <c:pt idx="1448">
                  <c:v>1448</c:v>
                </c:pt>
                <c:pt idx="1449">
                  <c:v>1449</c:v>
                </c:pt>
                <c:pt idx="1450">
                  <c:v>1450</c:v>
                </c:pt>
                <c:pt idx="1451">
                  <c:v>1451</c:v>
                </c:pt>
                <c:pt idx="1452">
                  <c:v>1452</c:v>
                </c:pt>
                <c:pt idx="1453">
                  <c:v>1453</c:v>
                </c:pt>
                <c:pt idx="1454">
                  <c:v>1454</c:v>
                </c:pt>
                <c:pt idx="1455">
                  <c:v>1455</c:v>
                </c:pt>
                <c:pt idx="1456">
                  <c:v>1456</c:v>
                </c:pt>
                <c:pt idx="1457">
                  <c:v>1457</c:v>
                </c:pt>
                <c:pt idx="1458">
                  <c:v>1458</c:v>
                </c:pt>
                <c:pt idx="1459">
                  <c:v>1459</c:v>
                </c:pt>
                <c:pt idx="1460">
                  <c:v>1460</c:v>
                </c:pt>
                <c:pt idx="1461">
                  <c:v>1461</c:v>
                </c:pt>
                <c:pt idx="1462">
                  <c:v>1462</c:v>
                </c:pt>
                <c:pt idx="1463">
                  <c:v>1463</c:v>
                </c:pt>
                <c:pt idx="1464">
                  <c:v>1464</c:v>
                </c:pt>
                <c:pt idx="1465">
                  <c:v>1465</c:v>
                </c:pt>
                <c:pt idx="1466">
                  <c:v>1466</c:v>
                </c:pt>
                <c:pt idx="1467">
                  <c:v>1467</c:v>
                </c:pt>
                <c:pt idx="1468">
                  <c:v>1468</c:v>
                </c:pt>
                <c:pt idx="1469">
                  <c:v>1469</c:v>
                </c:pt>
                <c:pt idx="1470">
                  <c:v>1470</c:v>
                </c:pt>
                <c:pt idx="1471">
                  <c:v>1471</c:v>
                </c:pt>
                <c:pt idx="1472">
                  <c:v>1472</c:v>
                </c:pt>
                <c:pt idx="1473">
                  <c:v>1473</c:v>
                </c:pt>
                <c:pt idx="1474">
                  <c:v>1474</c:v>
                </c:pt>
                <c:pt idx="1475">
                  <c:v>1475</c:v>
                </c:pt>
                <c:pt idx="1476">
                  <c:v>1476</c:v>
                </c:pt>
                <c:pt idx="1477">
                  <c:v>1477</c:v>
                </c:pt>
                <c:pt idx="1478">
                  <c:v>1478</c:v>
                </c:pt>
                <c:pt idx="1479">
                  <c:v>1479</c:v>
                </c:pt>
                <c:pt idx="1480">
                  <c:v>1480</c:v>
                </c:pt>
                <c:pt idx="1481">
                  <c:v>1481</c:v>
                </c:pt>
                <c:pt idx="1482">
                  <c:v>1482</c:v>
                </c:pt>
                <c:pt idx="1483">
                  <c:v>1483</c:v>
                </c:pt>
                <c:pt idx="1484">
                  <c:v>1484</c:v>
                </c:pt>
                <c:pt idx="1485">
                  <c:v>1485</c:v>
                </c:pt>
                <c:pt idx="1486">
                  <c:v>1486</c:v>
                </c:pt>
                <c:pt idx="1487">
                  <c:v>1487</c:v>
                </c:pt>
                <c:pt idx="1488">
                  <c:v>1488</c:v>
                </c:pt>
                <c:pt idx="1489">
                  <c:v>1489</c:v>
                </c:pt>
                <c:pt idx="1490">
                  <c:v>1490</c:v>
                </c:pt>
                <c:pt idx="1491">
                  <c:v>1491</c:v>
                </c:pt>
                <c:pt idx="1492">
                  <c:v>1492</c:v>
                </c:pt>
                <c:pt idx="1493">
                  <c:v>1493</c:v>
                </c:pt>
                <c:pt idx="1494">
                  <c:v>1494</c:v>
                </c:pt>
                <c:pt idx="1495">
                  <c:v>1495</c:v>
                </c:pt>
                <c:pt idx="1496">
                  <c:v>1496</c:v>
                </c:pt>
                <c:pt idx="1497">
                  <c:v>1497</c:v>
                </c:pt>
                <c:pt idx="1498">
                  <c:v>1498</c:v>
                </c:pt>
                <c:pt idx="1499">
                  <c:v>1499</c:v>
                </c:pt>
                <c:pt idx="1500">
                  <c:v>1500</c:v>
                </c:pt>
                <c:pt idx="1501">
                  <c:v>1501</c:v>
                </c:pt>
                <c:pt idx="1502">
                  <c:v>1502</c:v>
                </c:pt>
                <c:pt idx="1503">
                  <c:v>1503</c:v>
                </c:pt>
                <c:pt idx="1504">
                  <c:v>1504</c:v>
                </c:pt>
                <c:pt idx="1505">
                  <c:v>1505</c:v>
                </c:pt>
                <c:pt idx="1506">
                  <c:v>1506</c:v>
                </c:pt>
                <c:pt idx="1507">
                  <c:v>1507</c:v>
                </c:pt>
                <c:pt idx="1508">
                  <c:v>1508</c:v>
                </c:pt>
                <c:pt idx="1509">
                  <c:v>1509</c:v>
                </c:pt>
                <c:pt idx="1510">
                  <c:v>1510</c:v>
                </c:pt>
                <c:pt idx="1511">
                  <c:v>1511</c:v>
                </c:pt>
                <c:pt idx="1512">
                  <c:v>1512</c:v>
                </c:pt>
                <c:pt idx="1513">
                  <c:v>1513</c:v>
                </c:pt>
                <c:pt idx="1514">
                  <c:v>1514</c:v>
                </c:pt>
                <c:pt idx="1515">
                  <c:v>1515</c:v>
                </c:pt>
                <c:pt idx="1516">
                  <c:v>1516</c:v>
                </c:pt>
                <c:pt idx="1517">
                  <c:v>1517</c:v>
                </c:pt>
                <c:pt idx="1518">
                  <c:v>1518</c:v>
                </c:pt>
                <c:pt idx="1519">
                  <c:v>1519</c:v>
                </c:pt>
                <c:pt idx="1520">
                  <c:v>1520</c:v>
                </c:pt>
                <c:pt idx="1521">
                  <c:v>1521</c:v>
                </c:pt>
                <c:pt idx="1522">
                  <c:v>1522</c:v>
                </c:pt>
                <c:pt idx="1523">
                  <c:v>1523</c:v>
                </c:pt>
                <c:pt idx="1524">
                  <c:v>1524</c:v>
                </c:pt>
                <c:pt idx="1525">
                  <c:v>1525</c:v>
                </c:pt>
                <c:pt idx="1526">
                  <c:v>1526</c:v>
                </c:pt>
                <c:pt idx="1527">
                  <c:v>1527</c:v>
                </c:pt>
                <c:pt idx="1528">
                  <c:v>1528</c:v>
                </c:pt>
                <c:pt idx="1529">
                  <c:v>1529</c:v>
                </c:pt>
                <c:pt idx="1530">
                  <c:v>1530</c:v>
                </c:pt>
                <c:pt idx="1531">
                  <c:v>1531</c:v>
                </c:pt>
                <c:pt idx="1532">
                  <c:v>1532</c:v>
                </c:pt>
                <c:pt idx="1533">
                  <c:v>1533</c:v>
                </c:pt>
                <c:pt idx="1534">
                  <c:v>1534</c:v>
                </c:pt>
                <c:pt idx="1535">
                  <c:v>1535</c:v>
                </c:pt>
                <c:pt idx="1536">
                  <c:v>1536</c:v>
                </c:pt>
                <c:pt idx="1537">
                  <c:v>1537</c:v>
                </c:pt>
                <c:pt idx="1538">
                  <c:v>1538</c:v>
                </c:pt>
                <c:pt idx="1539">
                  <c:v>1539</c:v>
                </c:pt>
                <c:pt idx="1540">
                  <c:v>1540</c:v>
                </c:pt>
                <c:pt idx="1541">
                  <c:v>1541</c:v>
                </c:pt>
                <c:pt idx="1542">
                  <c:v>1542</c:v>
                </c:pt>
                <c:pt idx="1543">
                  <c:v>1543</c:v>
                </c:pt>
                <c:pt idx="1544">
                  <c:v>1544</c:v>
                </c:pt>
                <c:pt idx="1545">
                  <c:v>1545</c:v>
                </c:pt>
                <c:pt idx="1546">
                  <c:v>1546</c:v>
                </c:pt>
                <c:pt idx="1547">
                  <c:v>1547</c:v>
                </c:pt>
                <c:pt idx="1548">
                  <c:v>1548</c:v>
                </c:pt>
                <c:pt idx="1549">
                  <c:v>1549</c:v>
                </c:pt>
                <c:pt idx="1550">
                  <c:v>1550</c:v>
                </c:pt>
                <c:pt idx="1551">
                  <c:v>1551</c:v>
                </c:pt>
                <c:pt idx="1552">
                  <c:v>1552</c:v>
                </c:pt>
                <c:pt idx="1553">
                  <c:v>1553</c:v>
                </c:pt>
                <c:pt idx="1554">
                  <c:v>1554</c:v>
                </c:pt>
                <c:pt idx="1555">
                  <c:v>1555</c:v>
                </c:pt>
                <c:pt idx="1556">
                  <c:v>1556</c:v>
                </c:pt>
                <c:pt idx="1557">
                  <c:v>1557</c:v>
                </c:pt>
                <c:pt idx="1558">
                  <c:v>1558</c:v>
                </c:pt>
                <c:pt idx="1559">
                  <c:v>1559</c:v>
                </c:pt>
                <c:pt idx="1560">
                  <c:v>1560</c:v>
                </c:pt>
                <c:pt idx="1561">
                  <c:v>1561</c:v>
                </c:pt>
                <c:pt idx="1562">
                  <c:v>1562</c:v>
                </c:pt>
                <c:pt idx="1563">
                  <c:v>1563</c:v>
                </c:pt>
                <c:pt idx="1564">
                  <c:v>1564</c:v>
                </c:pt>
                <c:pt idx="1565">
                  <c:v>1565</c:v>
                </c:pt>
                <c:pt idx="1566">
                  <c:v>1566</c:v>
                </c:pt>
                <c:pt idx="1567">
                  <c:v>1567</c:v>
                </c:pt>
                <c:pt idx="1568">
                  <c:v>1568</c:v>
                </c:pt>
                <c:pt idx="1569">
                  <c:v>1569</c:v>
                </c:pt>
                <c:pt idx="1570">
                  <c:v>1570</c:v>
                </c:pt>
                <c:pt idx="1571">
                  <c:v>1571</c:v>
                </c:pt>
                <c:pt idx="1572">
                  <c:v>1572</c:v>
                </c:pt>
                <c:pt idx="1573">
                  <c:v>1573</c:v>
                </c:pt>
                <c:pt idx="1574">
                  <c:v>1574</c:v>
                </c:pt>
                <c:pt idx="1575">
                  <c:v>1575</c:v>
                </c:pt>
                <c:pt idx="1576">
                  <c:v>1576</c:v>
                </c:pt>
                <c:pt idx="1577">
                  <c:v>1577</c:v>
                </c:pt>
                <c:pt idx="1578">
                  <c:v>1578</c:v>
                </c:pt>
                <c:pt idx="1579">
                  <c:v>1579</c:v>
                </c:pt>
                <c:pt idx="1580">
                  <c:v>1580</c:v>
                </c:pt>
                <c:pt idx="1581">
                  <c:v>1581</c:v>
                </c:pt>
                <c:pt idx="1582">
                  <c:v>1582</c:v>
                </c:pt>
                <c:pt idx="1583">
                  <c:v>1583</c:v>
                </c:pt>
                <c:pt idx="1584">
                  <c:v>1584</c:v>
                </c:pt>
                <c:pt idx="1585">
                  <c:v>1585</c:v>
                </c:pt>
                <c:pt idx="1586">
                  <c:v>1586</c:v>
                </c:pt>
                <c:pt idx="1587">
                  <c:v>1587</c:v>
                </c:pt>
                <c:pt idx="1588">
                  <c:v>1588</c:v>
                </c:pt>
                <c:pt idx="1589">
                  <c:v>1589</c:v>
                </c:pt>
                <c:pt idx="1590">
                  <c:v>1590</c:v>
                </c:pt>
                <c:pt idx="1591">
                  <c:v>1591</c:v>
                </c:pt>
                <c:pt idx="1592">
                  <c:v>1592</c:v>
                </c:pt>
                <c:pt idx="1593">
                  <c:v>1593</c:v>
                </c:pt>
                <c:pt idx="1594">
                  <c:v>1594</c:v>
                </c:pt>
                <c:pt idx="1595">
                  <c:v>1595</c:v>
                </c:pt>
                <c:pt idx="1596">
                  <c:v>1596</c:v>
                </c:pt>
                <c:pt idx="1597">
                  <c:v>1597</c:v>
                </c:pt>
                <c:pt idx="1598">
                  <c:v>1598</c:v>
                </c:pt>
                <c:pt idx="1599">
                  <c:v>1599</c:v>
                </c:pt>
                <c:pt idx="1600">
                  <c:v>1600</c:v>
                </c:pt>
                <c:pt idx="1601">
                  <c:v>1601</c:v>
                </c:pt>
                <c:pt idx="1602">
                  <c:v>1602</c:v>
                </c:pt>
                <c:pt idx="1603">
                  <c:v>1603</c:v>
                </c:pt>
                <c:pt idx="1604">
                  <c:v>1604</c:v>
                </c:pt>
                <c:pt idx="1605">
                  <c:v>1605</c:v>
                </c:pt>
                <c:pt idx="1606">
                  <c:v>1606</c:v>
                </c:pt>
                <c:pt idx="1607">
                  <c:v>1607</c:v>
                </c:pt>
                <c:pt idx="1608">
                  <c:v>1608</c:v>
                </c:pt>
                <c:pt idx="1609">
                  <c:v>1609</c:v>
                </c:pt>
                <c:pt idx="1610">
                  <c:v>1610</c:v>
                </c:pt>
                <c:pt idx="1611">
                  <c:v>1611</c:v>
                </c:pt>
                <c:pt idx="1612">
                  <c:v>1612</c:v>
                </c:pt>
                <c:pt idx="1613">
                  <c:v>1613</c:v>
                </c:pt>
                <c:pt idx="1614">
                  <c:v>1614</c:v>
                </c:pt>
                <c:pt idx="1615">
                  <c:v>1615</c:v>
                </c:pt>
                <c:pt idx="1616">
                  <c:v>1616</c:v>
                </c:pt>
                <c:pt idx="1617">
                  <c:v>1617</c:v>
                </c:pt>
                <c:pt idx="1618">
                  <c:v>1618</c:v>
                </c:pt>
                <c:pt idx="1619">
                  <c:v>1619</c:v>
                </c:pt>
                <c:pt idx="1620">
                  <c:v>1620</c:v>
                </c:pt>
                <c:pt idx="1621">
                  <c:v>1621</c:v>
                </c:pt>
                <c:pt idx="1622">
                  <c:v>1622</c:v>
                </c:pt>
                <c:pt idx="1623">
                  <c:v>1623</c:v>
                </c:pt>
                <c:pt idx="1624">
                  <c:v>1624</c:v>
                </c:pt>
                <c:pt idx="1625">
                  <c:v>1625</c:v>
                </c:pt>
                <c:pt idx="1626">
                  <c:v>1626</c:v>
                </c:pt>
                <c:pt idx="1627">
                  <c:v>1627</c:v>
                </c:pt>
                <c:pt idx="1628">
                  <c:v>1628</c:v>
                </c:pt>
                <c:pt idx="1629">
                  <c:v>1629</c:v>
                </c:pt>
                <c:pt idx="1630">
                  <c:v>1630</c:v>
                </c:pt>
                <c:pt idx="1631">
                  <c:v>1631</c:v>
                </c:pt>
                <c:pt idx="1632">
                  <c:v>1632</c:v>
                </c:pt>
                <c:pt idx="1633">
                  <c:v>1633</c:v>
                </c:pt>
                <c:pt idx="1634">
                  <c:v>1634</c:v>
                </c:pt>
                <c:pt idx="1635">
                  <c:v>1635</c:v>
                </c:pt>
                <c:pt idx="1636">
                  <c:v>1636</c:v>
                </c:pt>
                <c:pt idx="1637">
                  <c:v>1637</c:v>
                </c:pt>
                <c:pt idx="1638">
                  <c:v>1638</c:v>
                </c:pt>
                <c:pt idx="1639">
                  <c:v>1639</c:v>
                </c:pt>
                <c:pt idx="1640">
                  <c:v>1640</c:v>
                </c:pt>
                <c:pt idx="1641">
                  <c:v>1641</c:v>
                </c:pt>
                <c:pt idx="1642">
                  <c:v>1642</c:v>
                </c:pt>
                <c:pt idx="1643">
                  <c:v>1643</c:v>
                </c:pt>
                <c:pt idx="1644">
                  <c:v>1644</c:v>
                </c:pt>
                <c:pt idx="1645">
                  <c:v>1645</c:v>
                </c:pt>
                <c:pt idx="1646">
                  <c:v>1646</c:v>
                </c:pt>
                <c:pt idx="1647">
                  <c:v>1647</c:v>
                </c:pt>
                <c:pt idx="1648">
                  <c:v>1648</c:v>
                </c:pt>
                <c:pt idx="1649">
                  <c:v>1649</c:v>
                </c:pt>
                <c:pt idx="1650">
                  <c:v>1650</c:v>
                </c:pt>
                <c:pt idx="1651">
                  <c:v>1651</c:v>
                </c:pt>
                <c:pt idx="1652">
                  <c:v>1652</c:v>
                </c:pt>
                <c:pt idx="1653">
                  <c:v>1653</c:v>
                </c:pt>
                <c:pt idx="1654">
                  <c:v>1654</c:v>
                </c:pt>
                <c:pt idx="1655">
                  <c:v>1655</c:v>
                </c:pt>
                <c:pt idx="1656">
                  <c:v>1656</c:v>
                </c:pt>
                <c:pt idx="1657">
                  <c:v>1657</c:v>
                </c:pt>
                <c:pt idx="1658">
                  <c:v>1658</c:v>
                </c:pt>
                <c:pt idx="1659">
                  <c:v>1659</c:v>
                </c:pt>
                <c:pt idx="1660">
                  <c:v>1660</c:v>
                </c:pt>
                <c:pt idx="1661">
                  <c:v>1661</c:v>
                </c:pt>
                <c:pt idx="1662">
                  <c:v>1662</c:v>
                </c:pt>
                <c:pt idx="1663">
                  <c:v>1663</c:v>
                </c:pt>
                <c:pt idx="1664">
                  <c:v>1664</c:v>
                </c:pt>
                <c:pt idx="1665">
                  <c:v>1665</c:v>
                </c:pt>
                <c:pt idx="1666">
                  <c:v>1666</c:v>
                </c:pt>
                <c:pt idx="1667">
                  <c:v>1667</c:v>
                </c:pt>
                <c:pt idx="1668">
                  <c:v>1668</c:v>
                </c:pt>
                <c:pt idx="1669">
                  <c:v>1669</c:v>
                </c:pt>
                <c:pt idx="1670">
                  <c:v>1670</c:v>
                </c:pt>
                <c:pt idx="1671">
                  <c:v>1671</c:v>
                </c:pt>
                <c:pt idx="1672">
                  <c:v>1672</c:v>
                </c:pt>
                <c:pt idx="1673">
                  <c:v>1673</c:v>
                </c:pt>
                <c:pt idx="1674">
                  <c:v>1674</c:v>
                </c:pt>
                <c:pt idx="1675">
                  <c:v>1675</c:v>
                </c:pt>
                <c:pt idx="1676">
                  <c:v>1676</c:v>
                </c:pt>
                <c:pt idx="1677">
                  <c:v>1677</c:v>
                </c:pt>
                <c:pt idx="1678">
                  <c:v>1678</c:v>
                </c:pt>
                <c:pt idx="1679">
                  <c:v>1679</c:v>
                </c:pt>
                <c:pt idx="1680">
                  <c:v>1680</c:v>
                </c:pt>
                <c:pt idx="1681">
                  <c:v>1681</c:v>
                </c:pt>
                <c:pt idx="1682">
                  <c:v>1682</c:v>
                </c:pt>
                <c:pt idx="1683">
                  <c:v>1683</c:v>
                </c:pt>
                <c:pt idx="1684">
                  <c:v>1684</c:v>
                </c:pt>
                <c:pt idx="1685">
                  <c:v>1685</c:v>
                </c:pt>
                <c:pt idx="1686">
                  <c:v>1686</c:v>
                </c:pt>
                <c:pt idx="1687">
                  <c:v>1687</c:v>
                </c:pt>
                <c:pt idx="1688">
                  <c:v>1688</c:v>
                </c:pt>
                <c:pt idx="1689">
                  <c:v>1689</c:v>
                </c:pt>
                <c:pt idx="1690">
                  <c:v>1690</c:v>
                </c:pt>
                <c:pt idx="1691">
                  <c:v>1691</c:v>
                </c:pt>
                <c:pt idx="1692">
                  <c:v>1692</c:v>
                </c:pt>
                <c:pt idx="1693">
                  <c:v>1693</c:v>
                </c:pt>
                <c:pt idx="1694">
                  <c:v>1694</c:v>
                </c:pt>
                <c:pt idx="1695">
                  <c:v>1695</c:v>
                </c:pt>
                <c:pt idx="1696">
                  <c:v>1696</c:v>
                </c:pt>
                <c:pt idx="1697">
                  <c:v>1697</c:v>
                </c:pt>
                <c:pt idx="1698">
                  <c:v>1698</c:v>
                </c:pt>
                <c:pt idx="1699">
                  <c:v>1699</c:v>
                </c:pt>
                <c:pt idx="1700">
                  <c:v>1700</c:v>
                </c:pt>
                <c:pt idx="1701">
                  <c:v>1701</c:v>
                </c:pt>
                <c:pt idx="1702">
                  <c:v>1702</c:v>
                </c:pt>
                <c:pt idx="1703">
                  <c:v>1703</c:v>
                </c:pt>
                <c:pt idx="1704">
                  <c:v>1704</c:v>
                </c:pt>
                <c:pt idx="1705">
                  <c:v>1705</c:v>
                </c:pt>
                <c:pt idx="1706">
                  <c:v>1706</c:v>
                </c:pt>
                <c:pt idx="1707">
                  <c:v>1707</c:v>
                </c:pt>
                <c:pt idx="1708">
                  <c:v>1708</c:v>
                </c:pt>
                <c:pt idx="1709">
                  <c:v>1709</c:v>
                </c:pt>
                <c:pt idx="1710">
                  <c:v>1710</c:v>
                </c:pt>
                <c:pt idx="1711">
                  <c:v>1711</c:v>
                </c:pt>
                <c:pt idx="1712">
                  <c:v>1712</c:v>
                </c:pt>
                <c:pt idx="1713">
                  <c:v>1713</c:v>
                </c:pt>
                <c:pt idx="1714">
                  <c:v>1714</c:v>
                </c:pt>
                <c:pt idx="1715">
                  <c:v>1715</c:v>
                </c:pt>
                <c:pt idx="1716">
                  <c:v>1716</c:v>
                </c:pt>
                <c:pt idx="1717">
                  <c:v>1717</c:v>
                </c:pt>
                <c:pt idx="1718">
                  <c:v>1718</c:v>
                </c:pt>
                <c:pt idx="1719">
                  <c:v>1719</c:v>
                </c:pt>
                <c:pt idx="1720">
                  <c:v>1720</c:v>
                </c:pt>
                <c:pt idx="1721">
                  <c:v>1721</c:v>
                </c:pt>
                <c:pt idx="1722">
                  <c:v>1722</c:v>
                </c:pt>
                <c:pt idx="1723">
                  <c:v>1723</c:v>
                </c:pt>
                <c:pt idx="1724">
                  <c:v>1724</c:v>
                </c:pt>
                <c:pt idx="1725">
                  <c:v>1725</c:v>
                </c:pt>
                <c:pt idx="1726">
                  <c:v>1726</c:v>
                </c:pt>
                <c:pt idx="1727">
                  <c:v>1727</c:v>
                </c:pt>
                <c:pt idx="1728">
                  <c:v>1728</c:v>
                </c:pt>
                <c:pt idx="1729">
                  <c:v>1729</c:v>
                </c:pt>
                <c:pt idx="1730">
                  <c:v>1730</c:v>
                </c:pt>
                <c:pt idx="1731">
                  <c:v>1731</c:v>
                </c:pt>
                <c:pt idx="1732">
                  <c:v>1732</c:v>
                </c:pt>
                <c:pt idx="1733">
                  <c:v>1733</c:v>
                </c:pt>
                <c:pt idx="1734">
                  <c:v>1734</c:v>
                </c:pt>
                <c:pt idx="1735">
                  <c:v>1735</c:v>
                </c:pt>
                <c:pt idx="1736">
                  <c:v>1736</c:v>
                </c:pt>
                <c:pt idx="1737">
                  <c:v>1737</c:v>
                </c:pt>
                <c:pt idx="1738">
                  <c:v>1738</c:v>
                </c:pt>
                <c:pt idx="1739">
                  <c:v>1739</c:v>
                </c:pt>
                <c:pt idx="1740">
                  <c:v>1740</c:v>
                </c:pt>
                <c:pt idx="1741">
                  <c:v>1741</c:v>
                </c:pt>
                <c:pt idx="1742">
                  <c:v>1742</c:v>
                </c:pt>
                <c:pt idx="1743">
                  <c:v>1743</c:v>
                </c:pt>
                <c:pt idx="1744">
                  <c:v>1744</c:v>
                </c:pt>
                <c:pt idx="1745">
                  <c:v>1745</c:v>
                </c:pt>
                <c:pt idx="1746">
                  <c:v>1746</c:v>
                </c:pt>
                <c:pt idx="1747">
                  <c:v>1747</c:v>
                </c:pt>
                <c:pt idx="1748">
                  <c:v>1748</c:v>
                </c:pt>
                <c:pt idx="1749">
                  <c:v>1749</c:v>
                </c:pt>
                <c:pt idx="1750">
                  <c:v>1750</c:v>
                </c:pt>
                <c:pt idx="1751">
                  <c:v>1751</c:v>
                </c:pt>
                <c:pt idx="1752">
                  <c:v>1752</c:v>
                </c:pt>
                <c:pt idx="1753">
                  <c:v>1753</c:v>
                </c:pt>
                <c:pt idx="1754">
                  <c:v>1754</c:v>
                </c:pt>
                <c:pt idx="1755">
                  <c:v>1755</c:v>
                </c:pt>
                <c:pt idx="1756">
                  <c:v>1756</c:v>
                </c:pt>
                <c:pt idx="1757">
                  <c:v>1757</c:v>
                </c:pt>
                <c:pt idx="1758">
                  <c:v>1758</c:v>
                </c:pt>
                <c:pt idx="1759">
                  <c:v>1759</c:v>
                </c:pt>
                <c:pt idx="1760">
                  <c:v>1760</c:v>
                </c:pt>
                <c:pt idx="1761">
                  <c:v>1761</c:v>
                </c:pt>
                <c:pt idx="1762">
                  <c:v>1762</c:v>
                </c:pt>
                <c:pt idx="1763">
                  <c:v>1763</c:v>
                </c:pt>
                <c:pt idx="1764">
                  <c:v>1764</c:v>
                </c:pt>
                <c:pt idx="1765">
                  <c:v>1765</c:v>
                </c:pt>
                <c:pt idx="1766">
                  <c:v>1766</c:v>
                </c:pt>
                <c:pt idx="1767">
                  <c:v>1767</c:v>
                </c:pt>
                <c:pt idx="1768">
                  <c:v>1768</c:v>
                </c:pt>
                <c:pt idx="1769">
                  <c:v>1769</c:v>
                </c:pt>
                <c:pt idx="1770">
                  <c:v>1770</c:v>
                </c:pt>
                <c:pt idx="1771">
                  <c:v>1771</c:v>
                </c:pt>
                <c:pt idx="1772">
                  <c:v>1772</c:v>
                </c:pt>
                <c:pt idx="1773">
                  <c:v>1773</c:v>
                </c:pt>
                <c:pt idx="1774">
                  <c:v>1774</c:v>
                </c:pt>
                <c:pt idx="1775">
                  <c:v>1775</c:v>
                </c:pt>
                <c:pt idx="1776">
                  <c:v>1776</c:v>
                </c:pt>
                <c:pt idx="1777">
                  <c:v>1777</c:v>
                </c:pt>
                <c:pt idx="1778">
                  <c:v>1778</c:v>
                </c:pt>
                <c:pt idx="1779">
                  <c:v>1779</c:v>
                </c:pt>
                <c:pt idx="1780">
                  <c:v>1780</c:v>
                </c:pt>
                <c:pt idx="1781">
                  <c:v>1781</c:v>
                </c:pt>
                <c:pt idx="1782">
                  <c:v>1782</c:v>
                </c:pt>
                <c:pt idx="1783">
                  <c:v>1783</c:v>
                </c:pt>
                <c:pt idx="1784">
                  <c:v>1784</c:v>
                </c:pt>
                <c:pt idx="1785">
                  <c:v>1785</c:v>
                </c:pt>
                <c:pt idx="1786">
                  <c:v>1786</c:v>
                </c:pt>
                <c:pt idx="1787">
                  <c:v>1787</c:v>
                </c:pt>
                <c:pt idx="1788">
                  <c:v>1788</c:v>
                </c:pt>
                <c:pt idx="1789">
                  <c:v>1789</c:v>
                </c:pt>
                <c:pt idx="1790">
                  <c:v>1790</c:v>
                </c:pt>
                <c:pt idx="1791">
                  <c:v>1791</c:v>
                </c:pt>
                <c:pt idx="1792">
                  <c:v>1792</c:v>
                </c:pt>
                <c:pt idx="1793">
                  <c:v>1793</c:v>
                </c:pt>
                <c:pt idx="1794">
                  <c:v>1794</c:v>
                </c:pt>
                <c:pt idx="1795">
                  <c:v>1795</c:v>
                </c:pt>
                <c:pt idx="1796">
                  <c:v>1796</c:v>
                </c:pt>
                <c:pt idx="1797">
                  <c:v>1797</c:v>
                </c:pt>
                <c:pt idx="1798">
                  <c:v>1798</c:v>
                </c:pt>
                <c:pt idx="1799">
                  <c:v>1799</c:v>
                </c:pt>
                <c:pt idx="1800">
                  <c:v>1800</c:v>
                </c:pt>
                <c:pt idx="1801">
                  <c:v>1801</c:v>
                </c:pt>
                <c:pt idx="1802">
                  <c:v>1802</c:v>
                </c:pt>
                <c:pt idx="1803">
                  <c:v>1803</c:v>
                </c:pt>
                <c:pt idx="1804">
                  <c:v>1804</c:v>
                </c:pt>
                <c:pt idx="1805">
                  <c:v>1805</c:v>
                </c:pt>
                <c:pt idx="1806">
                  <c:v>1806</c:v>
                </c:pt>
                <c:pt idx="1807">
                  <c:v>1807</c:v>
                </c:pt>
                <c:pt idx="1808">
                  <c:v>1808</c:v>
                </c:pt>
                <c:pt idx="1809">
                  <c:v>1809</c:v>
                </c:pt>
                <c:pt idx="1810">
                  <c:v>1810</c:v>
                </c:pt>
                <c:pt idx="1811">
                  <c:v>1811</c:v>
                </c:pt>
                <c:pt idx="1812">
                  <c:v>1812</c:v>
                </c:pt>
                <c:pt idx="1813">
                  <c:v>1813</c:v>
                </c:pt>
                <c:pt idx="1814">
                  <c:v>1814</c:v>
                </c:pt>
                <c:pt idx="1815">
                  <c:v>1815</c:v>
                </c:pt>
                <c:pt idx="1816">
                  <c:v>1816</c:v>
                </c:pt>
                <c:pt idx="1817">
                  <c:v>1817</c:v>
                </c:pt>
                <c:pt idx="1818">
                  <c:v>1818</c:v>
                </c:pt>
                <c:pt idx="1819">
                  <c:v>1819</c:v>
                </c:pt>
                <c:pt idx="1820">
                  <c:v>1820</c:v>
                </c:pt>
                <c:pt idx="1821">
                  <c:v>1821</c:v>
                </c:pt>
                <c:pt idx="1822">
                  <c:v>1822</c:v>
                </c:pt>
                <c:pt idx="1823">
                  <c:v>1823</c:v>
                </c:pt>
                <c:pt idx="1824">
                  <c:v>1824</c:v>
                </c:pt>
                <c:pt idx="1825">
                  <c:v>1825</c:v>
                </c:pt>
                <c:pt idx="1826">
                  <c:v>1826</c:v>
                </c:pt>
                <c:pt idx="1827">
                  <c:v>1827</c:v>
                </c:pt>
                <c:pt idx="1828">
                  <c:v>1828</c:v>
                </c:pt>
                <c:pt idx="1829">
                  <c:v>1829</c:v>
                </c:pt>
                <c:pt idx="1830">
                  <c:v>1830</c:v>
                </c:pt>
                <c:pt idx="1831">
                  <c:v>1831</c:v>
                </c:pt>
                <c:pt idx="1832">
                  <c:v>1832</c:v>
                </c:pt>
                <c:pt idx="1833">
                  <c:v>1833</c:v>
                </c:pt>
                <c:pt idx="1834">
                  <c:v>1834</c:v>
                </c:pt>
                <c:pt idx="1835">
                  <c:v>1835</c:v>
                </c:pt>
                <c:pt idx="1836">
                  <c:v>1836</c:v>
                </c:pt>
                <c:pt idx="1837">
                  <c:v>1837</c:v>
                </c:pt>
                <c:pt idx="1838">
                  <c:v>1838</c:v>
                </c:pt>
                <c:pt idx="1839">
                  <c:v>1839</c:v>
                </c:pt>
                <c:pt idx="1840">
                  <c:v>1840</c:v>
                </c:pt>
                <c:pt idx="1841">
                  <c:v>1841</c:v>
                </c:pt>
                <c:pt idx="1842">
                  <c:v>1842</c:v>
                </c:pt>
                <c:pt idx="1843">
                  <c:v>1843</c:v>
                </c:pt>
                <c:pt idx="1844">
                  <c:v>1844</c:v>
                </c:pt>
                <c:pt idx="1845">
                  <c:v>1845</c:v>
                </c:pt>
                <c:pt idx="1846">
                  <c:v>1846</c:v>
                </c:pt>
                <c:pt idx="1847">
                  <c:v>1847</c:v>
                </c:pt>
                <c:pt idx="1848">
                  <c:v>1848</c:v>
                </c:pt>
                <c:pt idx="1849">
                  <c:v>1849</c:v>
                </c:pt>
                <c:pt idx="1850">
                  <c:v>1850</c:v>
                </c:pt>
                <c:pt idx="1851">
                  <c:v>1851</c:v>
                </c:pt>
                <c:pt idx="1852">
                  <c:v>1852</c:v>
                </c:pt>
                <c:pt idx="1853">
                  <c:v>1853</c:v>
                </c:pt>
                <c:pt idx="1854">
                  <c:v>1854</c:v>
                </c:pt>
                <c:pt idx="1855">
                  <c:v>1855</c:v>
                </c:pt>
                <c:pt idx="1856">
                  <c:v>1856</c:v>
                </c:pt>
                <c:pt idx="1857">
                  <c:v>1857</c:v>
                </c:pt>
                <c:pt idx="1858">
                  <c:v>1858</c:v>
                </c:pt>
                <c:pt idx="1859">
                  <c:v>1859</c:v>
                </c:pt>
                <c:pt idx="1860">
                  <c:v>1860</c:v>
                </c:pt>
                <c:pt idx="1861">
                  <c:v>1861</c:v>
                </c:pt>
                <c:pt idx="1862">
                  <c:v>1862</c:v>
                </c:pt>
                <c:pt idx="1863">
                  <c:v>1863</c:v>
                </c:pt>
                <c:pt idx="1864">
                  <c:v>1864</c:v>
                </c:pt>
                <c:pt idx="1865">
                  <c:v>1865</c:v>
                </c:pt>
                <c:pt idx="1866">
                  <c:v>1866</c:v>
                </c:pt>
                <c:pt idx="1867">
                  <c:v>1867</c:v>
                </c:pt>
                <c:pt idx="1868">
                  <c:v>1868</c:v>
                </c:pt>
                <c:pt idx="1869">
                  <c:v>1869</c:v>
                </c:pt>
                <c:pt idx="1870">
                  <c:v>1870</c:v>
                </c:pt>
                <c:pt idx="1871">
                  <c:v>1871</c:v>
                </c:pt>
                <c:pt idx="1872">
                  <c:v>1872</c:v>
                </c:pt>
                <c:pt idx="1873">
                  <c:v>1873</c:v>
                </c:pt>
                <c:pt idx="1874">
                  <c:v>1874</c:v>
                </c:pt>
                <c:pt idx="1875">
                  <c:v>1875</c:v>
                </c:pt>
                <c:pt idx="1876">
                  <c:v>1876</c:v>
                </c:pt>
                <c:pt idx="1877">
                  <c:v>1877</c:v>
                </c:pt>
                <c:pt idx="1878">
                  <c:v>1878</c:v>
                </c:pt>
                <c:pt idx="1879">
                  <c:v>1879</c:v>
                </c:pt>
                <c:pt idx="1880">
                  <c:v>1880</c:v>
                </c:pt>
                <c:pt idx="1881">
                  <c:v>1881</c:v>
                </c:pt>
                <c:pt idx="1882">
                  <c:v>1882</c:v>
                </c:pt>
                <c:pt idx="1883">
                  <c:v>1883</c:v>
                </c:pt>
                <c:pt idx="1884">
                  <c:v>1884</c:v>
                </c:pt>
                <c:pt idx="1885">
                  <c:v>1885</c:v>
                </c:pt>
                <c:pt idx="1886">
                  <c:v>1886</c:v>
                </c:pt>
                <c:pt idx="1887">
                  <c:v>1887</c:v>
                </c:pt>
                <c:pt idx="1888">
                  <c:v>1888</c:v>
                </c:pt>
                <c:pt idx="1889">
                  <c:v>1889</c:v>
                </c:pt>
                <c:pt idx="1890">
                  <c:v>1890</c:v>
                </c:pt>
                <c:pt idx="1891">
                  <c:v>1891</c:v>
                </c:pt>
                <c:pt idx="1892">
                  <c:v>1892</c:v>
                </c:pt>
                <c:pt idx="1893">
                  <c:v>1893</c:v>
                </c:pt>
                <c:pt idx="1894">
                  <c:v>1894</c:v>
                </c:pt>
                <c:pt idx="1895">
                  <c:v>1895</c:v>
                </c:pt>
                <c:pt idx="1896">
                  <c:v>1896</c:v>
                </c:pt>
                <c:pt idx="1897">
                  <c:v>1897</c:v>
                </c:pt>
                <c:pt idx="1898">
                  <c:v>1898</c:v>
                </c:pt>
                <c:pt idx="1899">
                  <c:v>1899</c:v>
                </c:pt>
                <c:pt idx="1900">
                  <c:v>1900</c:v>
                </c:pt>
                <c:pt idx="1901">
                  <c:v>1901</c:v>
                </c:pt>
                <c:pt idx="1902">
                  <c:v>1902</c:v>
                </c:pt>
                <c:pt idx="1903">
                  <c:v>1903</c:v>
                </c:pt>
                <c:pt idx="1904">
                  <c:v>1904</c:v>
                </c:pt>
                <c:pt idx="1905">
                  <c:v>1905</c:v>
                </c:pt>
                <c:pt idx="1906">
                  <c:v>1906</c:v>
                </c:pt>
                <c:pt idx="1907">
                  <c:v>1907</c:v>
                </c:pt>
                <c:pt idx="1908">
                  <c:v>1908</c:v>
                </c:pt>
                <c:pt idx="1909">
                  <c:v>1909</c:v>
                </c:pt>
                <c:pt idx="1910">
                  <c:v>1910</c:v>
                </c:pt>
                <c:pt idx="1911">
                  <c:v>1911</c:v>
                </c:pt>
                <c:pt idx="1912">
                  <c:v>1912</c:v>
                </c:pt>
                <c:pt idx="1913">
                  <c:v>1913</c:v>
                </c:pt>
                <c:pt idx="1914">
                  <c:v>1914</c:v>
                </c:pt>
                <c:pt idx="1915">
                  <c:v>1915</c:v>
                </c:pt>
                <c:pt idx="1916">
                  <c:v>1916</c:v>
                </c:pt>
                <c:pt idx="1917">
                  <c:v>1917</c:v>
                </c:pt>
                <c:pt idx="1918">
                  <c:v>1918</c:v>
                </c:pt>
                <c:pt idx="1919">
                  <c:v>1919</c:v>
                </c:pt>
                <c:pt idx="1920">
                  <c:v>1920</c:v>
                </c:pt>
                <c:pt idx="1921">
                  <c:v>1921</c:v>
                </c:pt>
                <c:pt idx="1922">
                  <c:v>1922</c:v>
                </c:pt>
                <c:pt idx="1923">
                  <c:v>1923</c:v>
                </c:pt>
                <c:pt idx="1924">
                  <c:v>1924</c:v>
                </c:pt>
                <c:pt idx="1925">
                  <c:v>1925</c:v>
                </c:pt>
                <c:pt idx="1926">
                  <c:v>1926</c:v>
                </c:pt>
                <c:pt idx="1927">
                  <c:v>1927</c:v>
                </c:pt>
                <c:pt idx="1928">
                  <c:v>1928</c:v>
                </c:pt>
                <c:pt idx="1929">
                  <c:v>1929</c:v>
                </c:pt>
                <c:pt idx="1930">
                  <c:v>1930</c:v>
                </c:pt>
                <c:pt idx="1931">
                  <c:v>1931</c:v>
                </c:pt>
                <c:pt idx="1932">
                  <c:v>1932</c:v>
                </c:pt>
                <c:pt idx="1933">
                  <c:v>1933</c:v>
                </c:pt>
                <c:pt idx="1934">
                  <c:v>1934</c:v>
                </c:pt>
                <c:pt idx="1935">
                  <c:v>1935</c:v>
                </c:pt>
                <c:pt idx="1936">
                  <c:v>1936</c:v>
                </c:pt>
                <c:pt idx="1937">
                  <c:v>1937</c:v>
                </c:pt>
                <c:pt idx="1938">
                  <c:v>1938</c:v>
                </c:pt>
                <c:pt idx="1939">
                  <c:v>1939</c:v>
                </c:pt>
                <c:pt idx="1940">
                  <c:v>1940</c:v>
                </c:pt>
                <c:pt idx="1941">
                  <c:v>1941</c:v>
                </c:pt>
                <c:pt idx="1942">
                  <c:v>1942</c:v>
                </c:pt>
                <c:pt idx="1943">
                  <c:v>1943</c:v>
                </c:pt>
                <c:pt idx="1944">
                  <c:v>1944</c:v>
                </c:pt>
                <c:pt idx="1945">
                  <c:v>1945</c:v>
                </c:pt>
                <c:pt idx="1946">
                  <c:v>1946</c:v>
                </c:pt>
                <c:pt idx="1947">
                  <c:v>1947</c:v>
                </c:pt>
                <c:pt idx="1948">
                  <c:v>1948</c:v>
                </c:pt>
                <c:pt idx="1949">
                  <c:v>1949</c:v>
                </c:pt>
                <c:pt idx="1950">
                  <c:v>1950</c:v>
                </c:pt>
                <c:pt idx="1951">
                  <c:v>1951</c:v>
                </c:pt>
                <c:pt idx="1952">
                  <c:v>1952</c:v>
                </c:pt>
                <c:pt idx="1953">
                  <c:v>1953</c:v>
                </c:pt>
                <c:pt idx="1954">
                  <c:v>1954</c:v>
                </c:pt>
                <c:pt idx="1955">
                  <c:v>1955</c:v>
                </c:pt>
                <c:pt idx="1956">
                  <c:v>1956</c:v>
                </c:pt>
                <c:pt idx="1957">
                  <c:v>1957</c:v>
                </c:pt>
                <c:pt idx="1958">
                  <c:v>1958</c:v>
                </c:pt>
                <c:pt idx="1959">
                  <c:v>1959</c:v>
                </c:pt>
                <c:pt idx="1960">
                  <c:v>1960</c:v>
                </c:pt>
                <c:pt idx="1961">
                  <c:v>1961</c:v>
                </c:pt>
                <c:pt idx="1962">
                  <c:v>1962</c:v>
                </c:pt>
                <c:pt idx="1963">
                  <c:v>1963</c:v>
                </c:pt>
                <c:pt idx="1964">
                  <c:v>1964</c:v>
                </c:pt>
                <c:pt idx="1965">
                  <c:v>1965</c:v>
                </c:pt>
                <c:pt idx="1966">
                  <c:v>1966</c:v>
                </c:pt>
                <c:pt idx="1967">
                  <c:v>1967</c:v>
                </c:pt>
                <c:pt idx="1968">
                  <c:v>1968</c:v>
                </c:pt>
                <c:pt idx="1969">
                  <c:v>1969</c:v>
                </c:pt>
                <c:pt idx="1970">
                  <c:v>1970</c:v>
                </c:pt>
                <c:pt idx="1971">
                  <c:v>1971</c:v>
                </c:pt>
                <c:pt idx="1972">
                  <c:v>1972</c:v>
                </c:pt>
                <c:pt idx="1973">
                  <c:v>1973</c:v>
                </c:pt>
                <c:pt idx="1974">
                  <c:v>1974</c:v>
                </c:pt>
                <c:pt idx="1975">
                  <c:v>1975</c:v>
                </c:pt>
                <c:pt idx="1976">
                  <c:v>1976</c:v>
                </c:pt>
                <c:pt idx="1977">
                  <c:v>1977</c:v>
                </c:pt>
                <c:pt idx="1978">
                  <c:v>1978</c:v>
                </c:pt>
                <c:pt idx="1979">
                  <c:v>1979</c:v>
                </c:pt>
                <c:pt idx="1980">
                  <c:v>1980</c:v>
                </c:pt>
                <c:pt idx="1981">
                  <c:v>1981</c:v>
                </c:pt>
                <c:pt idx="1982">
                  <c:v>1982</c:v>
                </c:pt>
                <c:pt idx="1983">
                  <c:v>1983</c:v>
                </c:pt>
                <c:pt idx="1984">
                  <c:v>1984</c:v>
                </c:pt>
                <c:pt idx="1985">
                  <c:v>1985</c:v>
                </c:pt>
                <c:pt idx="1986">
                  <c:v>1986</c:v>
                </c:pt>
                <c:pt idx="1987">
                  <c:v>1987</c:v>
                </c:pt>
                <c:pt idx="1988">
                  <c:v>1988</c:v>
                </c:pt>
                <c:pt idx="1989">
                  <c:v>1989</c:v>
                </c:pt>
                <c:pt idx="1990">
                  <c:v>1990</c:v>
                </c:pt>
                <c:pt idx="1991">
                  <c:v>1991</c:v>
                </c:pt>
                <c:pt idx="1992">
                  <c:v>1992</c:v>
                </c:pt>
                <c:pt idx="1993">
                  <c:v>1993</c:v>
                </c:pt>
                <c:pt idx="1994">
                  <c:v>1994</c:v>
                </c:pt>
                <c:pt idx="1995">
                  <c:v>1995</c:v>
                </c:pt>
                <c:pt idx="1996">
                  <c:v>1996</c:v>
                </c:pt>
                <c:pt idx="1997">
                  <c:v>1997</c:v>
                </c:pt>
                <c:pt idx="1998">
                  <c:v>1998</c:v>
                </c:pt>
                <c:pt idx="1999">
                  <c:v>1999</c:v>
                </c:pt>
                <c:pt idx="2000">
                  <c:v>2000</c:v>
                </c:pt>
              </c:numCache>
            </c:numRef>
          </c:xVal>
          <c:yVal>
            <c:numRef>
              <c:f>'Fitting Equation 11'!$L$9:$L$2009</c:f>
              <c:numCache>
                <c:formatCode>0.00</c:formatCode>
                <c:ptCount val="2001"/>
                <c:pt idx="0">
                  <c:v>-8.8310201773770841E-4</c:v>
                </c:pt>
                <c:pt idx="1">
                  <c:v>-8.6818387748361086E-4</c:v>
                </c:pt>
                <c:pt idx="2">
                  <c:v>-8.5346904409312687E-4</c:v>
                </c:pt>
                <c:pt idx="3">
                  <c:v>-8.3895344257834108E-4</c:v>
                </c:pt>
                <c:pt idx="4">
                  <c:v>-8.2463310613144257E-4</c:v>
                </c:pt>
                <c:pt idx="5">
                  <c:v>-8.1050417255852561E-4</c:v>
                </c:pt>
                <c:pt idx="6">
                  <c:v>-7.965628808535391E-4</c:v>
                </c:pt>
                <c:pt idx="7">
                  <c:v>-7.8280556790600187E-4</c:v>
                </c:pt>
                <c:pt idx="8">
                  <c:v>-7.6922866533642945E-4</c:v>
                </c:pt>
                <c:pt idx="9">
                  <c:v>-7.558286964537297E-4</c:v>
                </c:pt>
                <c:pt idx="10">
                  <c:v>-7.4260227332911854E-4</c:v>
                </c:pt>
                <c:pt idx="11">
                  <c:v>-7.2954609398138276E-4</c:v>
                </c:pt>
                <c:pt idx="12">
                  <c:v>-7.16656939668576E-4</c:v>
                </c:pt>
                <c:pt idx="13">
                  <c:v>-7.0393167228148502E-4</c:v>
                </c:pt>
                <c:pt idx="14">
                  <c:v>-6.9136723183442928E-4</c:v>
                </c:pt>
                <c:pt idx="15">
                  <c:v>-6.7896063404918278E-4</c:v>
                </c:pt>
                <c:pt idx="16">
                  <c:v>-6.6670896802800824E-4</c:v>
                </c:pt>
                <c:pt idx="17">
                  <c:v>-6.5460939401199318E-4</c:v>
                </c:pt>
                <c:pt idx="18">
                  <c:v>-6.4265914122106432E-4</c:v>
                </c:pt>
                <c:pt idx="19">
                  <c:v>-6.3085550577222547E-4</c:v>
                </c:pt>
                <c:pt idx="20">
                  <c:v>-6.191958486727355E-4</c:v>
                </c:pt>
                <c:pt idx="21">
                  <c:v>-6.0767759388509934E-4</c:v>
                </c:pt>
                <c:pt idx="22">
                  <c:v>-5.9629822646088822E-4</c:v>
                </c:pt>
                <c:pt idx="23">
                  <c:v>-5.850552907405535E-4</c:v>
                </c:pt>
                <c:pt idx="24">
                  <c:v>-5.7394638861652338E-4</c:v>
                </c:pt>
                <c:pt idx="25">
                  <c:v>-5.6296917785700622E-4</c:v>
                </c:pt>
                <c:pt idx="26">
                  <c:v>-5.5212137048803688E-4</c:v>
                </c:pt>
                <c:pt idx="27">
                  <c:v>-5.4140073123141758E-4</c:v>
                </c:pt>
                <c:pt idx="28">
                  <c:v>-5.3080507599631815E-4</c:v>
                </c:pt>
                <c:pt idx="29">
                  <c:v>-5.2033227042239181E-4</c:v>
                </c:pt>
                <c:pt idx="30">
                  <c:v>-5.0998022847236846E-4</c:v>
                </c:pt>
                <c:pt idx="31">
                  <c:v>-4.9974691107217671E-4</c:v>
                </c:pt>
                <c:pt idx="32">
                  <c:v>-4.8963032479673021E-4</c:v>
                </c:pt>
                <c:pt idx="33">
                  <c:v>-4.7962852059960076E-4</c:v>
                </c:pt>
                <c:pt idx="34">
                  <c:v>-4.6973959258487873E-4</c:v>
                </c:pt>
                <c:pt idx="35">
                  <c:v>-4.5996167681959277E-4</c:v>
                </c:pt>
                <c:pt idx="36">
                  <c:v>-4.5029295018513704E-4</c:v>
                </c:pt>
                <c:pt idx="37">
                  <c:v>-4.4073162926621762E-4</c:v>
                </c:pt>
                <c:pt idx="38">
                  <c:v>-4.3127596927589734E-4</c:v>
                </c:pt>
                <c:pt idx="39">
                  <c:v>-4.219242630153769E-4</c:v>
                </c:pt>
                <c:pt idx="40">
                  <c:v>-4.1267483986721026E-4</c:v>
                </c:pt>
                <c:pt idx="41">
                  <c:v>-4.0352606482070764E-4</c:v>
                </c:pt>
                <c:pt idx="42">
                  <c:v>-3.9447633752833129E-4</c:v>
                </c:pt>
                <c:pt idx="43">
                  <c:v>-3.8552409139194039E-4</c:v>
                </c:pt>
                <c:pt idx="44">
                  <c:v>-3.7666779267778931E-4</c:v>
                </c:pt>
                <c:pt idx="45">
                  <c:v>-3.6790593965922957E-4</c:v>
                </c:pt>
                <c:pt idx="46">
                  <c:v>-3.5923706178610817E-4</c:v>
                </c:pt>
                <c:pt idx="47">
                  <c:v>-3.506597188798979E-4</c:v>
                </c:pt>
                <c:pt idx="48">
                  <c:v>-3.4217250035363463E-4</c:v>
                </c:pt>
                <c:pt idx="49">
                  <c:v>-3.3377402445577373E-4</c:v>
                </c:pt>
                <c:pt idx="50">
                  <c:v>-3.2546293753711391E-4</c:v>
                </c:pt>
                <c:pt idx="51">
                  <c:v>-3.1723791333997282E-4</c:v>
                </c:pt>
                <c:pt idx="52">
                  <c:v>-3.0909765230882939E-4</c:v>
                </c:pt>
                <c:pt idx="53">
                  <c:v>-3.0104088092168014E-4</c:v>
                </c:pt>
                <c:pt idx="54">
                  <c:v>-2.9306635104138859E-4</c:v>
                </c:pt>
                <c:pt idx="55">
                  <c:v>-2.8517283928633117E-4</c:v>
                </c:pt>
                <c:pt idx="56">
                  <c:v>-2.77359146419676E-4</c:v>
                </c:pt>
                <c:pt idx="57">
                  <c:v>-2.6962409675665178E-4</c:v>
                </c:pt>
                <c:pt idx="58">
                  <c:v>-2.6196653758919319E-4</c:v>
                </c:pt>
                <c:pt idx="59">
                  <c:v>-2.5438533862737038E-4</c:v>
                </c:pt>
                <c:pt idx="60">
                  <c:v>-2.4687939145703425E-4</c:v>
                </c:pt>
                <c:pt idx="61">
                  <c:v>-2.3944760901313184E-4</c:v>
                </c:pt>
                <c:pt idx="62">
                  <c:v>-2.3208892506816465E-4</c:v>
                </c:pt>
                <c:pt idx="63">
                  <c:v>-2.2480229373528574E-4</c:v>
                </c:pt>
                <c:pt idx="64">
                  <c:v>-2.1758668898554822E-4</c:v>
                </c:pt>
                <c:pt idx="65">
                  <c:v>-2.1044110417883777E-4</c:v>
                </c:pt>
                <c:pt idx="66">
                  <c:v>-2.0336455160803853E-4</c:v>
                </c:pt>
                <c:pt idx="67">
                  <c:v>-1.9635606205599881E-4</c:v>
                </c:pt>
                <c:pt idx="68">
                  <c:v>-1.8941468436487944E-4</c:v>
                </c:pt>
                <c:pt idx="69">
                  <c:v>-1.8253948501748248E-4</c:v>
                </c:pt>
                <c:pt idx="70">
                  <c:v>-1.7572954773017381E-4</c:v>
                </c:pt>
                <c:pt idx="71">
                  <c:v>-1.6898397305702628E-4</c:v>
                </c:pt>
                <c:pt idx="72">
                  <c:v>-1.6230187800482447E-4</c:v>
                </c:pt>
                <c:pt idx="73">
                  <c:v>-1.5568239565858484E-4</c:v>
                </c:pt>
                <c:pt idx="74">
                  <c:v>-1.4912467481725775E-4</c:v>
                </c:pt>
                <c:pt idx="75">
                  <c:v>-1.4262787963928994E-4</c:v>
                </c:pt>
                <c:pt idx="76">
                  <c:v>-1.3619118929773723E-4</c:v>
                </c:pt>
                <c:pt idx="77">
                  <c:v>-1.2981379764462917E-4</c:v>
                </c:pt>
                <c:pt idx="78">
                  <c:v>-1.2349491288429608E-4</c:v>
                </c:pt>
                <c:pt idx="79">
                  <c:v>-1.172337572553824E-4</c:v>
                </c:pt>
                <c:pt idx="80">
                  <c:v>-1.1102956672127619E-4</c:v>
                </c:pt>
                <c:pt idx="81">
                  <c:v>-1.0488159066869734E-4</c:v>
                </c:pt>
                <c:pt idx="82">
                  <c:v>-9.878909161419425E-5</c:v>
                </c:pt>
                <c:pt idx="83">
                  <c:v>-9.27513449183076E-5</c:v>
                </c:pt>
                <c:pt idx="84">
                  <c:v>-8.6767638507169654E-5</c:v>
                </c:pt>
                <c:pt idx="85">
                  <c:v>-8.0837272601312819E-5</c:v>
                </c:pt>
                <c:pt idx="86">
                  <c:v>-7.4959559451472248E-5</c:v>
                </c:pt>
                <c:pt idx="87">
                  <c:v>-6.913382308117165E-5</c:v>
                </c:pt>
                <c:pt idx="88">
                  <c:v>-6.3359399035890757E-5</c:v>
                </c:pt>
                <c:pt idx="89">
                  <c:v>-5.7635634138618596E-5</c:v>
                </c:pt>
                <c:pt idx="90">
                  <c:v>-5.1961886251603876E-5</c:v>
                </c:pt>
                <c:pt idx="91">
                  <c:v>-4.6337524044119826E-5</c:v>
                </c:pt>
                <c:pt idx="92">
                  <c:v>-4.0761926766067268E-5</c:v>
                </c:pt>
                <c:pt idx="93">
                  <c:v>-3.5234484027245173E-5</c:v>
                </c:pt>
                <c:pt idx="94">
                  <c:v>-2.9754595582124119E-5</c:v>
                </c:pt>
                <c:pt idx="95">
                  <c:v>-2.4321671119963045E-5</c:v>
                </c:pt>
                <c:pt idx="96">
                  <c:v>-1.8935130060115344E-5</c:v>
                </c:pt>
                <c:pt idx="97">
                  <c:v>-1.359440135237505E-5</c:v>
                </c:pt>
                <c:pt idx="98">
                  <c:v>-8.2989232822191154E-6</c:v>
                </c:pt>
                <c:pt idx="99">
                  <c:v>-3.048143280806095E-6</c:v>
                </c:pt>
                <c:pt idx="100">
                  <c:v>2.1584822604035978E-6</c:v>
                </c:pt>
                <c:pt idx="101">
                  <c:v>7.3214881705365846E-6</c:v>
                </c:pt>
                <c:pt idx="102">
                  <c:v>1.2441400675830918E-5</c:v>
                </c:pt>
                <c:pt idx="103">
                  <c:v>1.7518737571918357E-5</c:v>
                </c:pt>
                <c:pt idx="104">
                  <c:v>2.2554008391982999E-5</c:v>
                </c:pt>
                <c:pt idx="105">
                  <c:v>2.7547714570910956E-5</c:v>
                </c:pt>
                <c:pt idx="106">
                  <c:v>3.2500349605542125E-5</c:v>
                </c:pt>
                <c:pt idx="107">
                  <c:v>3.7412399211131634E-5</c:v>
                </c:pt>
                <c:pt idx="108">
                  <c:v>4.2284341474125083E-5</c:v>
                </c:pt>
                <c:pt idx="109">
                  <c:v>4.7116647001348664E-5</c:v>
                </c:pt>
                <c:pt idx="110">
                  <c:v>5.1909779065711683E-5</c:v>
                </c:pt>
                <c:pt idx="111">
                  <c:v>5.6664193748516442E-5</c:v>
                </c:pt>
                <c:pt idx="112">
                  <c:v>6.1380340078467298E-5</c:v>
                </c:pt>
                <c:pt idx="113">
                  <c:v>6.6058660167467564E-5</c:v>
                </c:pt>
                <c:pt idx="114">
                  <c:v>7.0699589343291001E-5</c:v>
                </c:pt>
                <c:pt idx="115">
                  <c:v>7.5303556279211057E-5</c:v>
                </c:pt>
                <c:pt idx="116">
                  <c:v>7.987098312066923E-5</c:v>
                </c:pt>
                <c:pt idx="117">
                  <c:v>8.4402285609061001E-5</c:v>
                </c:pt>
                <c:pt idx="118">
                  <c:v>8.8897873202715578E-5</c:v>
                </c:pt>
                <c:pt idx="119">
                  <c:v>9.3358149195143608E-5</c:v>
                </c:pt>
                <c:pt idx="120">
                  <c:v>9.778351083062408E-5</c:v>
                </c:pt>
                <c:pt idx="121">
                  <c:v>1.0217434941720055E-4</c:v>
                </c:pt>
                <c:pt idx="122">
                  <c:v>1.0653105043715399E-4</c:v>
                </c:pt>
                <c:pt idx="123">
                  <c:v>1.1085399365501747E-4</c:v>
                </c:pt>
                <c:pt idx="124">
                  <c:v>1.151435532231967E-4</c:v>
                </c:pt>
                <c:pt idx="125">
                  <c:v>1.1940009778525784E-4</c:v>
                </c:pt>
                <c:pt idx="126">
                  <c:v>1.2362399057694258E-4</c:v>
                </c:pt>
                <c:pt idx="127">
                  <c:v>1.2781558952496854E-4</c:v>
                </c:pt>
                <c:pt idx="128">
                  <c:v>1.3197524734367131E-4</c:v>
                </c:pt>
                <c:pt idx="129">
                  <c:v>1.3610331162954359E-4</c:v>
                </c:pt>
                <c:pt idx="130">
                  <c:v>1.4020012495372347E-4</c:v>
                </c:pt>
                <c:pt idx="131">
                  <c:v>1.4426602495248476E-4</c:v>
                </c:pt>
                <c:pt idx="132">
                  <c:v>1.4830134441577863E-4</c:v>
                </c:pt>
                <c:pt idx="133">
                  <c:v>1.5230641137387615E-4</c:v>
                </c:pt>
                <c:pt idx="134">
                  <c:v>1.5628154918215825E-4</c:v>
                </c:pt>
                <c:pt idx="135">
                  <c:v>1.6022707660409957E-4</c:v>
                </c:pt>
                <c:pt idx="136">
                  <c:v>1.641433078924914E-4</c:v>
                </c:pt>
                <c:pt idx="137">
                  <c:v>1.6803055286894607E-4</c:v>
                </c:pt>
                <c:pt idx="138">
                  <c:v>1.7188911700172598E-4</c:v>
                </c:pt>
                <c:pt idx="139">
                  <c:v>1.7571930148193785E-4</c:v>
                </c:pt>
                <c:pt idx="140">
                  <c:v>1.7952140329813239E-4</c:v>
                </c:pt>
                <c:pt idx="141">
                  <c:v>1.8329571530934801E-4</c:v>
                </c:pt>
                <c:pt idx="142">
                  <c:v>1.8704252631663606E-4</c:v>
                </c:pt>
                <c:pt idx="143">
                  <c:v>1.9076212113310515E-4</c:v>
                </c:pt>
                <c:pt idx="144">
                  <c:v>1.9445478065251899E-4</c:v>
                </c:pt>
                <c:pt idx="145">
                  <c:v>1.9812078191648372E-4</c:v>
                </c:pt>
                <c:pt idx="146">
                  <c:v>2.0176039818025734E-4</c:v>
                </c:pt>
                <c:pt idx="147">
                  <c:v>2.0537389897721487E-4</c:v>
                </c:pt>
                <c:pt idx="148">
                  <c:v>2.0896155018200084E-4</c:v>
                </c:pt>
                <c:pt idx="149">
                  <c:v>2.1252361407240043E-4</c:v>
                </c:pt>
                <c:pt idx="150">
                  <c:v>2.1606034938995898E-4</c:v>
                </c:pt>
                <c:pt idx="151">
                  <c:v>2.1957201139937967E-4</c:v>
                </c:pt>
                <c:pt idx="152">
                  <c:v>2.2305885194672862E-4</c:v>
                </c:pt>
                <c:pt idx="153">
                  <c:v>2.2652111951647368E-4</c:v>
                </c:pt>
                <c:pt idx="154">
                  <c:v>2.2995905928738548E-4</c:v>
                </c:pt>
                <c:pt idx="155">
                  <c:v>2.333729131873267E-4</c:v>
                </c:pt>
                <c:pt idx="156">
                  <c:v>2.3676291994695521E-4</c:v>
                </c:pt>
                <c:pt idx="157">
                  <c:v>2.4012931515236615E-4</c:v>
                </c:pt>
                <c:pt idx="158">
                  <c:v>2.4347233129669695E-4</c:v>
                </c:pt>
                <c:pt idx="159">
                  <c:v>2.4679219783072003E-4</c:v>
                </c:pt>
                <c:pt idx="160">
                  <c:v>2.5008914121244522E-4</c:v>
                </c:pt>
                <c:pt idx="161">
                  <c:v>2.533633849557552E-4</c:v>
                </c:pt>
                <c:pt idx="162">
                  <c:v>2.5661514967809481E-4</c:v>
                </c:pt>
                <c:pt idx="163">
                  <c:v>2.5984465314723792E-4</c:v>
                </c:pt>
                <c:pt idx="164">
                  <c:v>2.6305211032714895E-4</c:v>
                </c:pt>
                <c:pt idx="165">
                  <c:v>2.6623773342296364E-4</c:v>
                </c:pt>
                <c:pt idx="166">
                  <c:v>2.6940173192510544E-4</c:v>
                </c:pt>
                <c:pt idx="167">
                  <c:v>2.7254431265255798E-4</c:v>
                </c:pt>
                <c:pt idx="168">
                  <c:v>2.7566567979531311E-4</c:v>
                </c:pt>
                <c:pt idx="169">
                  <c:v>2.7876603495601178E-4</c:v>
                </c:pt>
                <c:pt idx="170">
                  <c:v>2.8184557719079567E-4</c:v>
                </c:pt>
                <c:pt idx="171">
                  <c:v>2.8490450304938816E-4</c:v>
                </c:pt>
                <c:pt idx="172">
                  <c:v>2.8794300661441938E-4</c:v>
                </c:pt>
                <c:pt idx="173">
                  <c:v>2.9096127954001441E-4</c:v>
                </c:pt>
                <c:pt idx="174">
                  <c:v>2.9395951108965833E-4</c:v>
                </c:pt>
                <c:pt idx="175">
                  <c:v>2.9693788817335598E-4</c:v>
                </c:pt>
                <c:pt idx="176">
                  <c:v>2.9989659538410011E-4</c:v>
                </c:pt>
                <c:pt idx="177">
                  <c:v>3.0283581503366382E-4</c:v>
                </c:pt>
                <c:pt idx="178">
                  <c:v>3.0575572718773153E-4</c:v>
                </c:pt>
                <c:pt idx="179">
                  <c:v>3.0865650970038236E-4</c:v>
                </c:pt>
                <c:pt idx="180">
                  <c:v>3.1153833824794087E-4</c:v>
                </c:pt>
                <c:pt idx="181">
                  <c:v>3.1440138636220738E-4</c:v>
                </c:pt>
                <c:pt idx="182">
                  <c:v>3.1724582546308153E-4</c:v>
                </c:pt>
                <c:pt idx="183">
                  <c:v>3.2007182489059285E-4</c:v>
                </c:pt>
                <c:pt idx="184">
                  <c:v>3.2287955193634936E-4</c:v>
                </c:pt>
                <c:pt idx="185">
                  <c:v>3.2566917187441775E-4</c:v>
                </c:pt>
                <c:pt idx="186">
                  <c:v>3.2844084799164657E-4</c:v>
                </c:pt>
                <c:pt idx="187">
                  <c:v>3.3119474161744382E-4</c:v>
                </c:pt>
                <c:pt idx="188">
                  <c:v>3.3393101215302092E-4</c:v>
                </c:pt>
                <c:pt idx="189">
                  <c:v>3.3664981710011425E-4</c:v>
                </c:pt>
                <c:pt idx="190">
                  <c:v>3.3935131208919417E-4</c:v>
                </c:pt>
                <c:pt idx="191">
                  <c:v>3.4203565090717351E-4</c:v>
                </c:pt>
                <c:pt idx="192">
                  <c:v>3.4470298552462448E-4</c:v>
                </c:pt>
                <c:pt idx="193">
                  <c:v>3.4735346612251565E-4</c:v>
                </c:pt>
                <c:pt idx="194">
                  <c:v>3.4998724111847714E-4</c:v>
                </c:pt>
                <c:pt idx="195">
                  <c:v>3.5260445719260529E-4</c:v>
                </c:pt>
                <c:pt idx="196">
                  <c:v>3.5520525931281497E-4</c:v>
                </c:pt>
                <c:pt idx="197">
                  <c:v>3.5778979075974963E-4</c:v>
                </c:pt>
                <c:pt idx="198">
                  <c:v>3.603581931512577E-4</c:v>
                </c:pt>
                <c:pt idx="199">
                  <c:v>3.629106064664441E-4</c:v>
                </c:pt>
                <c:pt idx="200">
                  <c:v>3.6544716906930551E-4</c:v>
                </c:pt>
                <c:pt idx="201">
                  <c:v>3.6796801773195716E-4</c:v>
                </c:pt>
                <c:pt idx="202">
                  <c:v>3.7047328765746096E-4</c:v>
                </c:pt>
                <c:pt idx="203">
                  <c:v>3.7296311250226171E-4</c:v>
                </c:pt>
                <c:pt idx="204">
                  <c:v>3.754376243982382E-4</c:v>
                </c:pt>
                <c:pt idx="205">
                  <c:v>3.7789695397438014E-4</c:v>
                </c:pt>
                <c:pt idx="206">
                  <c:v>3.8034123037809417E-4</c:v>
                </c:pt>
                <c:pt idx="207">
                  <c:v>3.8277058129615037E-4</c:v>
                </c:pt>
                <c:pt idx="208">
                  <c:v>3.8518513297527285E-4</c:v>
                </c:pt>
                <c:pt idx="209">
                  <c:v>3.8758501024238411E-4</c:v>
                </c:pt>
                <c:pt idx="210">
                  <c:v>3.8997033652450781E-4</c:v>
                </c:pt>
                <c:pt idx="211">
                  <c:v>3.9234123386833886E-4</c:v>
                </c:pt>
                <c:pt idx="212">
                  <c:v>3.9469782295948496E-4</c:v>
                </c:pt>
                <c:pt idx="213">
                  <c:v>3.9704022314138832E-4</c:v>
                </c:pt>
                <c:pt idx="214">
                  <c:v>3.9936855243393154E-4</c:v>
                </c:pt>
                <c:pt idx="215">
                  <c:v>4.0168292755173528E-4</c:v>
                </c:pt>
                <c:pt idx="216">
                  <c:v>4.0398346392215331E-4</c:v>
                </c:pt>
                <c:pt idx="217">
                  <c:v>4.0627027570297117E-4</c:v>
                </c:pt>
                <c:pt idx="218">
                  <c:v>4.0854347579981169E-4</c:v>
                </c:pt>
                <c:pt idx="219">
                  <c:v>4.1080317588325794E-4</c:v>
                </c:pt>
                <c:pt idx="220">
                  <c:v>4.1304948640569287E-4</c:v>
                </c:pt>
                <c:pt idx="221">
                  <c:v>4.1528251661786649E-4</c:v>
                </c:pt>
                <c:pt idx="222">
                  <c:v>4.1750237458519239E-4</c:v>
                </c:pt>
                <c:pt idx="223">
                  <c:v>4.1970916720377973E-4</c:v>
                </c:pt>
                <c:pt idx="224">
                  <c:v>4.2190300021620591E-4</c:v>
                </c:pt>
                <c:pt idx="225">
                  <c:v>4.2408397822703498E-4</c:v>
                </c:pt>
                <c:pt idx="226">
                  <c:v>4.2625220471808516E-4</c:v>
                </c:pt>
                <c:pt idx="227">
                  <c:v>4.2840778206345274E-4</c:v>
                </c:pt>
                <c:pt idx="228">
                  <c:v>4.3055081154429398E-4</c:v>
                </c:pt>
                <c:pt idx="229">
                  <c:v>4.3268139336337153E-4</c:v>
                </c:pt>
                <c:pt idx="230">
                  <c:v>4.3479962665936929E-4</c:v>
                </c:pt>
                <c:pt idx="231">
                  <c:v>4.3690560952097961E-4</c:v>
                </c:pt>
                <c:pt idx="232">
                  <c:v>4.3899943900076746E-4</c:v>
                </c:pt>
                <c:pt idx="233">
                  <c:v>4.4108121112881486E-4</c:v>
                </c:pt>
                <c:pt idx="234">
                  <c:v>4.4315102092615152E-4</c:v>
                </c:pt>
                <c:pt idx="235">
                  <c:v>4.45208962417973E-4</c:v>
                </c:pt>
                <c:pt idx="236">
                  <c:v>4.4725512864665266E-4</c:v>
                </c:pt>
                <c:pt idx="237">
                  <c:v>4.4928961168454938E-4</c:v>
                </c:pt>
                <c:pt idx="238">
                  <c:v>4.51312502646616E-4</c:v>
                </c:pt>
                <c:pt idx="239">
                  <c:v>4.533238917028112E-4</c:v>
                </c:pt>
                <c:pt idx="240">
                  <c:v>4.553238680903194E-4</c:v>
                </c:pt>
                <c:pt idx="241">
                  <c:v>4.5731252012558071E-4</c:v>
                </c:pt>
                <c:pt idx="242">
                  <c:v>4.5928993521613613E-4</c:v>
                </c:pt>
                <c:pt idx="243">
                  <c:v>4.612561998722893E-4</c:v>
                </c:pt>
                <c:pt idx="244">
                  <c:v>4.6321139971858982E-4</c:v>
                </c:pt>
                <c:pt idx="245">
                  <c:v>4.6515561950514101E-4</c:v>
                </c:pt>
                <c:pt idx="246">
                  <c:v>4.6708894311873366E-4</c:v>
                </c:pt>
                <c:pt idx="247">
                  <c:v>4.6901145359381168E-4</c:v>
                </c:pt>
                <c:pt idx="248">
                  <c:v>4.7092323312326927E-4</c:v>
                </c:pt>
                <c:pt idx="249">
                  <c:v>4.7282436306908592E-4</c:v>
                </c:pt>
                <c:pt idx="250">
                  <c:v>4.7471492397280001E-4</c:v>
                </c:pt>
                <c:pt idx="251">
                  <c:v>4.765949955658239E-4</c:v>
                </c:pt>
                <c:pt idx="252">
                  <c:v>4.7846465677960429E-4</c:v>
                </c:pt>
                <c:pt idx="253">
                  <c:v>4.8032398575563012E-4</c:v>
                </c:pt>
                <c:pt idx="254">
                  <c:v>4.8217305985529034E-4</c:v>
                </c:pt>
                <c:pt idx="255">
                  <c:v>4.8401195566958433E-4</c:v>
                </c:pt>
                <c:pt idx="256">
                  <c:v>4.8584074902868822E-4</c:v>
                </c:pt>
                <c:pt idx="257">
                  <c:v>4.876595150113782E-4</c:v>
                </c:pt>
                <c:pt idx="258">
                  <c:v>4.894683279543147E-4</c:v>
                </c:pt>
                <c:pt idx="259">
                  <c:v>4.9126726146118906E-4</c:v>
                </c:pt>
                <c:pt idx="260">
                  <c:v>4.9305638841173568E-4</c:v>
                </c:pt>
                <c:pt idx="261">
                  <c:v>4.9483578097061034E-4</c:v>
                </c:pt>
                <c:pt idx="262">
                  <c:v>4.9660551059613949E-4</c:v>
                </c:pt>
                <c:pt idx="263">
                  <c:v>4.9836564804894064E-4</c:v>
                </c:pt>
                <c:pt idx="264">
                  <c:v>5.0011626340041757E-4</c:v>
                </c:pt>
                <c:pt idx="265">
                  <c:v>5.0185742604113063E-4</c:v>
                </c:pt>
                <c:pt idx="266">
                  <c:v>5.0358920468904569E-4</c:v>
                </c:pt>
                <c:pt idx="267">
                  <c:v>5.0531166739766452E-4</c:v>
                </c:pt>
                <c:pt idx="268">
                  <c:v>5.0702488156403576E-4</c:v>
                </c:pt>
                <c:pt idx="269">
                  <c:v>5.0872891393665201E-4</c:v>
                </c:pt>
                <c:pt idx="270">
                  <c:v>5.1042383062323174E-4</c:v>
                </c:pt>
                <c:pt idx="271">
                  <c:v>5.1210969709839004E-4</c:v>
                </c:pt>
                <c:pt idx="272">
                  <c:v>5.1378657821119986E-4</c:v>
                </c:pt>
                <c:pt idx="273">
                  <c:v>5.1545453819264457E-4</c:v>
                </c:pt>
                <c:pt idx="274">
                  <c:v>5.1711364066296401E-4</c:v>
                </c:pt>
                <c:pt idx="275">
                  <c:v>5.1876394863889692E-4</c:v>
                </c:pt>
                <c:pt idx="276">
                  <c:v>5.2040552454081946E-4</c:v>
                </c:pt>
                <c:pt idx="277">
                  <c:v>5.2203843019978384E-4</c:v>
                </c:pt>
                <c:pt idx="278">
                  <c:v>5.2366272686445604E-4</c:v>
                </c:pt>
                <c:pt idx="279">
                  <c:v>5.2527847520795774E-4</c:v>
                </c:pt>
                <c:pt idx="280">
                  <c:v>5.2688573533460955E-4</c:v>
                </c:pt>
                <c:pt idx="281">
                  <c:v>5.2848456678658182E-4</c:v>
                </c:pt>
                <c:pt idx="282">
                  <c:v>5.3007502855045103E-4</c:v>
                </c:pt>
                <c:pt idx="283">
                  <c:v>5.3165717906366542E-4</c:v>
                </c:pt>
                <c:pt idx="284">
                  <c:v>5.332310762209202E-4</c:v>
                </c:pt>
                <c:pt idx="285">
                  <c:v>5.347967773804438E-4</c:v>
                </c:pt>
                <c:pt idx="286">
                  <c:v>5.3635433937019748E-4</c:v>
                </c:pt>
                <c:pt idx="287">
                  <c:v>5.379038184939889E-4</c:v>
                </c:pt>
                <c:pt idx="288">
                  <c:v>5.3944527053750239E-4</c:v>
                </c:pt>
                <c:pt idx="289">
                  <c:v>5.4097875077424291E-4</c:v>
                </c:pt>
                <c:pt idx="290">
                  <c:v>5.425043139714031E-4</c:v>
                </c:pt>
                <c:pt idx="291">
                  <c:v>5.4402201439564561E-4</c:v>
                </c:pt>
                <c:pt idx="292">
                  <c:v>5.455319058188091E-4</c:v>
                </c:pt>
                <c:pt idx="293">
                  <c:v>5.4703404152353532E-4</c:v>
                </c:pt>
                <c:pt idx="294">
                  <c:v>5.4852847430881938E-4</c:v>
                </c:pt>
                <c:pt idx="295">
                  <c:v>5.5001525649548419E-4</c:v>
                </c:pt>
                <c:pt idx="296">
                  <c:v>5.5149443993158338E-4</c:v>
                </c:pt>
                <c:pt idx="297">
                  <c:v>5.5296607599772721E-4</c:v>
                </c:pt>
                <c:pt idx="298">
                  <c:v>5.5443021561233979E-4</c:v>
                </c:pt>
                <c:pt idx="299">
                  <c:v>5.5588690923684349E-4</c:v>
                </c:pt>
                <c:pt idx="300">
                  <c:v>5.573362068807755E-4</c:v>
                </c:pt>
                <c:pt idx="301">
                  <c:v>5.5877815810683406E-4</c:v>
                </c:pt>
                <c:pt idx="302">
                  <c:v>5.6021281203585819E-4</c:v>
                </c:pt>
                <c:pt idx="303">
                  <c:v>5.6164021735174107E-4</c:v>
                </c:pt>
                <c:pt idx="304">
                  <c:v>5.6306042230627729E-4</c:v>
                </c:pt>
                <c:pt idx="305">
                  <c:v>5.6447347472394712E-4</c:v>
                </c:pt>
                <c:pt idx="306">
                  <c:v>5.6587942200663453E-4</c:v>
                </c:pt>
                <c:pt idx="307">
                  <c:v>5.6727831113828695E-4</c:v>
                </c:pt>
                <c:pt idx="308">
                  <c:v>5.6867018868950962E-4</c:v>
                </c:pt>
                <c:pt idx="309">
                  <c:v>5.7005510082210151E-4</c:v>
                </c:pt>
                <c:pt idx="310">
                  <c:v>5.7143309329353163E-4</c:v>
                </c:pt>
                <c:pt idx="311">
                  <c:v>5.728042114613558E-4</c:v>
                </c:pt>
                <c:pt idx="312">
                  <c:v>5.7416850028757646E-4</c:v>
                </c:pt>
                <c:pt idx="313">
                  <c:v>5.7552600434294455E-4</c:v>
                </c:pt>
                <c:pt idx="314">
                  <c:v>5.7687676781120712E-4</c:v>
                </c:pt>
                <c:pt idx="315">
                  <c:v>5.7822083449329776E-4</c:v>
                </c:pt>
                <c:pt idx="316">
                  <c:v>5.7955824781147347E-4</c:v>
                </c:pt>
                <c:pt idx="317">
                  <c:v>5.8088905081339897E-4</c:v>
                </c:pt>
                <c:pt idx="318">
                  <c:v>5.8221328617617633E-4</c:v>
                </c:pt>
                <c:pt idx="319">
                  <c:v>5.8353099621032481E-4</c:v>
                </c:pt>
                <c:pt idx="320">
                  <c:v>5.8484222286370733E-4</c:v>
                </c:pt>
                <c:pt idx="321">
                  <c:v>5.8614700772540915E-4</c:v>
                </c:pt>
                <c:pt idx="322">
                  <c:v>5.8744539202956368E-4</c:v>
                </c:pt>
                <c:pt idx="323">
                  <c:v>5.8873741665913264E-4</c:v>
                </c:pt>
                <c:pt idx="324">
                  <c:v>5.9002312214963618E-4</c:v>
                </c:pt>
                <c:pt idx="325">
                  <c:v>5.9130254869283535E-4</c:v>
                </c:pt>
                <c:pt idx="326">
                  <c:v>5.9257573614036928E-4</c:v>
                </c:pt>
                <c:pt idx="327">
                  <c:v>5.9384272400734466E-4</c:v>
                </c:pt>
                <c:pt idx="328">
                  <c:v>5.951035514758816E-4</c:v>
                </c:pt>
                <c:pt idx="329">
                  <c:v>5.9635825739861258E-4</c:v>
                </c:pt>
                <c:pt idx="330">
                  <c:v>5.9760688030213933E-4</c:v>
                </c:pt>
                <c:pt idx="331">
                  <c:v>5.9884945839044576E-4</c:v>
                </c:pt>
                <c:pt idx="332">
                  <c:v>6.0008602954826661E-4</c:v>
                </c:pt>
                <c:pt idx="333">
                  <c:v>6.0131663134441703E-4</c:v>
                </c:pt>
                <c:pt idx="334">
                  <c:v>6.0254130103507724E-4</c:v>
                </c:pt>
                <c:pt idx="335">
                  <c:v>6.0376007556703858E-4</c:v>
                </c:pt>
                <c:pt idx="336">
                  <c:v>6.0497299158090826E-4</c:v>
                </c:pt>
                <c:pt idx="337">
                  <c:v>6.0618008541427439E-4</c:v>
                </c:pt>
                <c:pt idx="338">
                  <c:v>6.0738139310483291E-4</c:v>
                </c:pt>
                <c:pt idx="339">
                  <c:v>6.0857695039347333E-4</c:v>
                </c:pt>
                <c:pt idx="340">
                  <c:v>6.0976679272732972E-4</c:v>
                </c:pt>
                <c:pt idx="341">
                  <c:v>6.1095095526279104E-4</c:v>
                </c:pt>
                <c:pt idx="342">
                  <c:v>6.1212947286847733E-4</c:v>
                </c:pt>
                <c:pt idx="343">
                  <c:v>6.1330238012817723E-4</c:v>
                </c:pt>
                <c:pt idx="344">
                  <c:v>6.1446971134375059E-4</c:v>
                </c:pt>
                <c:pt idx="345">
                  <c:v>6.1563150053799566E-4</c:v>
                </c:pt>
                <c:pt idx="346">
                  <c:v>6.1678778145748102E-4</c:v>
                </c:pt>
                <c:pt idx="347">
                  <c:v>6.1793858757534337E-4</c:v>
                </c:pt>
                <c:pt idx="348">
                  <c:v>6.1908395209405126E-4</c:v>
                </c:pt>
                <c:pt idx="349">
                  <c:v>6.2022390794813566E-4</c:v>
                </c:pt>
                <c:pt idx="350">
                  <c:v>6.213584878068867E-4</c:v>
                </c:pt>
                <c:pt idx="351">
                  <c:v>6.2248772407701896E-4</c:v>
                </c:pt>
                <c:pt idx="352">
                  <c:v>6.2361164890530377E-4</c:v>
                </c:pt>
                <c:pt idx="353">
                  <c:v>6.2473029418117073E-4</c:v>
                </c:pt>
                <c:pt idx="354">
                  <c:v>6.2584369153927816E-4</c:v>
                </c:pt>
                <c:pt idx="355">
                  <c:v>6.2695187236205092E-4</c:v>
                </c:pt>
                <c:pt idx="356">
                  <c:v>6.2805486778219025E-4</c:v>
                </c:pt>
                <c:pt idx="357">
                  <c:v>6.2915270868515289E-4</c:v>
                </c:pt>
                <c:pt idx="358">
                  <c:v>6.3024542571159985E-4</c:v>
                </c:pt>
                <c:pt idx="359">
                  <c:v>6.3133304925981832E-4</c:v>
                </c:pt>
                <c:pt idx="360">
                  <c:v>6.3241560948811156E-4</c:v>
                </c:pt>
                <c:pt idx="361">
                  <c:v>6.3349313631716443E-4</c:v>
                </c:pt>
                <c:pt idx="362">
                  <c:v>6.3456565943237743E-4</c:v>
                </c:pt>
                <c:pt idx="363">
                  <c:v>6.3563320828617577E-4</c:v>
                </c:pt>
                <c:pt idx="364">
                  <c:v>6.366958121002905E-4</c:v>
                </c:pt>
                <c:pt idx="365">
                  <c:v>6.3775349986801191E-4</c:v>
                </c:pt>
                <c:pt idx="366">
                  <c:v>6.3880630035641878E-4</c:v>
                </c:pt>
                <c:pt idx="367">
                  <c:v>6.3985424210857877E-4</c:v>
                </c:pt>
                <c:pt idx="368">
                  <c:v>6.4089735344572665E-4</c:v>
                </c:pt>
                <c:pt idx="369">
                  <c:v>6.4193566246941293E-4</c:v>
                </c:pt>
                <c:pt idx="370">
                  <c:v>6.4296919706363143E-4</c:v>
                </c:pt>
                <c:pt idx="371">
                  <c:v>6.4399798489691998E-4</c:v>
                </c:pt>
                <c:pt idx="372">
                  <c:v>6.4502205342443749E-4</c:v>
                </c:pt>
                <c:pt idx="373">
                  <c:v>6.4604142989001668E-4</c:v>
                </c:pt>
                <c:pt idx="374">
                  <c:v>6.4705614132819396E-4</c:v>
                </c:pt>
                <c:pt idx="375">
                  <c:v>6.4806621456621515E-4</c:v>
                </c:pt>
                <c:pt idx="376">
                  <c:v>6.4907167622601852E-4</c:v>
                </c:pt>
                <c:pt idx="377">
                  <c:v>6.5007255272619491E-4</c:v>
                </c:pt>
                <c:pt idx="378">
                  <c:v>6.5106887028392563E-4</c:v>
                </c:pt>
                <c:pt idx="379">
                  <c:v>6.5206065491689826E-4</c:v>
                </c:pt>
                <c:pt idx="380">
                  <c:v>6.5304793244520061E-4</c:v>
                </c:pt>
                <c:pt idx="381">
                  <c:v>6.5403072849319274E-4</c:v>
                </c:pt>
                <c:pt idx="382">
                  <c:v>6.5500906849135887E-4</c:v>
                </c:pt>
                <c:pt idx="383">
                  <c:v>6.5598297767813631E-4</c:v>
                </c:pt>
                <c:pt idx="384">
                  <c:v>6.5695248110172598E-4</c:v>
                </c:pt>
                <c:pt idx="385">
                  <c:v>6.5791760362188115E-4</c:v>
                </c:pt>
                <c:pt idx="386">
                  <c:v>6.5887836991167605E-4</c:v>
                </c:pt>
                <c:pt idx="387">
                  <c:v>6.5983480445925473E-4</c:v>
                </c:pt>
                <c:pt idx="388">
                  <c:v>6.6078693156956163E-4</c:v>
                </c:pt>
                <c:pt idx="389">
                  <c:v>6.6173477536604988E-4</c:v>
                </c:pt>
                <c:pt idx="390">
                  <c:v>6.6267835979237329E-4</c:v>
                </c:pt>
                <c:pt idx="391">
                  <c:v>6.636177086140583E-4</c:v>
                </c:pt>
                <c:pt idx="392">
                  <c:v>6.6455284542015652E-4</c:v>
                </c:pt>
                <c:pt idx="393">
                  <c:v>6.654837936248809E-4</c:v>
                </c:pt>
                <c:pt idx="394">
                  <c:v>6.6641057646922217E-4</c:v>
                </c:pt>
                <c:pt idx="395">
                  <c:v>6.6733321702254717E-4</c:v>
                </c:pt>
                <c:pt idx="396">
                  <c:v>6.682517381841808E-4</c:v>
                </c:pt>
                <c:pt idx="397">
                  <c:v>6.6916616268496978E-4</c:v>
                </c:pt>
                <c:pt idx="398">
                  <c:v>6.7007651308882926E-4</c:v>
                </c:pt>
                <c:pt idx="399">
                  <c:v>6.7098281179427198E-4</c:v>
                </c:pt>
                <c:pt idx="400">
                  <c:v>6.7188508103592135E-4</c:v>
                </c:pt>
                <c:pt idx="401">
                  <c:v>6.7278334288600825E-4</c:v>
                </c:pt>
                <c:pt idx="402">
                  <c:v>6.7367761925584975E-4</c:v>
                </c:pt>
                <c:pt idx="403">
                  <c:v>6.7456793189731381E-4</c:v>
                </c:pt>
                <c:pt idx="404">
                  <c:v>6.7545430240426659E-4</c:v>
                </c:pt>
                <c:pt idx="405">
                  <c:v>6.7633675221400445E-4</c:v>
                </c:pt>
                <c:pt idx="406">
                  <c:v>6.7721530260867044E-4</c:v>
                </c:pt>
                <c:pt idx="407">
                  <c:v>6.7808997471665569E-4</c:v>
                </c:pt>
                <c:pt idx="408">
                  <c:v>6.7896078951398538E-4</c:v>
                </c:pt>
                <c:pt idx="409">
                  <c:v>6.7982776782568924E-4</c:v>
                </c:pt>
                <c:pt idx="410">
                  <c:v>6.8069093032715816E-4</c:v>
                </c:pt>
                <c:pt idx="411">
                  <c:v>6.8155029754548571E-4</c:v>
                </c:pt>
                <c:pt idx="412">
                  <c:v>6.8240588986079559E-4</c:v>
                </c:pt>
                <c:pt idx="413">
                  <c:v>6.8325772750755436E-4</c:v>
                </c:pt>
                <c:pt idx="414">
                  <c:v>6.841058305758703E-4</c:v>
                </c:pt>
                <c:pt idx="415">
                  <c:v>6.8495021901277919E-4</c:v>
                </c:pt>
                <c:pt idx="416">
                  <c:v>6.8579091262351444E-4</c:v>
                </c:pt>
                <c:pt idx="417">
                  <c:v>6.8662793107276629E-4</c:v>
                </c:pt>
                <c:pt idx="418">
                  <c:v>6.8746129388592482E-4</c:v>
                </c:pt>
                <c:pt idx="419">
                  <c:v>6.8829102045031294E-4</c:v>
                </c:pt>
                <c:pt idx="420">
                  <c:v>6.8911713001640286E-4</c:v>
                </c:pt>
                <c:pt idx="421">
                  <c:v>6.8993964169902279E-4</c:v>
                </c:pt>
                <c:pt idx="422">
                  <c:v>6.9075857447854902E-4</c:v>
                </c:pt>
                <c:pt idx="423">
                  <c:v>6.9157394720208588E-4</c:v>
                </c:pt>
                <c:pt idx="424">
                  <c:v>6.9238577858463362E-4</c:v>
                </c:pt>
                <c:pt idx="425">
                  <c:v>6.9319408721024375E-4</c:v>
                </c:pt>
                <c:pt idx="426">
                  <c:v>6.9399889153316265E-4</c:v>
                </c:pt>
                <c:pt idx="427">
                  <c:v>6.9480020987896227E-4</c:v>
                </c:pt>
                <c:pt idx="428">
                  <c:v>6.9559806044566005E-4</c:v>
                </c:pt>
                <c:pt idx="429">
                  <c:v>6.9639246130482723E-4</c:v>
                </c:pt>
                <c:pt idx="430">
                  <c:v>6.971834304026844E-4</c:v>
                </c:pt>
                <c:pt idx="431">
                  <c:v>6.9797098556118671E-4</c:v>
                </c:pt>
                <c:pt idx="432">
                  <c:v>6.9875514447909797E-4</c:v>
                </c:pt>
                <c:pt idx="433">
                  <c:v>6.9953592473305287E-4</c:v>
                </c:pt>
                <c:pt idx="434">
                  <c:v>7.0031334377860849E-4</c:v>
                </c:pt>
                <c:pt idx="435">
                  <c:v>7.0108741895128532E-4</c:v>
                </c:pt>
                <c:pt idx="436">
                  <c:v>7.0185816746759771E-4</c:v>
                </c:pt>
                <c:pt idx="437">
                  <c:v>7.0262560642607203E-4</c:v>
                </c:pt>
                <c:pt idx="438">
                  <c:v>7.0338975280825715E-4</c:v>
                </c:pt>
                <c:pt idx="439">
                  <c:v>7.0415062347972202E-4</c:v>
                </c:pt>
                <c:pt idx="440">
                  <c:v>7.049082351910451E-4</c:v>
                </c:pt>
                <c:pt idx="441">
                  <c:v>7.0566260457879135E-4</c:v>
                </c:pt>
                <c:pt idx="442">
                  <c:v>7.0641374816648235E-4</c:v>
                </c:pt>
                <c:pt idx="443">
                  <c:v>7.0716168236555348E-4</c:v>
                </c:pt>
                <c:pt idx="444">
                  <c:v>7.0790642347630275E-4</c:v>
                </c:pt>
                <c:pt idx="445">
                  <c:v>7.0864798768883119E-4</c:v>
                </c:pt>
                <c:pt idx="446">
                  <c:v>7.0938639108397098E-4</c:v>
                </c:pt>
                <c:pt idx="447">
                  <c:v>7.1012164963420686E-4</c:v>
                </c:pt>
                <c:pt idx="448">
                  <c:v>7.108537792045866E-4</c:v>
                </c:pt>
                <c:pt idx="449">
                  <c:v>7.1158279555362275E-4</c:v>
                </c:pt>
                <c:pt idx="450">
                  <c:v>7.1230871433418603E-4</c:v>
                </c:pt>
                <c:pt idx="451">
                  <c:v>7.1303155109438772E-4</c:v>
                </c:pt>
                <c:pt idx="452">
                  <c:v>7.1375132127845641E-4</c:v>
                </c:pt>
                <c:pt idx="453">
                  <c:v>7.1446804022760283E-4</c:v>
                </c:pt>
                <c:pt idx="454">
                  <c:v>7.1518172318087722E-4</c:v>
                </c:pt>
                <c:pt idx="455">
                  <c:v>7.1589238527602027E-4</c:v>
                </c:pt>
                <c:pt idx="456">
                  <c:v>7.166000415503006E-4</c:v>
                </c:pt>
                <c:pt idx="457">
                  <c:v>7.1730470694134963E-4</c:v>
                </c:pt>
                <c:pt idx="458">
                  <c:v>7.1800639628798364E-4</c:v>
                </c:pt>
                <c:pt idx="459">
                  <c:v>7.1870512433102067E-4</c:v>
                </c:pt>
                <c:pt idx="460">
                  <c:v>7.1940090571408818E-4</c:v>
                </c:pt>
                <c:pt idx="461">
                  <c:v>7.2009375498442111E-4</c:v>
                </c:pt>
                <c:pt idx="462">
                  <c:v>7.2078368659365597E-4</c:v>
                </c:pt>
                <c:pt idx="463">
                  <c:v>7.214707148986136E-4</c:v>
                </c:pt>
                <c:pt idx="464">
                  <c:v>7.2215485416207508E-4</c:v>
                </c:pt>
                <c:pt idx="465">
                  <c:v>7.2283611855355199E-4</c:v>
                </c:pt>
                <c:pt idx="466">
                  <c:v>7.2351452215004583E-4</c:v>
                </c:pt>
                <c:pt idx="467">
                  <c:v>7.2419007893680294E-4</c:v>
                </c:pt>
                <c:pt idx="468">
                  <c:v>7.2486280280806086E-4</c:v>
                </c:pt>
                <c:pt idx="469">
                  <c:v>7.2553270756778613E-4</c:v>
                </c:pt>
                <c:pt idx="470">
                  <c:v>7.2619980693040776E-4</c:v>
                </c:pt>
                <c:pt idx="471">
                  <c:v>7.2686411452154158E-4</c:v>
                </c:pt>
                <c:pt idx="472">
                  <c:v>7.2752564387870743E-4</c:v>
                </c:pt>
                <c:pt idx="473">
                  <c:v>7.2818440845204063E-4</c:v>
                </c:pt>
                <c:pt idx="474">
                  <c:v>7.2884042160499529E-4</c:v>
                </c:pt>
                <c:pt idx="475">
                  <c:v>7.2949369661504245E-4</c:v>
                </c:pt>
                <c:pt idx="476">
                  <c:v>7.3014424667435971E-4</c:v>
                </c:pt>
                <c:pt idx="477">
                  <c:v>7.3079208489051494E-4</c:v>
                </c:pt>
                <c:pt idx="478">
                  <c:v>7.3143722428714456E-4</c:v>
                </c:pt>
                <c:pt idx="479">
                  <c:v>7.3207967780462271E-4</c:v>
                </c:pt>
                <c:pt idx="480">
                  <c:v>7.3271945830072696E-4</c:v>
                </c:pt>
                <c:pt idx="481">
                  <c:v>7.3335657855129531E-4</c:v>
                </c:pt>
                <c:pt idx="482">
                  <c:v>7.3399105125087835E-4</c:v>
                </c:pt>
                <c:pt idx="483">
                  <c:v>7.3462288901338525E-4</c:v>
                </c:pt>
                <c:pt idx="484">
                  <c:v>7.3525210437272166E-4</c:v>
                </c:pt>
                <c:pt idx="485">
                  <c:v>7.3587870978342402E-4</c:v>
                </c:pt>
                <c:pt idx="486">
                  <c:v>7.3650271762128693E-4</c:v>
                </c:pt>
                <c:pt idx="487">
                  <c:v>7.3712414018398359E-4</c:v>
                </c:pt>
                <c:pt idx="488">
                  <c:v>7.3774298969168223E-4</c:v>
                </c:pt>
                <c:pt idx="489">
                  <c:v>7.3835927828765525E-4</c:v>
                </c:pt>
                <c:pt idx="490">
                  <c:v>7.3897301803888264E-4</c:v>
                </c:pt>
                <c:pt idx="491">
                  <c:v>7.3958422093665184E-4</c:v>
                </c:pt>
                <c:pt idx="492">
                  <c:v>7.4019289889714756E-4</c:v>
                </c:pt>
                <c:pt idx="493">
                  <c:v>7.4079906376204176E-4</c:v>
                </c:pt>
                <c:pt idx="494">
                  <c:v>7.4140272729907302E-4</c:v>
                </c:pt>
                <c:pt idx="495">
                  <c:v>7.420039012026239E-4</c:v>
                </c:pt>
                <c:pt idx="496">
                  <c:v>7.4260259709429141E-4</c:v>
                </c:pt>
                <c:pt idx="497">
                  <c:v>7.4319882652345128E-4</c:v>
                </c:pt>
                <c:pt idx="498">
                  <c:v>7.4379260096782006E-4</c:v>
                </c:pt>
                <c:pt idx="499">
                  <c:v>7.4438393183400811E-4</c:v>
                </c:pt>
                <c:pt idx="500">
                  <c:v>7.449728304580709E-4</c:v>
                </c:pt>
                <c:pt idx="501">
                  <c:v>7.4555930810605285E-4</c:v>
                </c:pt>
                <c:pt idx="502">
                  <c:v>7.461433759745269E-4</c:v>
                </c:pt>
                <c:pt idx="503">
                  <c:v>7.4672504519112987E-4</c:v>
                </c:pt>
                <c:pt idx="504">
                  <c:v>7.4730432681509155E-4</c:v>
                </c:pt>
                <c:pt idx="505">
                  <c:v>7.4788123183775976E-4</c:v>
                </c:pt>
                <c:pt idx="506">
                  <c:v>7.484557711831207E-4</c:v>
                </c:pt>
                <c:pt idx="507">
                  <c:v>7.4902795570831314E-4</c:v>
                </c:pt>
                <c:pt idx="508">
                  <c:v>7.4959779620414066E-4</c:v>
                </c:pt>
                <c:pt idx="509">
                  <c:v>7.5016530339557603E-4</c:v>
                </c:pt>
                <c:pt idx="510">
                  <c:v>7.5073048794226289E-4</c:v>
                </c:pt>
                <c:pt idx="511">
                  <c:v>7.5129336043901283E-4</c:v>
                </c:pt>
                <c:pt idx="512">
                  <c:v>7.5185393141629731E-4</c:v>
                </c:pt>
                <c:pt idx="513">
                  <c:v>7.5241221134073478E-4</c:v>
                </c:pt>
                <c:pt idx="514">
                  <c:v>7.5296821061557459E-4</c:v>
                </c:pt>
                <c:pt idx="515">
                  <c:v>7.535219395811755E-4</c:v>
                </c:pt>
                <c:pt idx="516">
                  <c:v>7.5407340851548084E-4</c:v>
                </c:pt>
                <c:pt idx="517">
                  <c:v>7.5462262763448772E-4</c:v>
                </c:pt>
                <c:pt idx="518">
                  <c:v>7.5516960709271354E-4</c:v>
                </c:pt>
                <c:pt idx="519">
                  <c:v>7.5571435698365823E-4</c:v>
                </c:pt>
                <c:pt idx="520">
                  <c:v>7.5625688734026048E-4</c:v>
                </c:pt>
                <c:pt idx="521">
                  <c:v>7.5679720813535327E-4</c:v>
                </c:pt>
                <c:pt idx="522">
                  <c:v>7.5733532928211138E-4</c:v>
                </c:pt>
                <c:pt idx="523">
                  <c:v>7.5787126063449806E-4</c:v>
                </c:pt>
                <c:pt idx="524">
                  <c:v>7.5840501198770637E-4</c:v>
                </c:pt>
                <c:pt idx="525">
                  <c:v>7.5893659307859555E-4</c:v>
                </c:pt>
                <c:pt idx="526">
                  <c:v>7.5946601358612635E-4</c:v>
                </c:pt>
                <c:pt idx="527">
                  <c:v>7.5999328313178889E-4</c:v>
                </c:pt>
                <c:pt idx="528">
                  <c:v>7.6051841128003028E-4</c:v>
                </c:pt>
                <c:pt idx="529">
                  <c:v>7.6104140753867583E-4</c:v>
                </c:pt>
                <c:pt idx="530">
                  <c:v>7.6156228135934709E-4</c:v>
                </c:pt>
                <c:pt idx="531">
                  <c:v>7.6208104213787789E-4</c:v>
                </c:pt>
                <c:pt idx="532">
                  <c:v>7.6259769921472361E-4</c:v>
                </c:pt>
                <c:pt idx="533">
                  <c:v>7.6311226187537006E-4</c:v>
                </c:pt>
                <c:pt idx="534">
                  <c:v>7.6362473935073642E-4</c:v>
                </c:pt>
                <c:pt idx="535">
                  <c:v>7.6413514081757525E-4</c:v>
                </c:pt>
                <c:pt idx="536">
                  <c:v>7.6464347539887062E-4</c:v>
                </c:pt>
                <c:pt idx="537">
                  <c:v>7.6514975216422968E-4</c:v>
                </c:pt>
                <c:pt idx="538">
                  <c:v>7.6565398013027342E-4</c:v>
                </c:pt>
                <c:pt idx="539">
                  <c:v>7.6615616826102278E-4</c:v>
                </c:pt>
                <c:pt idx="540">
                  <c:v>7.6665632546828156E-4</c:v>
                </c:pt>
                <c:pt idx="541">
                  <c:v>7.6715446061201634E-4</c:v>
                </c:pt>
                <c:pt idx="542">
                  <c:v>7.6765058250073269E-4</c:v>
                </c:pt>
                <c:pt idx="543">
                  <c:v>7.6814469989184794E-4</c:v>
                </c:pt>
                <c:pt idx="544">
                  <c:v>7.6863682149206215E-4</c:v>
                </c:pt>
                <c:pt idx="545">
                  <c:v>7.69126955957723E-4</c:v>
                </c:pt>
                <c:pt idx="546">
                  <c:v>7.6961511189519057E-4</c:v>
                </c:pt>
                <c:pt idx="547">
                  <c:v>7.7010129786119765E-4</c:v>
                </c:pt>
                <c:pt idx="548">
                  <c:v>7.7058552236320549E-4</c:v>
                </c:pt>
                <c:pt idx="549">
                  <c:v>7.7106779385976033E-4</c:v>
                </c:pt>
                <c:pt idx="550">
                  <c:v>7.7154812076084213E-4</c:v>
                </c:pt>
                <c:pt idx="551">
                  <c:v>7.7202651142821378E-4</c:v>
                </c:pt>
                <c:pt idx="552">
                  <c:v>7.7250297417576685E-4</c:v>
                </c:pt>
                <c:pt idx="553">
                  <c:v>7.7297751726986127E-4</c:v>
                </c:pt>
                <c:pt idx="554">
                  <c:v>7.7345014892966761E-4</c:v>
                </c:pt>
                <c:pt idx="555">
                  <c:v>7.7392087732750068E-4</c:v>
                </c:pt>
                <c:pt idx="556">
                  <c:v>7.743897105891549E-4</c:v>
                </c:pt>
                <c:pt idx="557">
                  <c:v>7.7485665679423367E-4</c:v>
                </c:pt>
                <c:pt idx="558">
                  <c:v>7.7532172397647733E-4</c:v>
                </c:pt>
                <c:pt idx="559">
                  <c:v>7.7578492012408853E-4</c:v>
                </c:pt>
                <c:pt idx="560">
                  <c:v>7.7624625318005404E-4</c:v>
                </c:pt>
                <c:pt idx="561">
                  <c:v>7.7670573104246402E-4</c:v>
                </c:pt>
                <c:pt idx="562">
                  <c:v>7.7716336156483004E-4</c:v>
                </c:pt>
                <c:pt idx="563">
                  <c:v>7.77619152556397E-4</c:v>
                </c:pt>
                <c:pt idx="564">
                  <c:v>7.7807311178245699E-4</c:v>
                </c:pt>
                <c:pt idx="565">
                  <c:v>7.7852524696465605E-4</c:v>
                </c:pt>
                <c:pt idx="566">
                  <c:v>7.7897556578130137E-4</c:v>
                </c:pt>
                <c:pt idx="567">
                  <c:v>7.7942407586766504E-4</c:v>
                </c:pt>
                <c:pt idx="568">
                  <c:v>7.7987078481628477E-4</c:v>
                </c:pt>
                <c:pt idx="569">
                  <c:v>7.8031570017726237E-4</c:v>
                </c:pt>
                <c:pt idx="570">
                  <c:v>7.807588294585601E-4</c:v>
                </c:pt>
                <c:pt idx="571">
                  <c:v>7.8120018012629421E-4</c:v>
                </c:pt>
                <c:pt idx="572">
                  <c:v>7.81639759605026E-4</c:v>
                </c:pt>
                <c:pt idx="573">
                  <c:v>7.8207757527805062E-4</c:v>
                </c:pt>
                <c:pt idx="574">
                  <c:v>7.8251363448768297E-4</c:v>
                </c:pt>
                <c:pt idx="575">
                  <c:v>7.8294794453554243E-4</c:v>
                </c:pt>
                <c:pt idx="576">
                  <c:v>7.833805126828329E-4</c:v>
                </c:pt>
                <c:pt idx="577">
                  <c:v>7.838113461506248E-4</c:v>
                </c:pt>
                <c:pt idx="578">
                  <c:v>7.8424045212012862E-4</c:v>
                </c:pt>
                <c:pt idx="579">
                  <c:v>7.8466783773297204E-4</c:v>
                </c:pt>
                <c:pt idx="580">
                  <c:v>7.850935100914715E-4</c:v>
                </c:pt>
                <c:pt idx="581">
                  <c:v>7.8551747625890136E-4</c:v>
                </c:pt>
                <c:pt idx="582">
                  <c:v>7.8593974325976367E-4</c:v>
                </c:pt>
                <c:pt idx="583">
                  <c:v>7.8636031808005259E-4</c:v>
                </c:pt>
                <c:pt idx="584">
                  <c:v>7.8677920766751777E-4</c:v>
                </c:pt>
                <c:pt idx="585">
                  <c:v>7.8719641893192701E-4</c:v>
                </c:pt>
                <c:pt idx="586">
                  <c:v>7.8761195874532338E-4</c:v>
                </c:pt>
                <c:pt idx="587">
                  <c:v>7.8802583394228451E-4</c:v>
                </c:pt>
                <c:pt idx="588">
                  <c:v>7.8843805132017611E-4</c:v>
                </c:pt>
                <c:pt idx="589">
                  <c:v>7.8884861763940499E-4</c:v>
                </c:pt>
                <c:pt idx="590">
                  <c:v>7.8925753962367118E-4</c:v>
                </c:pt>
                <c:pt idx="591">
                  <c:v>7.8966482396021487E-4</c:v>
                </c:pt>
                <c:pt idx="592">
                  <c:v>7.9007047730006484E-4</c:v>
                </c:pt>
                <c:pt idx="593">
                  <c:v>7.9047450625828193E-4</c:v>
                </c:pt>
                <c:pt idx="594">
                  <c:v>7.9087691741420237E-4</c:v>
                </c:pt>
                <c:pt idx="595">
                  <c:v>7.9127771731167952E-4</c:v>
                </c:pt>
                <c:pt idx="596">
                  <c:v>7.9167691245932159E-4</c:v>
                </c:pt>
                <c:pt idx="597">
                  <c:v>7.9207450933072813E-4</c:v>
                </c:pt>
                <c:pt idx="598">
                  <c:v>7.9247051436472711E-4</c:v>
                </c:pt>
                <c:pt idx="599">
                  <c:v>7.9286493396560603E-4</c:v>
                </c:pt>
                <c:pt idx="600">
                  <c:v>7.9325777450334439E-4</c:v>
                </c:pt>
                <c:pt idx="601">
                  <c:v>7.9364904231384275E-4</c:v>
                </c:pt>
                <c:pt idx="602">
                  <c:v>7.9403874369915039E-4</c:v>
                </c:pt>
                <c:pt idx="603">
                  <c:v>7.944268849276909E-4</c:v>
                </c:pt>
                <c:pt idx="604">
                  <c:v>7.9481347223448644E-4</c:v>
                </c:pt>
                <c:pt idx="605">
                  <c:v>7.9519851182137976E-4</c:v>
                </c:pt>
                <c:pt idx="606">
                  <c:v>7.9558200985725485E-4</c:v>
                </c:pt>
                <c:pt idx="607">
                  <c:v>7.9596397247825483E-4</c:v>
                </c:pt>
                <c:pt idx="608">
                  <c:v>7.9634440578799971E-4</c:v>
                </c:pt>
                <c:pt idx="609">
                  <c:v>7.9672331585780155E-4</c:v>
                </c:pt>
                <c:pt idx="610">
                  <c:v>7.9710070872687755E-4</c:v>
                </c:pt>
                <c:pt idx="611">
                  <c:v>7.9747659040256167E-4</c:v>
                </c:pt>
                <c:pt idx="612">
                  <c:v>7.9785096686051549E-4</c:v>
                </c:pt>
                <c:pt idx="613">
                  <c:v>7.9822384404493554E-4</c:v>
                </c:pt>
                <c:pt idx="614">
                  <c:v>7.9859522786876209E-4</c:v>
                </c:pt>
                <c:pt idx="615">
                  <c:v>7.9896512421388202E-4</c:v>
                </c:pt>
                <c:pt idx="616">
                  <c:v>7.9933353893133353E-4</c:v>
                </c:pt>
                <c:pt idx="617">
                  <c:v>7.9970047784150874E-4</c:v>
                </c:pt>
                <c:pt idx="618">
                  <c:v>8.0006594673435268E-4</c:v>
                </c:pt>
                <c:pt idx="619">
                  <c:v>8.0042995136956328E-4</c:v>
                </c:pt>
                <c:pt idx="620">
                  <c:v>8.0079249747678767E-4</c:v>
                </c:pt>
                <c:pt idx="621">
                  <c:v>8.011535907558187E-4</c:v>
                </c:pt>
                <c:pt idx="622">
                  <c:v>8.0151323687678924E-4</c:v>
                </c:pt>
                <c:pt idx="623">
                  <c:v>8.0187144148036345E-4</c:v>
                </c:pt>
                <c:pt idx="624">
                  <c:v>8.0222821017793017E-4</c:v>
                </c:pt>
                <c:pt idx="625">
                  <c:v>8.0258354855179041E-4</c:v>
                </c:pt>
                <c:pt idx="626">
                  <c:v>8.0293746215534718E-4</c:v>
                </c:pt>
                <c:pt idx="627">
                  <c:v>8.032899565132911E-4</c:v>
                </c:pt>
                <c:pt idx="628">
                  <c:v>8.0364103712178699E-4</c:v>
                </c:pt>
                <c:pt idx="629">
                  <c:v>8.039907094486567E-4</c:v>
                </c:pt>
                <c:pt idx="630">
                  <c:v>8.0433897893356153E-4</c:v>
                </c:pt>
                <c:pt idx="631">
                  <c:v>8.0468585098818397E-4</c:v>
                </c:pt>
                <c:pt idx="632">
                  <c:v>8.0503133099640736E-4</c:v>
                </c:pt>
                <c:pt idx="633">
                  <c:v>8.0537542431449336E-4</c:v>
                </c:pt>
                <c:pt idx="634">
                  <c:v>8.0571813627125944E-4</c:v>
                </c:pt>
                <c:pt idx="635">
                  <c:v>8.060594721682545E-4</c:v>
                </c:pt>
                <c:pt idx="636">
                  <c:v>8.063994372799326E-4</c:v>
                </c:pt>
                <c:pt idx="637">
                  <c:v>8.067380368538264E-4</c:v>
                </c:pt>
                <c:pt idx="638">
                  <c:v>8.0707527611071858E-4</c:v>
                </c:pt>
                <c:pt idx="639">
                  <c:v>8.0741116024481163E-4</c:v>
                </c:pt>
                <c:pt idx="640">
                  <c:v>8.077456944238972E-4</c:v>
                </c:pt>
                <c:pt idx="641">
                  <c:v>8.080788837895235E-4</c:v>
                </c:pt>
                <c:pt idx="642">
                  <c:v>8.0841073345716194E-4</c:v>
                </c:pt>
                <c:pt idx="643">
                  <c:v>8.0874124851637239E-4</c:v>
                </c:pt>
                <c:pt idx="644">
                  <c:v>8.0907043403096628E-4</c:v>
                </c:pt>
                <c:pt idx="645">
                  <c:v>8.0939829503916998E-4</c:v>
                </c:pt>
                <c:pt idx="646">
                  <c:v>8.0972483655378604E-4</c:v>
                </c:pt>
                <c:pt idx="647">
                  <c:v>8.1005006356235296E-4</c:v>
                </c:pt>
                <c:pt idx="648">
                  <c:v>8.1037398102730472E-4</c:v>
                </c:pt>
                <c:pt idx="649">
                  <c:v>8.1069659388612752E-4</c:v>
                </c:pt>
                <c:pt idx="650">
                  <c:v>8.1101790705151824E-4</c:v>
                </c:pt>
                <c:pt idx="651">
                  <c:v>8.1133792541153752E-4</c:v>
                </c:pt>
                <c:pt idx="652">
                  <c:v>8.1165665382976605E-4</c:v>
                </c:pt>
                <c:pt idx="653">
                  <c:v>8.119740971454561E-4</c:v>
                </c:pt>
                <c:pt idx="654">
                  <c:v>8.1229026017368394E-4</c:v>
                </c:pt>
                <c:pt idx="655">
                  <c:v>8.1260514770550147E-4</c:v>
                </c:pt>
                <c:pt idx="656">
                  <c:v>8.1291876450808437E-4</c:v>
                </c:pt>
                <c:pt idx="657">
                  <c:v>8.13231115324882E-4</c:v>
                </c:pt>
                <c:pt idx="658">
                  <c:v>8.1354220487576392E-4</c:v>
                </c:pt>
                <c:pt idx="659">
                  <c:v>8.138520378571664E-4</c:v>
                </c:pt>
                <c:pt idx="660">
                  <c:v>8.1416061894223836E-4</c:v>
                </c:pt>
                <c:pt idx="661">
                  <c:v>8.1446795278098446E-4</c:v>
                </c:pt>
                <c:pt idx="662">
                  <c:v>8.1477404400040899E-4</c:v>
                </c:pt>
                <c:pt idx="663">
                  <c:v>8.1507889720465736E-4</c:v>
                </c:pt>
                <c:pt idx="664">
                  <c:v>8.153825169751578E-4</c:v>
                </c:pt>
                <c:pt idx="665">
                  <c:v>8.1568490787076067E-4</c:v>
                </c:pt>
                <c:pt idx="666">
                  <c:v>8.159860744278777E-4</c:v>
                </c:pt>
                <c:pt idx="667">
                  <c:v>8.1628602116061921E-4</c:v>
                </c:pt>
                <c:pt idx="668">
                  <c:v>8.1658475256093195E-4</c:v>
                </c:pt>
                <c:pt idx="669">
                  <c:v>8.1688227309873482E-4</c:v>
                </c:pt>
                <c:pt idx="670">
                  <c:v>8.1717858722205299E-4</c:v>
                </c:pt>
                <c:pt idx="671">
                  <c:v>8.1747369935715214E-4</c:v>
                </c:pt>
                <c:pt idx="672">
                  <c:v>8.177676139086719E-4</c:v>
                </c:pt>
                <c:pt idx="673">
                  <c:v>8.1806033525975671E-4</c:v>
                </c:pt>
                <c:pt idx="674">
                  <c:v>8.1835186777218813E-4</c:v>
                </c:pt>
                <c:pt idx="675">
                  <c:v>8.1864221578651351E-4</c:v>
                </c:pt>
                <c:pt idx="676">
                  <c:v>8.1893138362217587E-4</c:v>
                </c:pt>
                <c:pt idx="677">
                  <c:v>8.1921937557764152E-4</c:v>
                </c:pt>
                <c:pt idx="678">
                  <c:v>8.1950619593052789E-4</c:v>
                </c:pt>
                <c:pt idx="679">
                  <c:v>8.1979184893772909E-4</c:v>
                </c:pt>
                <c:pt idx="680">
                  <c:v>8.2007633883554175E-4</c:v>
                </c:pt>
                <c:pt idx="681">
                  <c:v>8.2035966983978878E-4</c:v>
                </c:pt>
                <c:pt idx="682">
                  <c:v>8.206418461459441E-4</c:v>
                </c:pt>
                <c:pt idx="683">
                  <c:v>8.209228719292537E-4</c:v>
                </c:pt>
                <c:pt idx="684">
                  <c:v>8.2120275134485909E-4</c:v>
                </c:pt>
                <c:pt idx="685">
                  <c:v>8.2148148852791668E-4</c:v>
                </c:pt>
                <c:pt idx="686">
                  <c:v>8.2175908759371866E-4</c:v>
                </c:pt>
                <c:pt idx="687">
                  <c:v>8.2203555263781196E-4</c:v>
                </c:pt>
                <c:pt idx="688">
                  <c:v>8.223108877361162E-4</c:v>
                </c:pt>
                <c:pt idx="689">
                  <c:v>8.2258509694504165E-4</c:v>
                </c:pt>
                <c:pt idx="690">
                  <c:v>8.2285818430160554E-4</c:v>
                </c:pt>
                <c:pt idx="691">
                  <c:v>8.2313015382354769E-4</c:v>
                </c:pt>
                <c:pt idx="692">
                  <c:v>8.2340100950944561E-4</c:v>
                </c:pt>
                <c:pt idx="693">
                  <c:v>8.2367075533882868E-4</c:v>
                </c:pt>
                <c:pt idx="694">
                  <c:v>8.2393939527229134E-4</c:v>
                </c:pt>
                <c:pt idx="695">
                  <c:v>8.2420693325160541E-4</c:v>
                </c:pt>
                <c:pt idx="696">
                  <c:v>8.2447337319983176E-4</c:v>
                </c:pt>
                <c:pt idx="697">
                  <c:v>8.2473871902143223E-4</c:v>
                </c:pt>
                <c:pt idx="698">
                  <c:v>8.2500297460237799E-4</c:v>
                </c:pt>
                <c:pt idx="699">
                  <c:v>8.2526614381026021E-4</c:v>
                </c:pt>
                <c:pt idx="700">
                  <c:v>8.2552823049439762E-4</c:v>
                </c:pt>
                <c:pt idx="701">
                  <c:v>8.2578923848594546E-4</c:v>
                </c:pt>
                <c:pt idx="702">
                  <c:v>8.2604917159800147E-4</c:v>
                </c:pt>
                <c:pt idx="703">
                  <c:v>8.2630803362571245E-4</c:v>
                </c:pt>
                <c:pt idx="704">
                  <c:v>8.2656582834638045E-4</c:v>
                </c:pt>
                <c:pt idx="705">
                  <c:v>8.2682255951956594E-4</c:v>
                </c:pt>
                <c:pt idx="706">
                  <c:v>8.2707823088719334E-4</c:v>
                </c:pt>
                <c:pt idx="707">
                  <c:v>8.2733284617365422E-4</c:v>
                </c:pt>
                <c:pt idx="708">
                  <c:v>8.2758640908590897E-4</c:v>
                </c:pt>
                <c:pt idx="709">
                  <c:v>8.278389233135889E-4</c:v>
                </c:pt>
                <c:pt idx="710">
                  <c:v>8.2809039252909806E-4</c:v>
                </c:pt>
                <c:pt idx="711">
                  <c:v>8.2834082038771317E-4</c:v>
                </c:pt>
                <c:pt idx="712">
                  <c:v>8.2859021052768343E-4</c:v>
                </c:pt>
                <c:pt idx="713">
                  <c:v>8.2883856657032932E-4</c:v>
                </c:pt>
                <c:pt idx="714">
                  <c:v>8.2908589212014124E-4</c:v>
                </c:pt>
                <c:pt idx="715">
                  <c:v>8.2933219076487732E-4</c:v>
                </c:pt>
                <c:pt idx="716">
                  <c:v>8.295774660756598E-4</c:v>
                </c:pt>
                <c:pt idx="717">
                  <c:v>8.2982172160707228E-4</c:v>
                </c:pt>
                <c:pt idx="718">
                  <c:v>8.3006496089725395E-4</c:v>
                </c:pt>
                <c:pt idx="719">
                  <c:v>8.3030718746799639E-4</c:v>
                </c:pt>
                <c:pt idx="720">
                  <c:v>8.3054840482483583E-4</c:v>
                </c:pt>
                <c:pt idx="721">
                  <c:v>8.3078861645714873E-4</c:v>
                </c:pt>
                <c:pt idx="722">
                  <c:v>8.3102782583824395E-4</c:v>
                </c:pt>
                <c:pt idx="723">
                  <c:v>8.3126603642545433E-4</c:v>
                </c:pt>
                <c:pt idx="724">
                  <c:v>8.315032516602298E-4</c:v>
                </c:pt>
                <c:pt idx="725">
                  <c:v>8.3173947496822834E-4</c:v>
                </c:pt>
                <c:pt idx="726">
                  <c:v>8.3197470975940519E-4</c:v>
                </c:pt>
                <c:pt idx="727">
                  <c:v>8.322089594281041E-4</c:v>
                </c:pt>
                <c:pt idx="728">
                  <c:v>8.3244222735314583E-4</c:v>
                </c:pt>
                <c:pt idx="729">
                  <c:v>8.3267451689791698E-4</c:v>
                </c:pt>
                <c:pt idx="730">
                  <c:v>8.3290583141045849E-4</c:v>
                </c:pt>
                <c:pt idx="731">
                  <c:v>8.3313617422355176E-4</c:v>
                </c:pt>
                <c:pt idx="732">
                  <c:v>8.33365548654807E-4</c:v>
                </c:pt>
                <c:pt idx="733">
                  <c:v>8.3359395800674879E-4</c:v>
                </c:pt>
                <c:pt idx="734">
                  <c:v>8.3382140556690113E-4</c:v>
                </c:pt>
                <c:pt idx="735">
                  <c:v>8.3404789460787365E-4</c:v>
                </c:pt>
                <c:pt idx="736">
                  <c:v>8.3427342838744559E-4</c:v>
                </c:pt>
                <c:pt idx="737">
                  <c:v>8.344980101486491E-4</c:v>
                </c:pt>
                <c:pt idx="738">
                  <c:v>8.3472164311985389E-4</c:v>
                </c:pt>
                <c:pt idx="739">
                  <c:v>8.349443305148489E-4</c:v>
                </c:pt>
                <c:pt idx="740">
                  <c:v>8.3516607553292467E-4</c:v>
                </c:pt>
                <c:pt idx="741">
                  <c:v>8.3538688135895557E-4</c:v>
                </c:pt>
                <c:pt idx="742">
                  <c:v>8.3560675116348061E-4</c:v>
                </c:pt>
                <c:pt idx="743">
                  <c:v>8.3582568810278363E-4</c:v>
                </c:pt>
                <c:pt idx="744">
                  <c:v>8.3604369531897424E-4</c:v>
                </c:pt>
                <c:pt idx="745">
                  <c:v>8.3626077594006602E-4</c:v>
                </c:pt>
                <c:pt idx="746">
                  <c:v>8.3647693308005653E-4</c:v>
                </c:pt>
                <c:pt idx="747">
                  <c:v>8.366921698390057E-4</c:v>
                </c:pt>
                <c:pt idx="748">
                  <c:v>8.3690648930311257E-4</c:v>
                </c:pt>
                <c:pt idx="749">
                  <c:v>8.3711989454479446E-4</c:v>
                </c:pt>
                <c:pt idx="750">
                  <c:v>8.3733238862276199E-4</c:v>
                </c:pt>
                <c:pt idx="751">
                  <c:v>8.3754397458209694E-4</c:v>
                </c:pt>
                <c:pt idx="752">
                  <c:v>8.3775465545432711E-4</c:v>
                </c:pt>
                <c:pt idx="753">
                  <c:v>8.3796443425750188E-4</c:v>
                </c:pt>
                <c:pt idx="754">
                  <c:v>8.3817331399626746E-4</c:v>
                </c:pt>
                <c:pt idx="755">
                  <c:v>8.3838129766194047E-4</c:v>
                </c:pt>
                <c:pt idx="756">
                  <c:v>8.3858838823258283E-4</c:v>
                </c:pt>
                <c:pt idx="757">
                  <c:v>8.3879458867307309E-4</c:v>
                </c:pt>
                <c:pt idx="758">
                  <c:v>8.3899990193518257E-4</c:v>
                </c:pt>
                <c:pt idx="759">
                  <c:v>8.3920433095764418E-4</c:v>
                </c:pt>
                <c:pt idx="760">
                  <c:v>8.3940787866622661E-4</c:v>
                </c:pt>
                <c:pt idx="761">
                  <c:v>8.3961054797380529E-4</c:v>
                </c:pt>
                <c:pt idx="762">
                  <c:v>8.398123417804323E-4</c:v>
                </c:pt>
                <c:pt idx="763">
                  <c:v>8.400132629734087E-4</c:v>
                </c:pt>
                <c:pt idx="764">
                  <c:v>8.4021331442735267E-4</c:v>
                </c:pt>
                <c:pt idx="765">
                  <c:v>8.4041249900427054E-4</c:v>
                </c:pt>
                <c:pt idx="766">
                  <c:v>8.4061081955362472E-4</c:v>
                </c:pt>
                <c:pt idx="767">
                  <c:v>8.4080827891240344E-4</c:v>
                </c:pt>
                <c:pt idx="768">
                  <c:v>8.4100487990518779E-4</c:v>
                </c:pt>
                <c:pt idx="769">
                  <c:v>8.4120062534422048E-4</c:v>
                </c:pt>
                <c:pt idx="770">
                  <c:v>8.4139551802947239E-4</c:v>
                </c:pt>
                <c:pt idx="771">
                  <c:v>8.4158956074870995E-4</c:v>
                </c:pt>
                <c:pt idx="772">
                  <c:v>8.4178275627756164E-4</c:v>
                </c:pt>
                <c:pt idx="773">
                  <c:v>8.4197510737958332E-4</c:v>
                </c:pt>
                <c:pt idx="774">
                  <c:v>8.4216661680632432E-4</c:v>
                </c:pt>
                <c:pt idx="775">
                  <c:v>8.4235728729739221E-4</c:v>
                </c:pt>
                <c:pt idx="776">
                  <c:v>8.4254712158051825E-4</c:v>
                </c:pt>
                <c:pt idx="777">
                  <c:v>8.4273612237162061E-4</c:v>
                </c:pt>
                <c:pt idx="778">
                  <c:v>8.4292429237486921E-4</c:v>
                </c:pt>
                <c:pt idx="779">
                  <c:v>8.4311163428274884E-4</c:v>
                </c:pt>
                <c:pt idx="780">
                  <c:v>8.4329815077612187E-4</c:v>
                </c:pt>
                <c:pt idx="781">
                  <c:v>8.4348384452429112E-4</c:v>
                </c:pt>
                <c:pt idx="782">
                  <c:v>8.4366871818506242E-4</c:v>
                </c:pt>
                <c:pt idx="783">
                  <c:v>8.438527744048062E-4</c:v>
                </c:pt>
                <c:pt idx="784">
                  <c:v>8.440360158185182E-4</c:v>
                </c:pt>
                <c:pt idx="785">
                  <c:v>8.4421844504988246E-4</c:v>
                </c:pt>
                <c:pt idx="786">
                  <c:v>8.4440006471132964E-4</c:v>
                </c:pt>
                <c:pt idx="787">
                  <c:v>8.4458087740409875E-4</c:v>
                </c:pt>
                <c:pt idx="788">
                  <c:v>8.4476088571829673E-4</c:v>
                </c:pt>
                <c:pt idx="789">
                  <c:v>8.4494009223295724E-4</c:v>
                </c:pt>
                <c:pt idx="790">
                  <c:v>8.451184995161015E-4</c:v>
                </c:pt>
                <c:pt idx="791">
                  <c:v>8.4529611012479496E-4</c:v>
                </c:pt>
                <c:pt idx="792">
                  <c:v>8.4547292660520662E-4</c:v>
                </c:pt>
                <c:pt idx="793">
                  <c:v>8.4564895149266716E-4</c:v>
                </c:pt>
                <c:pt idx="794">
                  <c:v>8.4582418731172658E-4</c:v>
                </c:pt>
                <c:pt idx="795">
                  <c:v>8.4599863657621084E-4</c:v>
                </c:pt>
                <c:pt idx="796">
                  <c:v>8.4617230178927929E-4</c:v>
                </c:pt>
                <c:pt idx="797">
                  <c:v>8.4634518544348108E-4</c:v>
                </c:pt>
                <c:pt idx="798">
                  <c:v>8.4651729002081073E-4</c:v>
                </c:pt>
                <c:pt idx="799">
                  <c:v>8.4668861799276531E-4</c:v>
                </c:pt>
                <c:pt idx="800">
                  <c:v>8.4685917182039845E-4</c:v>
                </c:pt>
                <c:pt idx="801">
                  <c:v>8.4702895395437621E-4</c:v>
                </c:pt>
                <c:pt idx="802">
                  <c:v>8.4719796683503158E-4</c:v>
                </c:pt>
                <c:pt idx="803">
                  <c:v>8.4736621289241865E-4</c:v>
                </c:pt>
                <c:pt idx="804">
                  <c:v>8.4753369454636739E-4</c:v>
                </c:pt>
                <c:pt idx="805">
                  <c:v>8.4770041420653718E-4</c:v>
                </c:pt>
                <c:pt idx="806">
                  <c:v>8.4786637427246921E-4</c:v>
                </c:pt>
                <c:pt idx="807">
                  <c:v>8.4803157713364053E-4</c:v>
                </c:pt>
                <c:pt idx="808">
                  <c:v>8.481960251695166E-4</c:v>
                </c:pt>
                <c:pt idx="809">
                  <c:v>8.483597207496038E-4</c:v>
                </c:pt>
                <c:pt idx="810">
                  <c:v>8.4852266623350087E-4</c:v>
                </c:pt>
                <c:pt idx="811">
                  <c:v>8.4868486397095071E-4</c:v>
                </c:pt>
                <c:pt idx="812">
                  <c:v>8.488463163018932E-4</c:v>
                </c:pt>
                <c:pt idx="813">
                  <c:v>8.4900702555651419E-4</c:v>
                </c:pt>
                <c:pt idx="814">
                  <c:v>8.4916699405529722E-4</c:v>
                </c:pt>
                <c:pt idx="815">
                  <c:v>8.4932622410907469E-4</c:v>
                </c:pt>
                <c:pt idx="816">
                  <c:v>8.4948471801907656E-4</c:v>
                </c:pt>
                <c:pt idx="817">
                  <c:v>8.4964247807698128E-4</c:v>
                </c:pt>
                <c:pt idx="818">
                  <c:v>8.4979950656496471E-4</c:v>
                </c:pt>
                <c:pt idx="819">
                  <c:v>8.4995580575574978E-4</c:v>
                </c:pt>
                <c:pt idx="820">
                  <c:v>8.5011137791265502E-4</c:v>
                </c:pt>
                <c:pt idx="821">
                  <c:v>8.5026622528964308E-4</c:v>
                </c:pt>
                <c:pt idx="822">
                  <c:v>8.5042035013136949E-4</c:v>
                </c:pt>
                <c:pt idx="823">
                  <c:v>8.5057375467322992E-4</c:v>
                </c:pt>
                <c:pt idx="824">
                  <c:v>8.5072644114140867E-4</c:v>
                </c:pt>
                <c:pt idx="825">
                  <c:v>8.5087841175292549E-4</c:v>
                </c:pt>
                <c:pt idx="826">
                  <c:v>8.5102966871568341E-4</c:v>
                </c:pt>
                <c:pt idx="827">
                  <c:v>8.5118021422851437E-4</c:v>
                </c:pt>
                <c:pt idx="828">
                  <c:v>8.5133005048122691E-4</c:v>
                </c:pt>
                <c:pt idx="829">
                  <c:v>8.5147917965465209E-4</c:v>
                </c:pt>
                <c:pt idx="830">
                  <c:v>8.5162760392068872E-4</c:v>
                </c:pt>
                <c:pt idx="831">
                  <c:v>8.5177532544234997E-4</c:v>
                </c:pt>
                <c:pt idx="832">
                  <c:v>8.519223463738084E-4</c:v>
                </c:pt>
                <c:pt idx="833">
                  <c:v>8.5206866886044098E-4</c:v>
                </c:pt>
                <c:pt idx="834">
                  <c:v>8.5221429503887453E-4</c:v>
                </c:pt>
                <c:pt idx="835">
                  <c:v>8.5235922703702928E-4</c:v>
                </c:pt>
                <c:pt idx="836">
                  <c:v>8.525034669741641E-4</c:v>
                </c:pt>
                <c:pt idx="837">
                  <c:v>8.5264701696091954E-4</c:v>
                </c:pt>
                <c:pt idx="838">
                  <c:v>8.5278987909936281E-4</c:v>
                </c:pt>
                <c:pt idx="839">
                  <c:v>8.5293205548303054E-4</c:v>
                </c:pt>
                <c:pt idx="840">
                  <c:v>8.5307354819697163E-4</c:v>
                </c:pt>
                <c:pt idx="841">
                  <c:v>8.5321435931779138E-4</c:v>
                </c:pt>
                <c:pt idx="842">
                  <c:v>8.5335449091369301E-4</c:v>
                </c:pt>
                <c:pt idx="843">
                  <c:v>8.5349394504452103E-4</c:v>
                </c:pt>
                <c:pt idx="844">
                  <c:v>8.5363272376180245E-4</c:v>
                </c:pt>
                <c:pt idx="845">
                  <c:v>8.5377082910878977E-4</c:v>
                </c:pt>
                <c:pt idx="846">
                  <c:v>8.5390826312050207E-4</c:v>
                </c:pt>
                <c:pt idx="847">
                  <c:v>8.5404502782376651E-4</c:v>
                </c:pt>
                <c:pt idx="848">
                  <c:v>8.5418112523725923E-4</c:v>
                </c:pt>
                <c:pt idx="849">
                  <c:v>8.5431655737154696E-4</c:v>
                </c:pt>
                <c:pt idx="850">
                  <c:v>8.5445132622912726E-4</c:v>
                </c:pt>
                <c:pt idx="851">
                  <c:v>8.5458543380446885E-4</c:v>
                </c:pt>
                <c:pt idx="852">
                  <c:v>8.5471888208405226E-4</c:v>
                </c:pt>
                <c:pt idx="853">
                  <c:v>8.5485167304640941E-4</c:v>
                </c:pt>
                <c:pt idx="854">
                  <c:v>8.5498380866216308E-4</c:v>
                </c:pt>
                <c:pt idx="855">
                  <c:v>8.5511529089406701E-4</c:v>
                </c:pt>
                <c:pt idx="856">
                  <c:v>8.5524612169704517E-4</c:v>
                </c:pt>
                <c:pt idx="857">
                  <c:v>8.5537630301823033E-4</c:v>
                </c:pt>
                <c:pt idx="858">
                  <c:v>8.5550583679700203E-4</c:v>
                </c:pt>
                <c:pt idx="859">
                  <c:v>8.5563472496502755E-4</c:v>
                </c:pt>
                <c:pt idx="860">
                  <c:v>8.557629694462978E-4</c:v>
                </c:pt>
                <c:pt idx="861">
                  <c:v>8.5589057215716647E-4</c:v>
                </c:pt>
                <c:pt idx="862">
                  <c:v>8.5601753500638797E-4</c:v>
                </c:pt>
                <c:pt idx="863">
                  <c:v>8.561438598951544E-4</c:v>
                </c:pt>
                <c:pt idx="864">
                  <c:v>8.5626954871713401E-4</c:v>
                </c:pt>
                <c:pt idx="865">
                  <c:v>8.5639460335850748E-4</c:v>
                </c:pt>
                <c:pt idx="866">
                  <c:v>8.5651902569800517E-4</c:v>
                </c:pt>
                <c:pt idx="867">
                  <c:v>8.5664281760694397E-4</c:v>
                </c:pt>
                <c:pt idx="868">
                  <c:v>8.5676598094926355E-4</c:v>
                </c:pt>
                <c:pt idx="869">
                  <c:v>8.5688851758156321E-4</c:v>
                </c:pt>
                <c:pt idx="870">
                  <c:v>8.5701042935313731E-4</c:v>
                </c:pt>
                <c:pt idx="871">
                  <c:v>8.5713171810601185E-4</c:v>
                </c:pt>
                <c:pt idx="872">
                  <c:v>8.5725238567497955E-4</c:v>
                </c:pt>
                <c:pt idx="873">
                  <c:v>8.5737243388763569E-4</c:v>
                </c:pt>
                <c:pt idx="874">
                  <c:v>8.5749186456441316E-4</c:v>
                </c:pt>
                <c:pt idx="875">
                  <c:v>8.5761067951861778E-4</c:v>
                </c:pt>
                <c:pt idx="876">
                  <c:v>8.5772888055646258E-4</c:v>
                </c:pt>
                <c:pt idx="877">
                  <c:v>8.5784646947710303E-4</c:v>
                </c:pt>
                <c:pt idx="878">
                  <c:v>8.5796344807267152E-4</c:v>
                </c:pt>
                <c:pt idx="879">
                  <c:v>8.5807981812831096E-4</c:v>
                </c:pt>
                <c:pt idx="880">
                  <c:v>8.581955814222096E-4</c:v>
                </c:pt>
                <c:pt idx="881">
                  <c:v>8.5831073972563409E-4</c:v>
                </c:pt>
                <c:pt idx="882">
                  <c:v>8.5842529480296352E-4</c:v>
                </c:pt>
                <c:pt idx="883">
                  <c:v>8.5853924841172312E-4</c:v>
                </c:pt>
                <c:pt idx="884">
                  <c:v>8.586526023026174E-4</c:v>
                </c:pt>
                <c:pt idx="885">
                  <c:v>8.5876535821956257E-4</c:v>
                </c:pt>
                <c:pt idx="886">
                  <c:v>8.5887751789972004E-4</c:v>
                </c:pt>
                <c:pt idx="887">
                  <c:v>8.5898908307352896E-4</c:v>
                </c:pt>
                <c:pt idx="888">
                  <c:v>8.5910005546473893E-4</c:v>
                </c:pt>
                <c:pt idx="889">
                  <c:v>8.5921043679044171E-4</c:v>
                </c:pt>
                <c:pt idx="890">
                  <c:v>8.5932022876110392E-4</c:v>
                </c:pt>
                <c:pt idx="891">
                  <c:v>8.594294330805985E-4</c:v>
                </c:pt>
                <c:pt idx="892">
                  <c:v>8.59538051446237E-4</c:v>
                </c:pt>
                <c:pt idx="893">
                  <c:v>8.5964608554880018E-4</c:v>
                </c:pt>
                <c:pt idx="894">
                  <c:v>8.5975353707257087E-4</c:v>
                </c:pt>
                <c:pt idx="895">
                  <c:v>8.5986040769536352E-4</c:v>
                </c:pt>
                <c:pt idx="896">
                  <c:v>8.5996669908855645E-4</c:v>
                </c:pt>
                <c:pt idx="897">
                  <c:v>8.6007241291712196E-4</c:v>
                </c:pt>
                <c:pt idx="898">
                  <c:v>8.6017755083965769E-4</c:v>
                </c:pt>
                <c:pt idx="899">
                  <c:v>8.6028211450841629E-4</c:v>
                </c:pt>
                <c:pt idx="900">
                  <c:v>8.6038610556933603E-4</c:v>
                </c:pt>
                <c:pt idx="901">
                  <c:v>8.6048952566207125E-4</c:v>
                </c:pt>
                <c:pt idx="902">
                  <c:v>8.6059237642002241E-4</c:v>
                </c:pt>
                <c:pt idx="903">
                  <c:v>8.6069465947036477E-4</c:v>
                </c:pt>
                <c:pt idx="904">
                  <c:v>8.6079637643407937E-4</c:v>
                </c:pt>
                <c:pt idx="905">
                  <c:v>8.6089752892598191E-4</c:v>
                </c:pt>
                <c:pt idx="906">
                  <c:v>8.6099811855475171E-4</c:v>
                </c:pt>
                <c:pt idx="907">
                  <c:v>8.6109814692296146E-4</c:v>
                </c:pt>
                <c:pt idx="908">
                  <c:v>8.6119761562710568E-4</c:v>
                </c:pt>
                <c:pt idx="909">
                  <c:v>8.6129652625762992E-4</c:v>
                </c:pt>
                <c:pt idx="910">
                  <c:v>8.6139488039895873E-4</c:v>
                </c:pt>
                <c:pt idx="911">
                  <c:v>8.6149267962952524E-4</c:v>
                </c:pt>
                <c:pt idx="912">
                  <c:v>8.6158992552179804E-4</c:v>
                </c:pt>
                <c:pt idx="913">
                  <c:v>8.6168661964231062E-4</c:v>
                </c:pt>
                <c:pt idx="914">
                  <c:v>8.6178276355168841E-4</c:v>
                </c:pt>
                <c:pt idx="915">
                  <c:v>8.61878358804677E-4</c:v>
                </c:pt>
                <c:pt idx="916">
                  <c:v>8.6197340695017021E-4</c:v>
                </c:pt>
                <c:pt idx="917">
                  <c:v>8.6206790953123646E-4</c:v>
                </c:pt>
                <c:pt idx="918">
                  <c:v>8.6216186808514756E-4</c:v>
                </c:pt>
                <c:pt idx="919">
                  <c:v>8.6225528414340437E-4</c:v>
                </c:pt>
                <c:pt idx="920">
                  <c:v>8.6234815923176545E-4</c:v>
                </c:pt>
                <c:pt idx="921">
                  <c:v>8.6244049487027303E-4</c:v>
                </c:pt>
                <c:pt idx="922">
                  <c:v>8.6253229257327946E-4</c:v>
                </c:pt>
                <c:pt idx="923">
                  <c:v>8.6262355384947461E-4</c:v>
                </c:pt>
                <c:pt idx="924">
                  <c:v>8.6271428020191136E-4</c:v>
                </c:pt>
                <c:pt idx="925">
                  <c:v>8.6280447312803371E-4</c:v>
                </c:pt>
                <c:pt idx="926">
                  <c:v>8.6289413411970027E-4</c:v>
                </c:pt>
                <c:pt idx="927">
                  <c:v>8.6298326466321257E-4</c:v>
                </c:pt>
                <c:pt idx="928">
                  <c:v>8.6307186623933978E-4</c:v>
                </c:pt>
                <c:pt idx="929">
                  <c:v>8.6315994032334464E-4</c:v>
                </c:pt>
                <c:pt idx="930">
                  <c:v>8.6324748838500955E-4</c:v>
                </c:pt>
                <c:pt idx="931">
                  <c:v>8.6333451188866026E-4</c:v>
                </c:pt>
                <c:pt idx="932">
                  <c:v>8.6342101229319431E-4</c:v>
                </c:pt>
                <c:pt idx="933">
                  <c:v>8.6350699105210258E-4</c:v>
                </c:pt>
                <c:pt idx="934">
                  <c:v>8.6359244961349676E-4</c:v>
                </c:pt>
                <c:pt idx="935">
                  <c:v>8.636773894201337E-4</c:v>
                </c:pt>
                <c:pt idx="936">
                  <c:v>8.6376181190943931E-4</c:v>
                </c:pt>
                <c:pt idx="937">
                  <c:v>8.6384571851353417E-4</c:v>
                </c:pt>
                <c:pt idx="938">
                  <c:v>8.6392911065925719E-4</c:v>
                </c:pt>
                <c:pt idx="939">
                  <c:v>8.6401198976819116E-4</c:v>
                </c:pt>
                <c:pt idx="940">
                  <c:v>8.6409435725668489E-4</c:v>
                </c:pt>
                <c:pt idx="941">
                  <c:v>8.6417621453587932E-4</c:v>
                </c:pt>
                <c:pt idx="942">
                  <c:v>8.6425756301173023E-4</c:v>
                </c:pt>
                <c:pt idx="943">
                  <c:v>8.6433840408503256E-4</c:v>
                </c:pt>
                <c:pt idx="944">
                  <c:v>8.6441873915144365E-4</c:v>
                </c:pt>
                <c:pt idx="945">
                  <c:v>8.6449856960150724E-4</c:v>
                </c:pt>
                <c:pt idx="946">
                  <c:v>8.6457789682067691E-4</c:v>
                </c:pt>
                <c:pt idx="947">
                  <c:v>8.6465672218933838E-4</c:v>
                </c:pt>
                <c:pt idx="948">
                  <c:v>8.6473504708283388E-4</c:v>
                </c:pt>
                <c:pt idx="949">
                  <c:v>8.6481287287148458E-4</c:v>
                </c:pt>
                <c:pt idx="950">
                  <c:v>8.6489020092061347E-4</c:v>
                </c:pt>
                <c:pt idx="951">
                  <c:v>8.6496703259056795E-4</c:v>
                </c:pt>
                <c:pt idx="952">
                  <c:v>8.6504336923674341E-4</c:v>
                </c:pt>
                <c:pt idx="953">
                  <c:v>8.6511921220960451E-4</c:v>
                </c:pt>
                <c:pt idx="954">
                  <c:v>8.6519456285470838E-4</c:v>
                </c:pt>
                <c:pt idx="955">
                  <c:v>8.6526942251272641E-4</c:v>
                </c:pt>
                <c:pt idx="956">
                  <c:v>8.6534379251946702E-4</c:v>
                </c:pt>
                <c:pt idx="957">
                  <c:v>8.65417674205897E-4</c:v>
                </c:pt>
                <c:pt idx="958">
                  <c:v>8.6549106889816368E-4</c:v>
                </c:pt>
                <c:pt idx="959">
                  <c:v>8.6556397791761718E-4</c:v>
                </c:pt>
                <c:pt idx="960">
                  <c:v>8.6563640258083133E-4</c:v>
                </c:pt>
                <c:pt idx="961">
                  <c:v>8.657083441996258E-4</c:v>
                </c:pt>
                <c:pt idx="962">
                  <c:v>8.657798040810872E-4</c:v>
                </c:pt>
                <c:pt idx="963">
                  <c:v>8.658507835275905E-4</c:v>
                </c:pt>
                <c:pt idx="964">
                  <c:v>8.6592128383682055E-4</c:v>
                </c:pt>
                <c:pt idx="965">
                  <c:v>8.6599130630179261E-4</c:v>
                </c:pt>
                <c:pt idx="966">
                  <c:v>8.6606085221087336E-4</c:v>
                </c:pt>
                <c:pt idx="967">
                  <c:v>8.6612992284780305E-4</c:v>
                </c:pt>
                <c:pt idx="968">
                  <c:v>8.6619851949171428E-4</c:v>
                </c:pt>
                <c:pt idx="969">
                  <c:v>8.6626664341715363E-4</c:v>
                </c:pt>
                <c:pt idx="970">
                  <c:v>8.663342958941028E-4</c:v>
                </c:pt>
                <c:pt idx="971">
                  <c:v>8.6640147818799803E-4</c:v>
                </c:pt>
                <c:pt idx="972">
                  <c:v>8.664681915597506E-4</c:v>
                </c:pt>
                <c:pt idx="973">
                  <c:v>8.6653443726576762E-4</c:v>
                </c:pt>
                <c:pt idx="974">
                  <c:v>8.6660021655797156E-4</c:v>
                </c:pt>
                <c:pt idx="975">
                  <c:v>8.6666553068382021E-4</c:v>
                </c:pt>
                <c:pt idx="976">
                  <c:v>8.6673038088632705E-4</c:v>
                </c:pt>
                <c:pt idx="977">
                  <c:v>8.6679476840408065E-4</c:v>
                </c:pt>
                <c:pt idx="978">
                  <c:v>8.6685869447126454E-4</c:v>
                </c:pt>
                <c:pt idx="979">
                  <c:v>8.6692216031767646E-4</c:v>
                </c:pt>
                <c:pt idx="980">
                  <c:v>8.6698516716874794E-4</c:v>
                </c:pt>
                <c:pt idx="981">
                  <c:v>8.6704771624556429E-4</c:v>
                </c:pt>
                <c:pt idx="982">
                  <c:v>8.6710980876488289E-4</c:v>
                </c:pt>
                <c:pt idx="983">
                  <c:v>8.671714459391526E-4</c:v>
                </c:pt>
                <c:pt idx="984">
                  <c:v>8.6723262897653362E-4</c:v>
                </c:pt>
                <c:pt idx="985">
                  <c:v>8.6729335908091484E-4</c:v>
                </c:pt>
                <c:pt idx="986">
                  <c:v>8.6735363745193506E-4</c:v>
                </c:pt>
                <c:pt idx="987">
                  <c:v>8.6741346528499894E-4</c:v>
                </c:pt>
                <c:pt idx="988">
                  <c:v>8.6747284377129751E-4</c:v>
                </c:pt>
                <c:pt idx="989">
                  <c:v>8.6753177409782691E-4</c:v>
                </c:pt>
                <c:pt idx="990">
                  <c:v>8.675902574474052E-4</c:v>
                </c:pt>
                <c:pt idx="991">
                  <c:v>8.6764829499869252E-4</c:v>
                </c:pt>
                <c:pt idx="992">
                  <c:v>8.677058879262079E-4</c:v>
                </c:pt>
                <c:pt idx="993">
                  <c:v>8.6776303740034857E-4</c:v>
                </c:pt>
                <c:pt idx="994">
                  <c:v>8.6781974458740728E-4</c:v>
                </c:pt>
                <c:pt idx="995">
                  <c:v>8.6787601064959065E-4</c:v>
                </c:pt>
                <c:pt idx="996">
                  <c:v>8.6793183674503671E-4</c:v>
                </c:pt>
                <c:pt idx="997">
                  <c:v>8.6798722402783315E-4</c:v>
                </c:pt>
                <c:pt idx="998">
                  <c:v>8.6804217364803483E-4</c:v>
                </c:pt>
                <c:pt idx="999">
                  <c:v>8.6809668675168065E-4</c:v>
                </c:pt>
                <c:pt idx="1000">
                  <c:v>8.6815076448081279E-4</c:v>
                </c:pt>
                <c:pt idx="1001">
                  <c:v>8.6820440797349204E-4</c:v>
                </c:pt>
                <c:pt idx="1002">
                  <c:v>8.6825761836381717E-4</c:v>
                </c:pt>
                <c:pt idx="1003">
                  <c:v>8.6831039678193995E-4</c:v>
                </c:pt>
                <c:pt idx="1004">
                  <c:v>8.6836274435408436E-4</c:v>
                </c:pt>
                <c:pt idx="1005">
                  <c:v>8.6841466220256283E-4</c:v>
                </c:pt>
                <c:pt idx="1006">
                  <c:v>8.6846615144579224E-4</c:v>
                </c:pt>
                <c:pt idx="1007">
                  <c:v>8.6851721319831281E-4</c:v>
                </c:pt>
                <c:pt idx="1008">
                  <c:v>8.6856784857080324E-4</c:v>
                </c:pt>
                <c:pt idx="1009">
                  <c:v>8.686180586700979E-4</c:v>
                </c:pt>
                <c:pt idx="1010">
                  <c:v>8.6866784459920389E-4</c:v>
                </c:pt>
                <c:pt idx="1011">
                  <c:v>8.687172074573167E-4</c:v>
                </c:pt>
                <c:pt idx="1012">
                  <c:v>8.6876614833983757E-4</c:v>
                </c:pt>
                <c:pt idx="1013">
                  <c:v>8.6881466833838884E-4</c:v>
                </c:pt>
                <c:pt idx="1014">
                  <c:v>8.6886276854083208E-4</c:v>
                </c:pt>
                <c:pt idx="1015">
                  <c:v>8.6891045003128142E-4</c:v>
                </c:pt>
                <c:pt idx="1016">
                  <c:v>8.6895771389012243E-4</c:v>
                </c:pt>
                <c:pt idx="1017">
                  <c:v>8.6900456119402662E-4</c:v>
                </c:pt>
                <c:pt idx="1018">
                  <c:v>8.6905099301596732E-4</c:v>
                </c:pt>
                <c:pt idx="1019">
                  <c:v>8.6909701042523684E-4</c:v>
                </c:pt>
                <c:pt idx="1020">
                  <c:v>8.6914261448746053E-4</c:v>
                </c:pt>
                <c:pt idx="1021">
                  <c:v>8.6918780626461388E-4</c:v>
                </c:pt>
                <c:pt idx="1022">
                  <c:v>8.6923258681503705E-4</c:v>
                </c:pt>
                <c:pt idx="1023">
                  <c:v>8.6927695719345166E-4</c:v>
                </c:pt>
                <c:pt idx="1024">
                  <c:v>8.6932091845097492E-4</c:v>
                </c:pt>
                <c:pt idx="1025">
                  <c:v>8.6936447163513553E-4</c:v>
                </c:pt>
                <c:pt idx="1026">
                  <c:v>8.6940761778988988E-4</c:v>
                </c:pt>
                <c:pt idx="1027">
                  <c:v>8.6945035795563531E-4</c:v>
                </c:pt>
                <c:pt idx="1028">
                  <c:v>8.6949269316922734E-4</c:v>
                </c:pt>
                <c:pt idx="1029">
                  <c:v>8.6953462446399347E-4</c:v>
                </c:pt>
                <c:pt idx="1030">
                  <c:v>8.6957615286974827E-4</c:v>
                </c:pt>
                <c:pt idx="1031">
                  <c:v>8.6961727941280891E-4</c:v>
                </c:pt>
                <c:pt idx="1032">
                  <c:v>8.6965800511600944E-4</c:v>
                </c:pt>
                <c:pt idx="1033">
                  <c:v>8.6969833099871576E-4</c:v>
                </c:pt>
                <c:pt idx="1034">
                  <c:v>8.6973825807683941E-4</c:v>
                </c:pt>
                <c:pt idx="1035">
                  <c:v>8.6977778736285478E-4</c:v>
                </c:pt>
                <c:pt idx="1036">
                  <c:v>8.698169198658104E-4</c:v>
                </c:pt>
                <c:pt idx="1037">
                  <c:v>8.6985565659134607E-4</c:v>
                </c:pt>
                <c:pt idx="1038">
                  <c:v>8.69893998541705E-4</c:v>
                </c:pt>
                <c:pt idx="1039">
                  <c:v>8.6993194671574942E-4</c:v>
                </c:pt>
                <c:pt idx="1040">
                  <c:v>8.6996950210897555E-4</c:v>
                </c:pt>
                <c:pt idx="1041">
                  <c:v>8.7000666571352596E-4</c:v>
                </c:pt>
                <c:pt idx="1042">
                  <c:v>8.7004343851820507E-4</c:v>
                </c:pt>
                <c:pt idx="1043">
                  <c:v>8.7007982150849215E-4</c:v>
                </c:pt>
                <c:pt idx="1044">
                  <c:v>8.7011581566655608E-4</c:v>
                </c:pt>
                <c:pt idx="1045">
                  <c:v>8.7015142197126891E-4</c:v>
                </c:pt>
                <c:pt idx="1046">
                  <c:v>8.7018664139822002E-4</c:v>
                </c:pt>
                <c:pt idx="1047">
                  <c:v>8.7022147491972964E-4</c:v>
                </c:pt>
                <c:pt idx="1048">
                  <c:v>8.7025592350486189E-4</c:v>
                </c:pt>
                <c:pt idx="1049">
                  <c:v>8.7028998811943914E-4</c:v>
                </c:pt>
                <c:pt idx="1050">
                  <c:v>8.7032366972605618E-4</c:v>
                </c:pt>
                <c:pt idx="1051">
                  <c:v>8.7035696928409176E-4</c:v>
                </c:pt>
                <c:pt idx="1052">
                  <c:v>8.7038988774972416E-4</c:v>
                </c:pt>
                <c:pt idx="1053">
                  <c:v>8.7042242607594301E-4</c:v>
                </c:pt>
                <c:pt idx="1054">
                  <c:v>8.7045458521256309E-4</c:v>
                </c:pt>
                <c:pt idx="1055">
                  <c:v>8.7048636610623752E-4</c:v>
                </c:pt>
                <c:pt idx="1056">
                  <c:v>8.7051776970047134E-4</c:v>
                </c:pt>
                <c:pt idx="1057">
                  <c:v>8.7054879693563409E-4</c:v>
                </c:pt>
                <c:pt idx="1058">
                  <c:v>8.7057944874897235E-4</c:v>
                </c:pt>
                <c:pt idx="1059">
                  <c:v>8.7060972607462355E-4</c:v>
                </c:pt>
                <c:pt idx="1060">
                  <c:v>8.7063962984362852E-4</c:v>
                </c:pt>
                <c:pt idx="1061">
                  <c:v>8.7066916098394484E-4</c:v>
                </c:pt>
                <c:pt idx="1062">
                  <c:v>8.7069832042045855E-4</c:v>
                </c:pt>
                <c:pt idx="1063">
                  <c:v>8.7072710907499758E-4</c:v>
                </c:pt>
                <c:pt idx="1064">
                  <c:v>8.7075552786634392E-4</c:v>
                </c:pt>
                <c:pt idx="1065">
                  <c:v>8.7078357771024659E-4</c:v>
                </c:pt>
                <c:pt idx="1066">
                  <c:v>8.7081125951943435E-4</c:v>
                </c:pt>
                <c:pt idx="1067">
                  <c:v>8.7083857420362765E-4</c:v>
                </c:pt>
                <c:pt idx="1068">
                  <c:v>8.7086552266955105E-4</c:v>
                </c:pt>
                <c:pt idx="1069">
                  <c:v>8.7089210582094549E-4</c:v>
                </c:pt>
                <c:pt idx="1070">
                  <c:v>8.709183245585809E-4</c:v>
                </c:pt>
                <c:pt idx="1071">
                  <c:v>8.7094417978026849E-4</c:v>
                </c:pt>
                <c:pt idx="1072">
                  <c:v>8.7096967238087253E-4</c:v>
                </c:pt>
                <c:pt idx="1073">
                  <c:v>8.7099480325232212E-4</c:v>
                </c:pt>
                <c:pt idx="1074">
                  <c:v>8.710195732836237E-4</c:v>
                </c:pt>
                <c:pt idx="1075">
                  <c:v>8.7104398336087358E-4</c:v>
                </c:pt>
                <c:pt idx="1076">
                  <c:v>8.7106803436726838E-4</c:v>
                </c:pt>
                <c:pt idx="1077">
                  <c:v>8.7109172718311857E-4</c:v>
                </c:pt>
                <c:pt idx="1078">
                  <c:v>8.7111506268585791E-4</c:v>
                </c:pt>
                <c:pt idx="1079">
                  <c:v>8.7113804175005841E-4</c:v>
                </c:pt>
                <c:pt idx="1080">
                  <c:v>8.7116066524743922E-4</c:v>
                </c:pt>
                <c:pt idx="1081">
                  <c:v>8.7118293404687898E-4</c:v>
                </c:pt>
                <c:pt idx="1082">
                  <c:v>8.7120484901442874E-4</c:v>
                </c:pt>
                <c:pt idx="1083">
                  <c:v>8.7122641101332126E-4</c:v>
                </c:pt>
                <c:pt idx="1084">
                  <c:v>8.7124762090398449E-4</c:v>
                </c:pt>
                <c:pt idx="1085">
                  <c:v>8.712684795440513E-4</c:v>
                </c:pt>
                <c:pt idx="1086">
                  <c:v>8.7128898778837183E-4</c:v>
                </c:pt>
                <c:pt idx="1087">
                  <c:v>8.7130914648902492E-4</c:v>
                </c:pt>
                <c:pt idx="1088">
                  <c:v>8.7132895649532835E-4</c:v>
                </c:pt>
                <c:pt idx="1089">
                  <c:v>8.7134841865385093E-4</c:v>
                </c:pt>
                <c:pt idx="1090">
                  <c:v>8.7136753380842287E-4</c:v>
                </c:pt>
                <c:pt idx="1091">
                  <c:v>8.713863028001473E-4</c:v>
                </c:pt>
                <c:pt idx="1092">
                  <c:v>8.7140472646741183E-4</c:v>
                </c:pt>
                <c:pt idx="1093">
                  <c:v>8.7142280564589814E-4</c:v>
                </c:pt>
                <c:pt idx="1094">
                  <c:v>8.7144054116859422E-4</c:v>
                </c:pt>
                <c:pt idx="1095">
                  <c:v>8.7145793386580377E-4</c:v>
                </c:pt>
                <c:pt idx="1096">
                  <c:v>8.714749845651588E-4</c:v>
                </c:pt>
                <c:pt idx="1097">
                  <c:v>8.7149169409162907E-4</c:v>
                </c:pt>
                <c:pt idx="1098">
                  <c:v>8.7150806326753293E-4</c:v>
                </c:pt>
                <c:pt idx="1099">
                  <c:v>8.7152409291254857E-4</c:v>
                </c:pt>
                <c:pt idx="1100">
                  <c:v>8.7153978384372339E-4</c:v>
                </c:pt>
                <c:pt idx="1101">
                  <c:v>8.7155513687548652E-4</c:v>
                </c:pt>
                <c:pt idx="1102">
                  <c:v>8.7157015281965743E-4</c:v>
                </c:pt>
                <c:pt idx="1103">
                  <c:v>8.7158483248545742E-4</c:v>
                </c:pt>
                <c:pt idx="1104">
                  <c:v>8.7159917667951946E-4</c:v>
                </c:pt>
                <c:pt idx="1105">
                  <c:v>8.7161318620589861E-4</c:v>
                </c:pt>
                <c:pt idx="1106">
                  <c:v>8.7162686186608254E-4</c:v>
                </c:pt>
                <c:pt idx="1107">
                  <c:v>8.7164020445900173E-4</c:v>
                </c:pt>
                <c:pt idx="1108">
                  <c:v>8.716532147810404E-4</c:v>
                </c:pt>
                <c:pt idx="1109">
                  <c:v>8.7166589362604456E-4</c:v>
                </c:pt>
                <c:pt idx="1110">
                  <c:v>8.7167824178533359E-4</c:v>
                </c:pt>
                <c:pt idx="1111">
                  <c:v>8.7169026004771106E-4</c:v>
                </c:pt>
                <c:pt idx="1112">
                  <c:v>8.7170194919947261E-4</c:v>
                </c:pt>
                <c:pt idx="1113">
                  <c:v>8.7171331002441844E-4</c:v>
                </c:pt>
                <c:pt idx="1114">
                  <c:v>8.717243433038601E-4</c:v>
                </c:pt>
                <c:pt idx="1115">
                  <c:v>8.7173504981663357E-4</c:v>
                </c:pt>
                <c:pt idx="1116">
                  <c:v>8.7174543033910641E-4</c:v>
                </c:pt>
                <c:pt idx="1117">
                  <c:v>8.7175548564518974E-4</c:v>
                </c:pt>
                <c:pt idx="1118">
                  <c:v>8.7176521650634642E-4</c:v>
                </c:pt>
                <c:pt idx="1119">
                  <c:v>8.7177462369160093E-4</c:v>
                </c:pt>
                <c:pt idx="1120">
                  <c:v>8.717837079675496E-4</c:v>
                </c:pt>
                <c:pt idx="1121">
                  <c:v>8.7179247009836955E-4</c:v>
                </c:pt>
                <c:pt idx="1122">
                  <c:v>8.7180091084582915E-4</c:v>
                </c:pt>
                <c:pt idx="1123">
                  <c:v>8.7180903096929655E-4</c:v>
                </c:pt>
                <c:pt idx="1124">
                  <c:v>8.7181683122574934E-4</c:v>
                </c:pt>
                <c:pt idx="1125">
                  <c:v>8.7182431236978357E-4</c:v>
                </c:pt>
                <c:pt idx="1126">
                  <c:v>8.7183147515362467E-4</c:v>
                </c:pt>
                <c:pt idx="1127">
                  <c:v>8.7183832032713526E-4</c:v>
                </c:pt>
                <c:pt idx="1128">
                  <c:v>8.7184484863782438E-4</c:v>
                </c:pt>
                <c:pt idx="1129">
                  <c:v>8.7185106083085791E-4</c:v>
                </c:pt>
                <c:pt idx="1130">
                  <c:v>8.7185695764906666E-4</c:v>
                </c:pt>
                <c:pt idx="1131">
                  <c:v>8.7186253983295573E-4</c:v>
                </c:pt>
                <c:pt idx="1132">
                  <c:v>8.7186780812071392E-4</c:v>
                </c:pt>
                <c:pt idx="1133">
                  <c:v>8.7187276324822264E-4</c:v>
                </c:pt>
                <c:pt idx="1134">
                  <c:v>8.7187740594906491E-4</c:v>
                </c:pt>
                <c:pt idx="1135">
                  <c:v>8.718817369545341E-4</c:v>
                </c:pt>
                <c:pt idx="1136">
                  <c:v>8.718857569936432E-4</c:v>
                </c:pt>
                <c:pt idx="1137">
                  <c:v>8.7188946679313348E-4</c:v>
                </c:pt>
                <c:pt idx="1138">
                  <c:v>8.7189286707748358E-4</c:v>
                </c:pt>
                <c:pt idx="1139">
                  <c:v>8.7189595856891784E-4</c:v>
                </c:pt>
                <c:pt idx="1140">
                  <c:v>8.718987419874157E-4</c:v>
                </c:pt>
                <c:pt idx="1141">
                  <c:v>8.7190121805071964E-4</c:v>
                </c:pt>
                <c:pt idx="1142">
                  <c:v>8.7190338747434475E-4</c:v>
                </c:pt>
                <c:pt idx="1143">
                  <c:v>8.7190525097158669E-4</c:v>
                </c:pt>
                <c:pt idx="1144">
                  <c:v>8.7190680925353071E-4</c:v>
                </c:pt>
                <c:pt idx="1145">
                  <c:v>8.7190806302905953E-4</c:v>
                </c:pt>
                <c:pt idx="1146">
                  <c:v>8.7190901300486241E-4</c:v>
                </c:pt>
                <c:pt idx="1147">
                  <c:v>8.7190965988544417E-4</c:v>
                </c:pt>
                <c:pt idx="1148">
                  <c:v>8.7191000437313233E-4</c:v>
                </c:pt>
                <c:pt idx="1149">
                  <c:v>8.7191004716808687E-4</c:v>
                </c:pt>
                <c:pt idx="1150">
                  <c:v>8.7190978896830717E-4</c:v>
                </c:pt>
                <c:pt idx="1151">
                  <c:v>8.7190923046964123E-4</c:v>
                </c:pt>
                <c:pt idx="1152">
                  <c:v>8.7190837236579392E-4</c:v>
                </c:pt>
                <c:pt idx="1153">
                  <c:v>8.7190721534833573E-4</c:v>
                </c:pt>
                <c:pt idx="1154">
                  <c:v>8.719057601067091E-4</c:v>
                </c:pt>
                <c:pt idx="1155">
                  <c:v>8.7190400732823877E-4</c:v>
                </c:pt>
                <c:pt idx="1156">
                  <c:v>8.7190195769813858E-4</c:v>
                </c:pt>
                <c:pt idx="1157">
                  <c:v>8.7189961189952008E-4</c:v>
                </c:pt>
                <c:pt idx="1158">
                  <c:v>8.7189697061340057E-4</c:v>
                </c:pt>
                <c:pt idx="1159">
                  <c:v>8.7189403451871082E-4</c:v>
                </c:pt>
                <c:pt idx="1160">
                  <c:v>8.7189080429230339E-4</c:v>
                </c:pt>
                <c:pt idx="1161">
                  <c:v>8.7188728060896012E-4</c:v>
                </c:pt>
                <c:pt idx="1162">
                  <c:v>8.7188346414140082E-4</c:v>
                </c:pt>
                <c:pt idx="1163">
                  <c:v>8.718793555602904E-4</c:v>
                </c:pt>
                <c:pt idx="1164">
                  <c:v>8.7187495553424745E-4</c:v>
                </c:pt>
                <c:pt idx="1165">
                  <c:v>8.7187026472985106E-4</c:v>
                </c:pt>
                <c:pt idx="1166">
                  <c:v>8.7186528381164887E-4</c:v>
                </c:pt>
                <c:pt idx="1167">
                  <c:v>8.7186001344216558E-4</c:v>
                </c:pt>
                <c:pt idx="1168">
                  <c:v>8.7185445428191008E-4</c:v>
                </c:pt>
                <c:pt idx="1169">
                  <c:v>8.7184860698938328E-4</c:v>
                </c:pt>
                <c:pt idx="1170">
                  <c:v>8.7184247222108499E-4</c:v>
                </c:pt>
                <c:pt idx="1171">
                  <c:v>8.7183605063152238E-4</c:v>
                </c:pt>
                <c:pt idx="1172">
                  <c:v>8.7182934287321752E-4</c:v>
                </c:pt>
                <c:pt idx="1173">
                  <c:v>8.7182234959671428E-4</c:v>
                </c:pt>
                <c:pt idx="1174">
                  <c:v>8.7181507145058694E-4</c:v>
                </c:pt>
                <c:pt idx="1175">
                  <c:v>8.7180750908144556E-4</c:v>
                </c:pt>
                <c:pt idx="1176">
                  <c:v>8.7179966313394623E-4</c:v>
                </c:pt>
                <c:pt idx="1177">
                  <c:v>8.7179153425079575E-4</c:v>
                </c:pt>
                <c:pt idx="1178">
                  <c:v>8.7178312307276075E-4</c:v>
                </c:pt>
                <c:pt idx="1179">
                  <c:v>8.7177443023867473E-4</c:v>
                </c:pt>
                <c:pt idx="1180">
                  <c:v>8.7176545638544445E-4</c:v>
                </c:pt>
                <c:pt idx="1181">
                  <c:v>8.7175620214805839E-4</c:v>
                </c:pt>
                <c:pt idx="1182">
                  <c:v>8.7174666815959239E-4</c:v>
                </c:pt>
                <c:pt idx="1183">
                  <c:v>8.717368550512193E-4</c:v>
                </c:pt>
                <c:pt idx="1184">
                  <c:v>8.7172676345221374E-4</c:v>
                </c:pt>
                <c:pt idx="1185">
                  <c:v>8.7171639398996004E-4</c:v>
                </c:pt>
                <c:pt idx="1186">
                  <c:v>8.7170574728995991E-4</c:v>
                </c:pt>
                <c:pt idx="1187">
                  <c:v>8.7169482397583852E-4</c:v>
                </c:pt>
                <c:pt idx="1188">
                  <c:v>8.7168362466935286E-4</c:v>
                </c:pt>
                <c:pt idx="1189">
                  <c:v>8.7167214999039726E-4</c:v>
                </c:pt>
                <c:pt idx="1190">
                  <c:v>8.7166040055701108E-4</c:v>
                </c:pt>
                <c:pt idx="1191">
                  <c:v>8.7164837698538598E-4</c:v>
                </c:pt>
                <c:pt idx="1192">
                  <c:v>8.7163607988987148E-4</c:v>
                </c:pt>
                <c:pt idx="1193">
                  <c:v>8.7162350988298411E-4</c:v>
                </c:pt>
                <c:pt idx="1194">
                  <c:v>8.7161066757541182E-4</c:v>
                </c:pt>
                <c:pt idx="1195">
                  <c:v>8.7159755357602237E-4</c:v>
                </c:pt>
                <c:pt idx="1196">
                  <c:v>8.7158416849186977E-4</c:v>
                </c:pt>
                <c:pt idx="1197">
                  <c:v>8.7157051292820024E-4</c:v>
                </c:pt>
                <c:pt idx="1198">
                  <c:v>8.7155658748846023E-4</c:v>
                </c:pt>
                <c:pt idx="1199">
                  <c:v>8.7154239277430234E-4</c:v>
                </c:pt>
                <c:pt idx="1200">
                  <c:v>8.7152792938559158E-4</c:v>
                </c:pt>
                <c:pt idx="1201">
                  <c:v>8.7151319792041278E-4</c:v>
                </c:pt>
                <c:pt idx="1202">
                  <c:v>8.7149819897507801E-4</c:v>
                </c:pt>
                <c:pt idx="1203">
                  <c:v>8.7148293314413014E-4</c:v>
                </c:pt>
                <c:pt idx="1204">
                  <c:v>8.7146740102035279E-4</c:v>
                </c:pt>
                <c:pt idx="1205">
                  <c:v>8.7145160319477438E-4</c:v>
                </c:pt>
                <c:pt idx="1206">
                  <c:v>8.7143554025667647E-4</c:v>
                </c:pt>
                <c:pt idx="1207">
                  <c:v>8.7141921279359884E-4</c:v>
                </c:pt>
                <c:pt idx="1208">
                  <c:v>8.7140262139134622E-4</c:v>
                </c:pt>
                <c:pt idx="1209">
                  <c:v>8.7138576663399546E-4</c:v>
                </c:pt>
                <c:pt idx="1210">
                  <c:v>8.7136864910390092E-4</c:v>
                </c:pt>
                <c:pt idx="1211">
                  <c:v>8.7135126938170122E-4</c:v>
                </c:pt>
                <c:pt idx="1212">
                  <c:v>8.7133362804632595E-4</c:v>
                </c:pt>
                <c:pt idx="1213">
                  <c:v>8.7131572567500121E-4</c:v>
                </c:pt>
                <c:pt idx="1214">
                  <c:v>8.712975628432561E-4</c:v>
                </c:pt>
                <c:pt idx="1215">
                  <c:v>8.7127914012492922E-4</c:v>
                </c:pt>
                <c:pt idx="1216">
                  <c:v>8.7126045809217487E-4</c:v>
                </c:pt>
                <c:pt idx="1217">
                  <c:v>8.7124151731546925E-4</c:v>
                </c:pt>
                <c:pt idx="1218">
                  <c:v>8.7122231836361569E-4</c:v>
                </c:pt>
                <c:pt idx="1219">
                  <c:v>8.7120286180375223E-4</c:v>
                </c:pt>
                <c:pt idx="1220">
                  <c:v>8.7118314820135634E-4</c:v>
                </c:pt>
                <c:pt idx="1221">
                  <c:v>8.7116317812025259E-4</c:v>
                </c:pt>
                <c:pt idx="1222">
                  <c:v>8.7114295212261706E-4</c:v>
                </c:pt>
                <c:pt idx="1223">
                  <c:v>8.7112247076898402E-4</c:v>
                </c:pt>
                <c:pt idx="1224">
                  <c:v>8.7110173461825251E-4</c:v>
                </c:pt>
                <c:pt idx="1225">
                  <c:v>8.7108074422769107E-4</c:v>
                </c:pt>
                <c:pt idx="1226">
                  <c:v>8.7105950015294443E-4</c:v>
                </c:pt>
                <c:pt idx="1227">
                  <c:v>8.7103800294804001E-4</c:v>
                </c:pt>
                <c:pt idx="1228">
                  <c:v>8.7101625316539258E-4</c:v>
                </c:pt>
                <c:pt idx="1229">
                  <c:v>8.7099425135581056E-4</c:v>
                </c:pt>
                <c:pt idx="1230">
                  <c:v>8.7097199806850253E-4</c:v>
                </c:pt>
                <c:pt idx="1231">
                  <c:v>8.7094949385108176E-4</c:v>
                </c:pt>
                <c:pt idx="1232">
                  <c:v>8.7092673924957351E-4</c:v>
                </c:pt>
                <c:pt idx="1233">
                  <c:v>8.7090373480841899E-4</c:v>
                </c:pt>
                <c:pt idx="1234">
                  <c:v>8.708804810704828E-4</c:v>
                </c:pt>
                <c:pt idx="1235">
                  <c:v>8.7085697857705818E-4</c:v>
                </c:pt>
                <c:pt idx="1236">
                  <c:v>8.7083322786787171E-4</c:v>
                </c:pt>
                <c:pt idx="1237">
                  <c:v>8.7080922948109E-4</c:v>
                </c:pt>
                <c:pt idx="1238">
                  <c:v>8.7078498395332506E-4</c:v>
                </c:pt>
                <c:pt idx="1239">
                  <c:v>8.7076049181963996E-4</c:v>
                </c:pt>
                <c:pt idx="1240">
                  <c:v>8.7073575361355413E-4</c:v>
                </c:pt>
                <c:pt idx="1241">
                  <c:v>8.7071076986704903E-4</c:v>
                </c:pt>
                <c:pt idx="1242">
                  <c:v>8.7068554111057448E-4</c:v>
                </c:pt>
                <c:pt idx="1243">
                  <c:v>8.7066006787305233E-4</c:v>
                </c:pt>
                <c:pt idx="1244">
                  <c:v>8.7063435068188415E-4</c:v>
                </c:pt>
                <c:pt idx="1245">
                  <c:v>8.7060839006295517E-4</c:v>
                </c:pt>
                <c:pt idx="1246">
                  <c:v>8.7058218654063988E-4</c:v>
                </c:pt>
                <c:pt idx="1247">
                  <c:v>8.7055574063780842E-4</c:v>
                </c:pt>
                <c:pt idx="1248">
                  <c:v>8.7052905287583054E-4</c:v>
                </c:pt>
                <c:pt idx="1249">
                  <c:v>8.705021237745827E-4</c:v>
                </c:pt>
                <c:pt idx="1250">
                  <c:v>8.7047495385245187E-4</c:v>
                </c:pt>
                <c:pt idx="1251">
                  <c:v>8.704475436263411E-4</c:v>
                </c:pt>
                <c:pt idx="1252">
                  <c:v>8.7041989361167607E-4</c:v>
                </c:pt>
                <c:pt idx="1253">
                  <c:v>8.7039200432240864E-4</c:v>
                </c:pt>
                <c:pt idx="1254">
                  <c:v>8.7036387627102327E-4</c:v>
                </c:pt>
                <c:pt idx="1255">
                  <c:v>8.7033550996854251E-4</c:v>
                </c:pt>
                <c:pt idx="1256">
                  <c:v>8.7030690592453032E-4</c:v>
                </c:pt>
                <c:pt idx="1257">
                  <c:v>8.7027806464709989E-4</c:v>
                </c:pt>
                <c:pt idx="1258">
                  <c:v>8.702489866429169E-4</c:v>
                </c:pt>
                <c:pt idx="1259">
                  <c:v>8.7021967241720491E-4</c:v>
                </c:pt>
                <c:pt idx="1260">
                  <c:v>8.701901224737518E-4</c:v>
                </c:pt>
                <c:pt idx="1261">
                  <c:v>8.7016033731491247E-4</c:v>
                </c:pt>
                <c:pt idx="1262">
                  <c:v>8.7013031744161682E-4</c:v>
                </c:pt>
                <c:pt idx="1263">
                  <c:v>8.7010006335337285E-4</c:v>
                </c:pt>
                <c:pt idx="1264">
                  <c:v>8.7006957554827148E-4</c:v>
                </c:pt>
                <c:pt idx="1265">
                  <c:v>8.7003885452299344E-4</c:v>
                </c:pt>
                <c:pt idx="1266">
                  <c:v>8.7000790077281214E-4</c:v>
                </c:pt>
                <c:pt idx="1267">
                  <c:v>8.6997671479159999E-4</c:v>
                </c:pt>
                <c:pt idx="1268">
                  <c:v>8.6994529707183361E-4</c:v>
                </c:pt>
                <c:pt idx="1269">
                  <c:v>8.6991364810459662E-4</c:v>
                </c:pt>
                <c:pt idx="1270">
                  <c:v>8.6988176837958758E-4</c:v>
                </c:pt>
                <c:pt idx="1271">
                  <c:v>8.6984965838512237E-4</c:v>
                </c:pt>
                <c:pt idx="1272">
                  <c:v>8.6981731860814057E-4</c:v>
                </c:pt>
                <c:pt idx="1273">
                  <c:v>8.6978474953420962E-4</c:v>
                </c:pt>
                <c:pt idx="1274">
                  <c:v>8.6975195164752965E-4</c:v>
                </c:pt>
                <c:pt idx="1275">
                  <c:v>8.6971892543093892E-4</c:v>
                </c:pt>
                <c:pt idx="1276">
                  <c:v>8.6968567136591721E-4</c:v>
                </c:pt>
                <c:pt idx="1277">
                  <c:v>8.696521899325926E-4</c:v>
                </c:pt>
                <c:pt idx="1278">
                  <c:v>8.6961848160974477E-4</c:v>
                </c:pt>
                <c:pt idx="1279">
                  <c:v>8.6958454687480939E-4</c:v>
                </c:pt>
                <c:pt idx="1280">
                  <c:v>8.6955038620388481E-4</c:v>
                </c:pt>
                <c:pt idx="1281">
                  <c:v>8.6951600007173437E-4</c:v>
                </c:pt>
                <c:pt idx="1282">
                  <c:v>8.6948138895179294E-4</c:v>
                </c:pt>
                <c:pt idx="1283">
                  <c:v>8.6944655331616996E-4</c:v>
                </c:pt>
                <c:pt idx="1284">
                  <c:v>8.6941149363565563E-4</c:v>
                </c:pt>
                <c:pt idx="1285">
                  <c:v>8.6937621037972443E-4</c:v>
                </c:pt>
                <c:pt idx="1286">
                  <c:v>8.6934070401654072E-4</c:v>
                </c:pt>
                <c:pt idx="1287">
                  <c:v>8.6930497501296153E-4</c:v>
                </c:pt>
                <c:pt idx="1288">
                  <c:v>8.6926902383454283E-4</c:v>
                </c:pt>
                <c:pt idx="1289">
                  <c:v>8.6923285094554401E-4</c:v>
                </c:pt>
                <c:pt idx="1290">
                  <c:v>8.6919645680893088E-4</c:v>
                </c:pt>
                <c:pt idx="1291">
                  <c:v>8.691598418863821E-4</c:v>
                </c:pt>
                <c:pt idx="1292">
                  <c:v>8.6912300663829188E-4</c:v>
                </c:pt>
                <c:pt idx="1293">
                  <c:v>8.6908595152377581E-4</c:v>
                </c:pt>
                <c:pt idx="1294">
                  <c:v>8.6904867700067447E-4</c:v>
                </c:pt>
                <c:pt idx="1295">
                  <c:v>8.6901118352555829E-4</c:v>
                </c:pt>
                <c:pt idx="1296">
                  <c:v>8.6897347155373192E-4</c:v>
                </c:pt>
                <c:pt idx="1297">
                  <c:v>8.6893554153923819E-4</c:v>
                </c:pt>
                <c:pt idx="1298">
                  <c:v>8.6889739393486291E-4</c:v>
                </c:pt>
                <c:pt idx="1299">
                  <c:v>8.6885902919213909E-4</c:v>
                </c:pt>
                <c:pt idx="1300">
                  <c:v>8.6882044776135129E-4</c:v>
                </c:pt>
                <c:pt idx="1301">
                  <c:v>8.6878165009154006E-4</c:v>
                </c:pt>
                <c:pt idx="1302">
                  <c:v>8.6874263663050551E-4</c:v>
                </c:pt>
                <c:pt idx="1303">
                  <c:v>8.6870340782481306E-4</c:v>
                </c:pt>
                <c:pt idx="1304">
                  <c:v>8.6866396411979625E-4</c:v>
                </c:pt>
                <c:pt idx="1305">
                  <c:v>8.686243059595612E-4</c:v>
                </c:pt>
                <c:pt idx="1306">
                  <c:v>8.6858443378699205E-4</c:v>
                </c:pt>
                <c:pt idx="1307">
                  <c:v>8.6854434804375328E-4</c:v>
                </c:pt>
                <c:pt idx="1308">
                  <c:v>8.6850404917029585E-4</c:v>
                </c:pt>
                <c:pt idx="1309">
                  <c:v>8.6846353760585977E-4</c:v>
                </c:pt>
                <c:pt idx="1310">
                  <c:v>8.6842281378847908E-4</c:v>
                </c:pt>
                <c:pt idx="1311">
                  <c:v>8.6838187815498622E-4</c:v>
                </c:pt>
                <c:pt idx="1312">
                  <c:v>8.683407311410147E-4</c:v>
                </c:pt>
                <c:pt idx="1313">
                  <c:v>8.6829937318100563E-4</c:v>
                </c:pt>
                <c:pt idx="1314">
                  <c:v>8.6825780470820913E-4</c:v>
                </c:pt>
                <c:pt idx="1315">
                  <c:v>8.6821602615469061E-4</c:v>
                </c:pt>
                <c:pt idx="1316">
                  <c:v>8.6817403795133314E-4</c:v>
                </c:pt>
                <c:pt idx="1317">
                  <c:v>8.6813184052784314E-4</c:v>
                </c:pt>
                <c:pt idx="1318">
                  <c:v>8.6808943431275292E-4</c:v>
                </c:pt>
                <c:pt idx="1319">
                  <c:v>8.6804681973342548E-4</c:v>
                </c:pt>
                <c:pt idx="1320">
                  <c:v>8.6800399721605767E-4</c:v>
                </c:pt>
                <c:pt idx="1321">
                  <c:v>8.6796096718568612E-4</c:v>
                </c:pt>
                <c:pt idx="1322">
                  <c:v>8.6791773006618855E-4</c:v>
                </c:pt>
                <c:pt idx="1323">
                  <c:v>8.6787428628028922E-4</c:v>
                </c:pt>
                <c:pt idx="1324">
                  <c:v>8.6783063624956388E-4</c:v>
                </c:pt>
                <c:pt idx="1325">
                  <c:v>8.6778678039444053E-4</c:v>
                </c:pt>
                <c:pt idx="1326">
                  <c:v>8.6774271913420695E-4</c:v>
                </c:pt>
                <c:pt idx="1327">
                  <c:v>8.6769845288701161E-4</c:v>
                </c:pt>
                <c:pt idx="1328">
                  <c:v>8.6765398206986924E-4</c:v>
                </c:pt>
                <c:pt idx="1329">
                  <c:v>8.6760930709866473E-4</c:v>
                </c:pt>
                <c:pt idx="1330">
                  <c:v>8.6756442838815517E-4</c:v>
                </c:pt>
                <c:pt idx="1331">
                  <c:v>8.6751934635197648E-4</c:v>
                </c:pt>
                <c:pt idx="1332">
                  <c:v>8.6747406140264417E-4</c:v>
                </c:pt>
                <c:pt idx="1333">
                  <c:v>8.674285739515593E-4</c:v>
                </c:pt>
                <c:pt idx="1334">
                  <c:v>8.6738288440901194E-4</c:v>
                </c:pt>
                <c:pt idx="1335">
                  <c:v>8.6733699318418357E-4</c:v>
                </c:pt>
                <c:pt idx="1336">
                  <c:v>8.672909006851526E-4</c:v>
                </c:pt>
                <c:pt idx="1337">
                  <c:v>8.6724460731889687E-4</c:v>
                </c:pt>
                <c:pt idx="1338">
                  <c:v>8.6719811349129765E-4</c:v>
                </c:pt>
                <c:pt idx="1339">
                  <c:v>8.6715141960714377E-4</c:v>
                </c:pt>
                <c:pt idx="1340">
                  <c:v>8.6710452607013445E-4</c:v>
                </c:pt>
                <c:pt idx="1341">
                  <c:v>8.6705743328288425E-4</c:v>
                </c:pt>
                <c:pt idx="1342">
                  <c:v>8.6701014164692486E-4</c:v>
                </c:pt>
                <c:pt idx="1343">
                  <c:v>8.6696265156271078E-4</c:v>
                </c:pt>
                <c:pt idx="1344">
                  <c:v>8.6691496342962144E-4</c:v>
                </c:pt>
                <c:pt idx="1345">
                  <c:v>8.6686707764596529E-4</c:v>
                </c:pt>
                <c:pt idx="1346">
                  <c:v>8.6681899460898349E-4</c:v>
                </c:pt>
                <c:pt idx="1347">
                  <c:v>8.6677071471485381E-4</c:v>
                </c:pt>
                <c:pt idx="1348">
                  <c:v>8.6672223835869303E-4</c:v>
                </c:pt>
                <c:pt idx="1349">
                  <c:v>8.66673565934562E-4</c:v>
                </c:pt>
                <c:pt idx="1350">
                  <c:v>8.6662469783546755E-4</c:v>
                </c:pt>
                <c:pt idx="1351">
                  <c:v>8.6657563445336773E-4</c:v>
                </c:pt>
                <c:pt idx="1352">
                  <c:v>8.6652637617917413E-4</c:v>
                </c:pt>
                <c:pt idx="1353">
                  <c:v>8.6647692340275522E-4</c:v>
                </c:pt>
                <c:pt idx="1354">
                  <c:v>8.6642727651294093E-4</c:v>
                </c:pt>
                <c:pt idx="1355">
                  <c:v>8.663774358975252E-4</c:v>
                </c:pt>
                <c:pt idx="1356">
                  <c:v>8.6632740194326954E-4</c:v>
                </c:pt>
                <c:pt idx="1357">
                  <c:v>8.6627717503590736E-4</c:v>
                </c:pt>
                <c:pt idx="1358">
                  <c:v>8.6622675556014526E-4</c:v>
                </c:pt>
                <c:pt idx="1359">
                  <c:v>8.6617614389966938E-4</c:v>
                </c:pt>
                <c:pt idx="1360">
                  <c:v>8.6612534043714595E-4</c:v>
                </c:pt>
                <c:pt idx="1361">
                  <c:v>8.660743455542265E-4</c:v>
                </c:pt>
                <c:pt idx="1362">
                  <c:v>8.6602315963155109E-4</c:v>
                </c:pt>
                <c:pt idx="1363">
                  <c:v>8.659717830487504E-4</c:v>
                </c:pt>
                <c:pt idx="1364">
                  <c:v>8.6592021618445039E-4</c:v>
                </c:pt>
                <c:pt idx="1365">
                  <c:v>8.6586845941627542E-4</c:v>
                </c:pt>
                <c:pt idx="1366">
                  <c:v>8.6581651312085054E-4</c:v>
                </c:pt>
                <c:pt idx="1367">
                  <c:v>8.6576437767380628E-4</c:v>
                </c:pt>
                <c:pt idx="1368">
                  <c:v>8.6571205344978034E-4</c:v>
                </c:pt>
                <c:pt idx="1369">
                  <c:v>8.6565954082242305E-4</c:v>
                </c:pt>
                <c:pt idx="1370">
                  <c:v>8.6560684016439779E-4</c:v>
                </c:pt>
                <c:pt idx="1371">
                  <c:v>8.6555395184738653E-4</c:v>
                </c:pt>
                <c:pt idx="1372">
                  <c:v>8.6550087624209272E-4</c:v>
                </c:pt>
                <c:pt idx="1373">
                  <c:v>8.6544761371824288E-4</c:v>
                </c:pt>
                <c:pt idx="1374">
                  <c:v>8.6539416464459192E-4</c:v>
                </c:pt>
                <c:pt idx="1375">
                  <c:v>8.653405293889252E-4</c:v>
                </c:pt>
                <c:pt idx="1376">
                  <c:v>8.6528670831806191E-4</c:v>
                </c:pt>
                <c:pt idx="1377">
                  <c:v>8.6523270179785818E-4</c:v>
                </c:pt>
                <c:pt idx="1378">
                  <c:v>8.6517851019320992E-4</c:v>
                </c:pt>
                <c:pt idx="1379">
                  <c:v>8.6512413386805726E-4</c:v>
                </c:pt>
                <c:pt idx="1380">
                  <c:v>8.6506957318538641E-4</c:v>
                </c:pt>
                <c:pt idx="1381">
                  <c:v>8.6501482850723254E-4</c:v>
                </c:pt>
                <c:pt idx="1382">
                  <c:v>8.649599001946842E-4</c:v>
                </c:pt>
                <c:pt idx="1383">
                  <c:v>8.649047886078857E-4</c:v>
                </c:pt>
                <c:pt idx="1384">
                  <c:v>8.6484949410603983E-4</c:v>
                </c:pt>
                <c:pt idx="1385">
                  <c:v>8.6479401704741166E-4</c:v>
                </c:pt>
                <c:pt idx="1386">
                  <c:v>8.6473835778933092E-4</c:v>
                </c:pt>
                <c:pt idx="1387">
                  <c:v>8.6468251668819578E-4</c:v>
                </c:pt>
                <c:pt idx="1388">
                  <c:v>8.6462649409947516E-4</c:v>
                </c:pt>
                <c:pt idx="1389">
                  <c:v>8.6457029037771195E-4</c:v>
                </c:pt>
                <c:pt idx="1390">
                  <c:v>8.6451390587652702E-4</c:v>
                </c:pt>
                <c:pt idx="1391">
                  <c:v>8.6445734094862015E-4</c:v>
                </c:pt>
                <c:pt idx="1392">
                  <c:v>8.6440059594577513E-4</c:v>
                </c:pt>
                <c:pt idx="1393">
                  <c:v>8.6434367121886147E-4</c:v>
                </c:pt>
                <c:pt idx="1394">
                  <c:v>8.6428656711783774E-4</c:v>
                </c:pt>
                <c:pt idx="1395">
                  <c:v>8.642292839917547E-4</c:v>
                </c:pt>
                <c:pt idx="1396">
                  <c:v>8.6417182218875746E-4</c:v>
                </c:pt>
                <c:pt idx="1397">
                  <c:v>8.6411418205609007E-4</c:v>
                </c:pt>
                <c:pt idx="1398">
                  <c:v>8.6405636394009636E-4</c:v>
                </c:pt>
                <c:pt idx="1399">
                  <c:v>8.639983681862245E-4</c:v>
                </c:pt>
                <c:pt idx="1400">
                  <c:v>8.6394019513902896E-4</c:v>
                </c:pt>
                <c:pt idx="1401">
                  <c:v>8.6388184514217374E-4</c:v>
                </c:pt>
                <c:pt idx="1402">
                  <c:v>8.63823318538435E-4</c:v>
                </c:pt>
                <c:pt idx="1403">
                  <c:v>8.6376461566970493E-4</c:v>
                </c:pt>
                <c:pt idx="1404">
                  <c:v>8.6370573687699268E-4</c:v>
                </c:pt>
                <c:pt idx="1405">
                  <c:v>8.6364668250042958E-4</c:v>
                </c:pt>
                <c:pt idx="1406">
                  <c:v>8.6358745287926921E-4</c:v>
                </c:pt>
                <c:pt idx="1407">
                  <c:v>8.6352804835189314E-4</c:v>
                </c:pt>
                <c:pt idx="1408">
                  <c:v>8.6346846925581156E-4</c:v>
                </c:pt>
                <c:pt idx="1409">
                  <c:v>8.6340871592766695E-4</c:v>
                </c:pt>
                <c:pt idx="1410">
                  <c:v>8.6334878870323684E-4</c:v>
                </c:pt>
                <c:pt idx="1411">
                  <c:v>8.6328868791743648E-4</c:v>
                </c:pt>
                <c:pt idx="1412">
                  <c:v>8.6322841390432169E-4</c:v>
                </c:pt>
                <c:pt idx="1413">
                  <c:v>8.6316796699709164E-4</c:v>
                </c:pt>
                <c:pt idx="1414">
                  <c:v>8.6310734752809116E-4</c:v>
                </c:pt>
                <c:pt idx="1415">
                  <c:v>8.6304655582881366E-4</c:v>
                </c:pt>
                <c:pt idx="1416">
                  <c:v>8.6298559222990556E-4</c:v>
                </c:pt>
                <c:pt idx="1417">
                  <c:v>8.6292445706116501E-4</c:v>
                </c:pt>
                <c:pt idx="1418">
                  <c:v>8.6286315065154924E-4</c:v>
                </c:pt>
                <c:pt idx="1419">
                  <c:v>8.6280167332917362E-4</c:v>
                </c:pt>
                <c:pt idx="1420">
                  <c:v>8.6274002542131682E-4</c:v>
                </c:pt>
                <c:pt idx="1421">
                  <c:v>8.6267820725442171E-4</c:v>
                </c:pt>
                <c:pt idx="1422">
                  <c:v>8.6261621915409881E-4</c:v>
                </c:pt>
                <c:pt idx="1423">
                  <c:v>8.6255406144512944E-4</c:v>
                </c:pt>
                <c:pt idx="1424">
                  <c:v>8.6249173445146694E-4</c:v>
                </c:pt>
                <c:pt idx="1425">
                  <c:v>8.6242923849624105E-4</c:v>
                </c:pt>
                <c:pt idx="1426">
                  <c:v>8.6236657390175949E-4</c:v>
                </c:pt>
                <c:pt idx="1427">
                  <c:v>8.6230374098951012E-4</c:v>
                </c:pt>
                <c:pt idx="1428">
                  <c:v>8.6224074008016459E-4</c:v>
                </c:pt>
                <c:pt idx="1429">
                  <c:v>8.6217757149358021E-4</c:v>
                </c:pt>
                <c:pt idx="1430">
                  <c:v>8.6211423554880364E-4</c:v>
                </c:pt>
                <c:pt idx="1431">
                  <c:v>8.6205073256407174E-4</c:v>
                </c:pt>
                <c:pt idx="1432">
                  <c:v>8.6198706285681517E-4</c:v>
                </c:pt>
                <c:pt idx="1433">
                  <c:v>8.619232267436614E-4</c:v>
                </c:pt>
                <c:pt idx="1434">
                  <c:v>8.618592245404357E-4</c:v>
                </c:pt>
                <c:pt idx="1435">
                  <c:v>8.6179505656216559E-4</c:v>
                </c:pt>
                <c:pt idx="1436">
                  <c:v>8.617307231230816E-4</c:v>
                </c:pt>
                <c:pt idx="1437">
                  <c:v>8.6166622453662147E-4</c:v>
                </c:pt>
                <c:pt idx="1438">
                  <c:v>8.6160156111543085E-4</c:v>
                </c:pt>
                <c:pt idx="1439">
                  <c:v>8.6153673317136724E-4</c:v>
                </c:pt>
                <c:pt idx="1440">
                  <c:v>8.6147174101550161E-4</c:v>
                </c:pt>
                <c:pt idx="1441">
                  <c:v>8.6140658495812165E-4</c:v>
                </c:pt>
                <c:pt idx="1442">
                  <c:v>8.613412653087337E-4</c:v>
                </c:pt>
                <c:pt idx="1443">
                  <c:v>8.6127578237606465E-4</c:v>
                </c:pt>
                <c:pt idx="1444">
                  <c:v>8.6121013646806607E-4</c:v>
                </c:pt>
                <c:pt idx="1445">
                  <c:v>8.6114432789191511E-4</c:v>
                </c:pt>
                <c:pt idx="1446">
                  <c:v>8.6107835695401749E-4</c:v>
                </c:pt>
                <c:pt idx="1447">
                  <c:v>8.6101222396000958E-4</c:v>
                </c:pt>
                <c:pt idx="1448">
                  <c:v>8.6094592921476146E-4</c:v>
                </c:pt>
                <c:pt idx="1449">
                  <c:v>8.6087947302237924E-4</c:v>
                </c:pt>
                <c:pt idx="1450">
                  <c:v>8.60812855686206E-4</c:v>
                </c:pt>
                <c:pt idx="1451">
                  <c:v>8.6074607750882717E-4</c:v>
                </c:pt>
                <c:pt idx="1452">
                  <c:v>8.6067913879206968E-4</c:v>
                </c:pt>
                <c:pt idx="1453">
                  <c:v>8.6061203983700606E-4</c:v>
                </c:pt>
                <c:pt idx="1454">
                  <c:v>8.6054478094395672E-4</c:v>
                </c:pt>
                <c:pt idx="1455">
                  <c:v>8.6047736241249195E-4</c:v>
                </c:pt>
                <c:pt idx="1456">
                  <c:v>8.6040978454143455E-4</c:v>
                </c:pt>
                <c:pt idx="1457">
                  <c:v>8.6034204762886087E-4</c:v>
                </c:pt>
                <c:pt idx="1458">
                  <c:v>8.602741519721063E-4</c:v>
                </c:pt>
                <c:pt idx="1459">
                  <c:v>8.6020609786776367E-4</c:v>
                </c:pt>
                <c:pt idx="1460">
                  <c:v>8.6013788561168812E-4</c:v>
                </c:pt>
                <c:pt idx="1461">
                  <c:v>8.6006951549899872E-4</c:v>
                </c:pt>
                <c:pt idx="1462">
                  <c:v>8.6000098782408054E-4</c:v>
                </c:pt>
                <c:pt idx="1463">
                  <c:v>8.5993230288058779E-4</c:v>
                </c:pt>
                <c:pt idx="1464">
                  <c:v>8.5986346096144381E-4</c:v>
                </c:pt>
                <c:pt idx="1465">
                  <c:v>8.5979446235884683E-4</c:v>
                </c:pt>
                <c:pt idx="1466">
                  <c:v>8.5972530736426922E-4</c:v>
                </c:pt>
                <c:pt idx="1467">
                  <c:v>8.5965599626846093E-4</c:v>
                </c:pt>
                <c:pt idx="1468">
                  <c:v>8.5958652936145188E-4</c:v>
                </c:pt>
                <c:pt idx="1469">
                  <c:v>8.5951690693255385E-4</c:v>
                </c:pt>
                <c:pt idx="1470">
                  <c:v>8.5944712927036302E-4</c:v>
                </c:pt>
                <c:pt idx="1471">
                  <c:v>8.5937719666276152E-4</c:v>
                </c:pt>
                <c:pt idx="1472">
                  <c:v>8.5930710939692025E-4</c:v>
                </c:pt>
                <c:pt idx="1473">
                  <c:v>8.5923686775930125E-4</c:v>
                </c:pt>
                <c:pt idx="1474">
                  <c:v>8.5916647203565901E-4</c:v>
                </c:pt>
                <c:pt idx="1475">
                  <c:v>8.5909592251104362E-4</c:v>
                </c:pt>
                <c:pt idx="1476">
                  <c:v>8.5902521946980184E-4</c:v>
                </c:pt>
                <c:pt idx="1477">
                  <c:v>8.5895436319558124E-4</c:v>
                </c:pt>
                <c:pt idx="1478">
                  <c:v>8.5888335397132953E-4</c:v>
                </c:pt>
                <c:pt idx="1479">
                  <c:v>8.5881219207929889E-4</c:v>
                </c:pt>
                <c:pt idx="1480">
                  <c:v>8.5874087780104798E-4</c:v>
                </c:pt>
                <c:pt idx="1481">
                  <c:v>8.586694114174426E-4</c:v>
                </c:pt>
                <c:pt idx="1482">
                  <c:v>8.5859779320865892E-4</c:v>
                </c:pt>
                <c:pt idx="1483">
                  <c:v>8.5852602345418605E-4</c:v>
                </c:pt>
                <c:pt idx="1484">
                  <c:v>8.5845410243282723E-4</c:v>
                </c:pt>
                <c:pt idx="1485">
                  <c:v>8.5838203042270167E-4</c:v>
                </c:pt>
                <c:pt idx="1486">
                  <c:v>8.5830980770124771E-4</c:v>
                </c:pt>
                <c:pt idx="1487">
                  <c:v>8.5823743454522465E-4</c:v>
                </c:pt>
                <c:pt idx="1488">
                  <c:v>8.5816491123071395E-4</c:v>
                </c:pt>
                <c:pt idx="1489">
                  <c:v>8.5809223803312259E-4</c:v>
                </c:pt>
                <c:pt idx="1490">
                  <c:v>8.5801941522718305E-4</c:v>
                </c:pt>
                <c:pt idx="1491">
                  <c:v>8.5794644308695889E-4</c:v>
                </c:pt>
                <c:pt idx="1492">
                  <c:v>8.5787332188584349E-4</c:v>
                </c:pt>
                <c:pt idx="1493">
                  <c:v>8.5780005189656282E-4</c:v>
                </c:pt>
                <c:pt idx="1494">
                  <c:v>8.5772663339117919E-4</c:v>
                </c:pt>
                <c:pt idx="1495">
                  <c:v>8.5765306664109032E-4</c:v>
                </c:pt>
                <c:pt idx="1496">
                  <c:v>8.5757935191703514E-4</c:v>
                </c:pt>
                <c:pt idx="1497">
                  <c:v>8.5750548948909221E-4</c:v>
                </c:pt>
                <c:pt idx="1498">
                  <c:v>8.574314796266835E-4</c:v>
                </c:pt>
                <c:pt idx="1499">
                  <c:v>8.5735732259857686E-4</c:v>
                </c:pt>
                <c:pt idx="1500">
                  <c:v>8.5728301867288618E-4</c:v>
                </c:pt>
                <c:pt idx="1501">
                  <c:v>8.5720856811707501E-4</c:v>
                </c:pt>
                <c:pt idx="1502">
                  <c:v>8.5713397119795837E-4</c:v>
                </c:pt>
                <c:pt idx="1503">
                  <c:v>8.5705922818170364E-4</c:v>
                </c:pt>
                <c:pt idx="1504">
                  <c:v>8.5698433933383315E-4</c:v>
                </c:pt>
                <c:pt idx="1505">
                  <c:v>8.5690930491922712E-4</c:v>
                </c:pt>
                <c:pt idx="1506">
                  <c:v>8.5683412520212395E-4</c:v>
                </c:pt>
                <c:pt idx="1507">
                  <c:v>8.5675880044612279E-4</c:v>
                </c:pt>
                <c:pt idx="1508">
                  <c:v>8.5668333091418593E-4</c:v>
                </c:pt>
                <c:pt idx="1509">
                  <c:v>8.5660771686864009E-4</c:v>
                </c:pt>
                <c:pt idx="1510">
                  <c:v>8.5653195857117892E-4</c:v>
                </c:pt>
                <c:pt idx="1511">
                  <c:v>8.5645605628286423E-4</c:v>
                </c:pt>
                <c:pt idx="1512">
                  <c:v>8.5638001026412886E-4</c:v>
                </c:pt>
                <c:pt idx="1513">
                  <c:v>8.5630382077477724E-4</c:v>
                </c:pt>
                <c:pt idx="1514">
                  <c:v>8.56227488073988E-4</c:v>
                </c:pt>
                <c:pt idx="1515">
                  <c:v>8.5615101242031714E-4</c:v>
                </c:pt>
                <c:pt idx="1516">
                  <c:v>8.5607439407169679E-4</c:v>
                </c:pt>
                <c:pt idx="1517">
                  <c:v>8.5599763328544063E-4</c:v>
                </c:pt>
                <c:pt idx="1518">
                  <c:v>8.5592073031824287E-4</c:v>
                </c:pt>
                <c:pt idx="1519">
                  <c:v>8.5584368542618143E-4</c:v>
                </c:pt>
                <c:pt idx="1520">
                  <c:v>8.5576649886472068E-4</c:v>
                </c:pt>
                <c:pt idx="1521">
                  <c:v>8.5568917088871049E-4</c:v>
                </c:pt>
                <c:pt idx="1522">
                  <c:v>8.5561170175239181E-4</c:v>
                </c:pt>
                <c:pt idx="1523">
                  <c:v>8.5553409170939455E-4</c:v>
                </c:pt>
                <c:pt idx="1524">
                  <c:v>8.5545634101274321E-4</c:v>
                </c:pt>
                <c:pt idx="1525">
                  <c:v>8.5537844991485554E-4</c:v>
                </c:pt>
                <c:pt idx="1526">
                  <c:v>8.5530041866754597E-4</c:v>
                </c:pt>
                <c:pt idx="1527">
                  <c:v>8.5522224752202739E-4</c:v>
                </c:pt>
                <c:pt idx="1528">
                  <c:v>8.551439367289128E-4</c:v>
                </c:pt>
                <c:pt idx="1529">
                  <c:v>8.5506548653821609E-4</c:v>
                </c:pt>
                <c:pt idx="1530">
                  <c:v>8.5498689719935557E-4</c:v>
                </c:pt>
                <c:pt idx="1531">
                  <c:v>8.5490816896115446E-4</c:v>
                </c:pt>
                <c:pt idx="1532">
                  <c:v>8.5482930207184354E-4</c:v>
                </c:pt>
                <c:pt idx="1533">
                  <c:v>8.5475029677906165E-4</c:v>
                </c:pt>
                <c:pt idx="1534">
                  <c:v>8.54671153329859E-4</c:v>
                </c:pt>
                <c:pt idx="1535">
                  <c:v>8.5459187197069793E-4</c:v>
                </c:pt>
                <c:pt idx="1536">
                  <c:v>8.5451245294745426E-4</c:v>
                </c:pt>
                <c:pt idx="1537">
                  <c:v>8.544328965054207E-4</c:v>
                </c:pt>
                <c:pt idx="1538">
                  <c:v>8.5435320288930732E-4</c:v>
                </c:pt>
                <c:pt idx="1539">
                  <c:v>8.5427337234324284E-4</c:v>
                </c:pt>
                <c:pt idx="1540">
                  <c:v>8.5419340511077788E-4</c:v>
                </c:pt>
                <c:pt idx="1541">
                  <c:v>8.5411330143488507E-4</c:v>
                </c:pt>
                <c:pt idx="1542">
                  <c:v>8.5403306155796177E-4</c:v>
                </c:pt>
                <c:pt idx="1543">
                  <c:v>8.539526857218318E-4</c:v>
                </c:pt>
                <c:pt idx="1544">
                  <c:v>8.5387217416774662E-4</c:v>
                </c:pt>
                <c:pt idx="1545">
                  <c:v>8.537915271363875E-4</c:v>
                </c:pt>
                <c:pt idx="1546">
                  <c:v>8.5371074486786599E-4</c:v>
                </c:pt>
                <c:pt idx="1547">
                  <c:v>8.5362982760172777E-4</c:v>
                </c:pt>
                <c:pt idx="1548">
                  <c:v>8.5354877557695247E-4</c:v>
                </c:pt>
                <c:pt idx="1549">
                  <c:v>8.5346758903195625E-4</c:v>
                </c:pt>
                <c:pt idx="1550">
                  <c:v>8.5338626820459279E-4</c:v>
                </c:pt>
                <c:pt idx="1551">
                  <c:v>8.5330481333215601E-4</c:v>
                </c:pt>
                <c:pt idx="1552">
                  <c:v>8.5322322465138014E-4</c:v>
                </c:pt>
                <c:pt idx="1553">
                  <c:v>8.5314150239844335E-4</c:v>
                </c:pt>
                <c:pt idx="1554">
                  <c:v>8.5305964680896758E-4</c:v>
                </c:pt>
                <c:pt idx="1555">
                  <c:v>8.5297765811802079E-4</c:v>
                </c:pt>
                <c:pt idx="1556">
                  <c:v>8.5289553656011968E-4</c:v>
                </c:pt>
                <c:pt idx="1557">
                  <c:v>8.5281328236922892E-4</c:v>
                </c:pt>
                <c:pt idx="1558">
                  <c:v>8.527308957787654E-4</c:v>
                </c:pt>
                <c:pt idx="1559">
                  <c:v>8.5264837702159809E-4</c:v>
                </c:pt>
                <c:pt idx="1560">
                  <c:v>8.5256572633005015E-4</c:v>
                </c:pt>
                <c:pt idx="1561">
                  <c:v>8.5248294393590091E-4</c:v>
                </c:pt>
                <c:pt idx="1562">
                  <c:v>8.5240003007038651E-4</c:v>
                </c:pt>
                <c:pt idx="1563">
                  <c:v>8.5231698496420242E-4</c:v>
                </c:pt>
                <c:pt idx="1564">
                  <c:v>8.5223380884750523E-4</c:v>
                </c:pt>
                <c:pt idx="1565">
                  <c:v>8.5215050194991228E-4</c:v>
                </c:pt>
                <c:pt idx="1566">
                  <c:v>8.5206706450050615E-4</c:v>
                </c:pt>
                <c:pt idx="1567">
                  <c:v>8.5198349672783384E-4</c:v>
                </c:pt>
                <c:pt idx="1568">
                  <c:v>8.5189979885990947E-4</c:v>
                </c:pt>
                <c:pt idx="1569">
                  <c:v>8.5181597112421524E-4</c:v>
                </c:pt>
                <c:pt idx="1570">
                  <c:v>8.5173201374770372E-4</c:v>
                </c:pt>
                <c:pt idx="1571">
                  <c:v>8.5164792695679894E-4</c:v>
                </c:pt>
                <c:pt idx="1572">
                  <c:v>8.5156371097739713E-4</c:v>
                </c:pt>
                <c:pt idx="1573">
                  <c:v>8.5147936603487075E-4</c:v>
                </c:pt>
                <c:pt idx="1574">
                  <c:v>8.5139489235406651E-4</c:v>
                </c:pt>
                <c:pt idx="1575">
                  <c:v>8.5131029015931008E-4</c:v>
                </c:pt>
                <c:pt idx="1576">
                  <c:v>8.5122555967440561E-4</c:v>
                </c:pt>
                <c:pt idx="1577">
                  <c:v>8.5114070112263761E-4</c:v>
                </c:pt>
                <c:pt idx="1578">
                  <c:v>8.5105571472677383E-4</c:v>
                </c:pt>
                <c:pt idx="1579">
                  <c:v>8.5097060070906435E-4</c:v>
                </c:pt>
                <c:pt idx="1580">
                  <c:v>8.5088535929124531E-4</c:v>
                </c:pt>
                <c:pt idx="1581">
                  <c:v>8.5079999069453927E-4</c:v>
                </c:pt>
                <c:pt idx="1582">
                  <c:v>8.5071449513965641E-4</c:v>
                </c:pt>
                <c:pt idx="1583">
                  <c:v>8.5062887284679731E-4</c:v>
                </c:pt>
                <c:pt idx="1584">
                  <c:v>8.5054312403565289E-4</c:v>
                </c:pt>
                <c:pt idx="1585">
                  <c:v>8.5045724892540697E-4</c:v>
                </c:pt>
                <c:pt idx="1586">
                  <c:v>8.503712477347375E-4</c:v>
                </c:pt>
                <c:pt idx="1587">
                  <c:v>8.502851206818174E-4</c:v>
                </c:pt>
                <c:pt idx="1588">
                  <c:v>8.5019886798431683E-4</c:v>
                </c:pt>
                <c:pt idx="1589">
                  <c:v>8.5011248985940465E-4</c:v>
                </c:pt>
                <c:pt idx="1590">
                  <c:v>8.5002598652374878E-4</c:v>
                </c:pt>
                <c:pt idx="1591">
                  <c:v>8.4993935819351854E-4</c:v>
                </c:pt>
                <c:pt idx="1592">
                  <c:v>8.4985260508438679E-4</c:v>
                </c:pt>
                <c:pt idx="1593">
                  <c:v>8.4976572741152928E-4</c:v>
                </c:pt>
                <c:pt idx="1594">
                  <c:v>8.4967872538962833E-4</c:v>
                </c:pt>
                <c:pt idx="1595">
                  <c:v>8.4959159923287265E-4</c:v>
                </c:pt>
                <c:pt idx="1596">
                  <c:v>8.4950434915495902E-4</c:v>
                </c:pt>
                <c:pt idx="1597">
                  <c:v>8.4941697536909493E-4</c:v>
                </c:pt>
                <c:pt idx="1598">
                  <c:v>8.4932947808799781E-4</c:v>
                </c:pt>
                <c:pt idx="1599">
                  <c:v>8.4924185752389937E-4</c:v>
                </c:pt>
                <c:pt idx="1600">
                  <c:v>8.4915411388854353E-4</c:v>
                </c:pt>
                <c:pt idx="1601">
                  <c:v>8.4906624739319089E-4</c:v>
                </c:pt>
                <c:pt idx="1602">
                  <c:v>8.4897825824861771E-4</c:v>
                </c:pt>
                <c:pt idx="1603">
                  <c:v>8.4889014666511933E-4</c:v>
                </c:pt>
                <c:pt idx="1604">
                  <c:v>8.4880191285251032E-4</c:v>
                </c:pt>
                <c:pt idx="1605">
                  <c:v>8.487135570201253E-4</c:v>
                </c:pt>
                <c:pt idx="1606">
                  <c:v>8.486250793768227E-4</c:v>
                </c:pt>
                <c:pt idx="1607">
                  <c:v>8.4853648013098358E-4</c:v>
                </c:pt>
                <c:pt idx="1608">
                  <c:v>8.4844775949051378E-4</c:v>
                </c:pt>
                <c:pt idx="1609">
                  <c:v>8.4835891766284611E-4</c:v>
                </c:pt>
                <c:pt idx="1610">
                  <c:v>8.4826995485494058E-4</c:v>
                </c:pt>
                <c:pt idx="1611">
                  <c:v>8.4818087127328629E-4</c:v>
                </c:pt>
                <c:pt idx="1612">
                  <c:v>8.4809166712390303E-4</c:v>
                </c:pt>
                <c:pt idx="1613">
                  <c:v>8.4800234261234186E-4</c:v>
                </c:pt>
                <c:pt idx="1614">
                  <c:v>8.4791289794368722E-4</c:v>
                </c:pt>
                <c:pt idx="1615">
                  <c:v>8.4782333332255732E-4</c:v>
                </c:pt>
                <c:pt idx="1616">
                  <c:v>8.4773364895310646E-4</c:v>
                </c:pt>
                <c:pt idx="1617">
                  <c:v>8.476438450390262E-4</c:v>
                </c:pt>
                <c:pt idx="1618">
                  <c:v>8.4755392178354611E-4</c:v>
                </c:pt>
                <c:pt idx="1619">
                  <c:v>8.4746387938943477E-4</c:v>
                </c:pt>
                <c:pt idx="1620">
                  <c:v>8.4737371805900256E-4</c:v>
                </c:pt>
                <c:pt idx="1621">
                  <c:v>8.4728343799410171E-4</c:v>
                </c:pt>
                <c:pt idx="1622">
                  <c:v>8.4719303939612795E-4</c:v>
                </c:pt>
                <c:pt idx="1623">
                  <c:v>8.4710252246602159E-4</c:v>
                </c:pt>
                <c:pt idx="1624">
                  <c:v>8.4701188740426904E-4</c:v>
                </c:pt>
                <c:pt idx="1625">
                  <c:v>8.4692113441090509E-4</c:v>
                </c:pt>
                <c:pt idx="1626">
                  <c:v>8.4683026368551116E-4</c:v>
                </c:pt>
                <c:pt idx="1627">
                  <c:v>8.4673927542722053E-4</c:v>
                </c:pt>
                <c:pt idx="1628">
                  <c:v>8.4664816983471636E-4</c:v>
                </c:pt>
                <c:pt idx="1629">
                  <c:v>8.4655694710623495E-4</c:v>
                </c:pt>
                <c:pt idx="1630">
                  <c:v>8.4646560743956579E-4</c:v>
                </c:pt>
                <c:pt idx="1631">
                  <c:v>8.4637415103205372E-4</c:v>
                </c:pt>
                <c:pt idx="1632">
                  <c:v>8.4628257808059973E-4</c:v>
                </c:pt>
                <c:pt idx="1633">
                  <c:v>8.4619088878166223E-4</c:v>
                </c:pt>
                <c:pt idx="1634">
                  <c:v>8.460990833312577E-4</c:v>
                </c:pt>
                <c:pt idx="1635">
                  <c:v>8.4600716192496385E-4</c:v>
                </c:pt>
                <c:pt idx="1636">
                  <c:v>8.4591512475791801E-4</c:v>
                </c:pt>
                <c:pt idx="1637">
                  <c:v>8.458229720248214E-4</c:v>
                </c:pt>
                <c:pt idx="1638">
                  <c:v>8.4573070391993736E-4</c:v>
                </c:pt>
                <c:pt idx="1639">
                  <c:v>8.4563832063709544E-4</c:v>
                </c:pt>
                <c:pt idx="1640">
                  <c:v>8.4554582236969064E-4</c:v>
                </c:pt>
                <c:pt idx="1641">
                  <c:v>8.4545320931068502E-4</c:v>
                </c:pt>
                <c:pt idx="1642">
                  <c:v>8.4536048165260926E-4</c:v>
                </c:pt>
                <c:pt idx="1643">
                  <c:v>8.4526763958756403E-4</c:v>
                </c:pt>
                <c:pt idx="1644">
                  <c:v>8.4517468330722056E-4</c:v>
                </c:pt>
                <c:pt idx="1645">
                  <c:v>8.4508161300282203E-4</c:v>
                </c:pt>
                <c:pt idx="1646">
                  <c:v>8.4498842886518574E-4</c:v>
                </c:pt>
                <c:pt idx="1647">
                  <c:v>8.4489513108470236E-4</c:v>
                </c:pt>
                <c:pt idx="1648">
                  <c:v>8.4480171985133875E-4</c:v>
                </c:pt>
                <c:pt idx="1649">
                  <c:v>8.4470819535463872E-4</c:v>
                </c:pt>
                <c:pt idx="1650">
                  <c:v>8.4461455778372387E-4</c:v>
                </c:pt>
                <c:pt idx="1651">
                  <c:v>8.4452080732729505E-4</c:v>
                </c:pt>
                <c:pt idx="1652">
                  <c:v>8.4442694417363317E-4</c:v>
                </c:pt>
                <c:pt idx="1653">
                  <c:v>8.4433296851060152E-4</c:v>
                </c:pt>
                <c:pt idx="1654">
                  <c:v>8.44238880525645E-4</c:v>
                </c:pt>
                <c:pt idx="1655">
                  <c:v>8.4414468040579325E-4</c:v>
                </c:pt>
                <c:pt idx="1656">
                  <c:v>8.4405036833766023E-4</c:v>
                </c:pt>
                <c:pt idx="1657">
                  <c:v>8.439559445074465E-4</c:v>
                </c:pt>
                <c:pt idx="1658">
                  <c:v>8.4386140910093954E-4</c:v>
                </c:pt>
                <c:pt idx="1659">
                  <c:v>8.4376676230351558E-4</c:v>
                </c:pt>
                <c:pt idx="1660">
                  <c:v>8.436720043001406E-4</c:v>
                </c:pt>
                <c:pt idx="1661">
                  <c:v>8.4357713527537053E-4</c:v>
                </c:pt>
                <c:pt idx="1662">
                  <c:v>8.4348215541335384E-4</c:v>
                </c:pt>
                <c:pt idx="1663">
                  <c:v>8.4338706489783181E-4</c:v>
                </c:pt>
                <c:pt idx="1664">
                  <c:v>8.4329186391213955E-4</c:v>
                </c:pt>
                <c:pt idx="1665">
                  <c:v>8.431965526392081E-4</c:v>
                </c:pt>
                <c:pt idx="1666">
                  <c:v>8.4310113126156354E-4</c:v>
                </c:pt>
                <c:pt idx="1667">
                  <c:v>8.4300559996133059E-4</c:v>
                </c:pt>
                <c:pt idx="1668">
                  <c:v>8.4290995892023215E-4</c:v>
                </c:pt>
                <c:pt idx="1669">
                  <c:v>8.4281420831959074E-4</c:v>
                </c:pt>
                <c:pt idx="1670">
                  <c:v>8.4271834834032946E-4</c:v>
                </c:pt>
                <c:pt idx="1671">
                  <c:v>8.4262237916297327E-4</c:v>
                </c:pt>
                <c:pt idx="1672">
                  <c:v>8.4252630096765067E-4</c:v>
                </c:pt>
                <c:pt idx="1673">
                  <c:v>8.4243011393409352E-4</c:v>
                </c:pt>
                <c:pt idx="1674">
                  <c:v>8.4233381824163917E-4</c:v>
                </c:pt>
                <c:pt idx="1675">
                  <c:v>8.4223741406923096E-4</c:v>
                </c:pt>
                <c:pt idx="1676">
                  <c:v>8.4214090159541975E-4</c:v>
                </c:pt>
                <c:pt idx="1677">
                  <c:v>8.4204428099836468E-4</c:v>
                </c:pt>
                <c:pt idx="1678">
                  <c:v>8.4194755245583423E-4</c:v>
                </c:pt>
                <c:pt idx="1679">
                  <c:v>8.418507161452077E-4</c:v>
                </c:pt>
                <c:pt idx="1680">
                  <c:v>8.4175377224347554E-4</c:v>
                </c:pt>
                <c:pt idx="1681">
                  <c:v>8.4165672092724095E-4</c:v>
                </c:pt>
                <c:pt idx="1682">
                  <c:v>8.4155956237272128E-4</c:v>
                </c:pt>
                <c:pt idx="1683">
                  <c:v>8.4146229675574819E-4</c:v>
                </c:pt>
                <c:pt idx="1684">
                  <c:v>8.4136492425176913E-4</c:v>
                </c:pt>
                <c:pt idx="1685">
                  <c:v>8.4126744503584838E-4</c:v>
                </c:pt>
                <c:pt idx="1686">
                  <c:v>8.411698592826689E-4</c:v>
                </c:pt>
                <c:pt idx="1687">
                  <c:v>8.4107216716653127E-4</c:v>
                </c:pt>
                <c:pt idx="1688">
                  <c:v>8.4097436886135745E-4</c:v>
                </c:pt>
                <c:pt idx="1689">
                  <c:v>8.4087646454068929E-4</c:v>
                </c:pt>
                <c:pt idx="1690">
                  <c:v>8.4077845437769078E-4</c:v>
                </c:pt>
                <c:pt idx="1691">
                  <c:v>8.4068033854515047E-4</c:v>
                </c:pt>
                <c:pt idx="1692">
                  <c:v>8.4058211721547863E-4</c:v>
                </c:pt>
                <c:pt idx="1693">
                  <c:v>8.4048379056071297E-4</c:v>
                </c:pt>
                <c:pt idx="1694">
                  <c:v>8.4038535875251546E-4</c:v>
                </c:pt>
                <c:pt idx="1695">
                  <c:v>8.4028682196217648E-4</c:v>
                </c:pt>
                <c:pt idx="1696">
                  <c:v>8.4018818036061388E-4</c:v>
                </c:pt>
                <c:pt idx="1697">
                  <c:v>8.4008943411837517E-4</c:v>
                </c:pt>
                <c:pt idx="1698">
                  <c:v>8.3999058340563835E-4</c:v>
                </c:pt>
                <c:pt idx="1699">
                  <c:v>8.3989162839221104E-4</c:v>
                </c:pt>
                <c:pt idx="1700">
                  <c:v>8.3979256924753476E-4</c:v>
                </c:pt>
                <c:pt idx="1701">
                  <c:v>8.3969340614068366E-4</c:v>
                </c:pt>
                <c:pt idx="1702">
                  <c:v>8.3959413924036548E-4</c:v>
                </c:pt>
                <c:pt idx="1703">
                  <c:v>8.3949476871492405E-4</c:v>
                </c:pt>
                <c:pt idx="1704">
                  <c:v>8.393952947323383E-4</c:v>
                </c:pt>
                <c:pt idx="1705">
                  <c:v>8.3929571746022545E-4</c:v>
                </c:pt>
                <c:pt idx="1706">
                  <c:v>8.3919603706584015E-4</c:v>
                </c:pt>
                <c:pt idx="1707">
                  <c:v>8.3909625371607615E-4</c:v>
                </c:pt>
                <c:pt idx="1708">
                  <c:v>8.3899636757746754E-4</c:v>
                </c:pt>
                <c:pt idx="1709">
                  <c:v>8.3889637881618892E-4</c:v>
                </c:pt>
                <c:pt idx="1710">
                  <c:v>8.3879628759805718E-4</c:v>
                </c:pt>
                <c:pt idx="1711">
                  <c:v>8.3869609408853264E-4</c:v>
                </c:pt>
                <c:pt idx="1712">
                  <c:v>8.385957984527189E-4</c:v>
                </c:pt>
                <c:pt idx="1713">
                  <c:v>8.384954008553645E-4</c:v>
                </c:pt>
                <c:pt idx="1714">
                  <c:v>8.3839490146086408E-4</c:v>
                </c:pt>
                <c:pt idx="1715">
                  <c:v>8.3829430043325884E-4</c:v>
                </c:pt>
                <c:pt idx="1716">
                  <c:v>8.3819359793623816E-4</c:v>
                </c:pt>
                <c:pt idx="1717">
                  <c:v>8.3809279413313916E-4</c:v>
                </c:pt>
                <c:pt idx="1718">
                  <c:v>8.3799188918694939E-4</c:v>
                </c:pt>
                <c:pt idx="1719">
                  <c:v>8.378908832603069E-4</c:v>
                </c:pt>
                <c:pt idx="1720">
                  <c:v>8.377897765155008E-4</c:v>
                </c:pt>
                <c:pt idx="1721">
                  <c:v>8.3768856911447317E-4</c:v>
                </c:pt>
                <c:pt idx="1722">
                  <c:v>8.375872612188187E-4</c:v>
                </c:pt>
                <c:pt idx="1723">
                  <c:v>8.3748585298978721E-4</c:v>
                </c:pt>
                <c:pt idx="1724">
                  <c:v>8.3738434458828319E-4</c:v>
                </c:pt>
                <c:pt idx="1725">
                  <c:v>8.3728273617486712E-4</c:v>
                </c:pt>
                <c:pt idx="1726">
                  <c:v>8.371810279097574E-4</c:v>
                </c:pt>
                <c:pt idx="1727">
                  <c:v>8.3707921995282918E-4</c:v>
                </c:pt>
                <c:pt idx="1728">
                  <c:v>8.3697731246361751E-4</c:v>
                </c:pt>
                <c:pt idx="1729">
                  <c:v>8.3687530560131655E-4</c:v>
                </c:pt>
                <c:pt idx="1730">
                  <c:v>8.3677319952478164E-4</c:v>
                </c:pt>
                <c:pt idx="1731">
                  <c:v>8.3667099439252912E-4</c:v>
                </c:pt>
                <c:pt idx="1732">
                  <c:v>8.3656869036273843E-4</c:v>
                </c:pt>
                <c:pt idx="1733">
                  <c:v>8.3646628759325217E-4</c:v>
                </c:pt>
                <c:pt idx="1734">
                  <c:v>8.3636378624157718E-4</c:v>
                </c:pt>
                <c:pt idx="1735">
                  <c:v>8.3626118646488513E-4</c:v>
                </c:pt>
                <c:pt idx="1736">
                  <c:v>8.3615848842001476E-4</c:v>
                </c:pt>
                <c:pt idx="1737">
                  <c:v>8.3605569226347055E-4</c:v>
                </c:pt>
                <c:pt idx="1738">
                  <c:v>8.3595279815142586E-4</c:v>
                </c:pt>
                <c:pt idx="1739">
                  <c:v>8.3584980623972185E-4</c:v>
                </c:pt>
                <c:pt idx="1740">
                  <c:v>8.3574671668387019E-4</c:v>
                </c:pt>
                <c:pt idx="1741">
                  <c:v>8.3564352963905186E-4</c:v>
                </c:pt>
                <c:pt idx="1742">
                  <c:v>8.3554024526012077E-4</c:v>
                </c:pt>
                <c:pt idx="1743">
                  <c:v>8.3543686370160161E-4</c:v>
                </c:pt>
                <c:pt idx="1744">
                  <c:v>8.3533338511769257E-4</c:v>
                </c:pt>
                <c:pt idx="1745">
                  <c:v>8.3522980966226643E-4</c:v>
                </c:pt>
                <c:pt idx="1746">
                  <c:v>8.3512613748886952E-4</c:v>
                </c:pt>
                <c:pt idx="1747">
                  <c:v>8.3502236875072553E-4</c:v>
                </c:pt>
                <c:pt idx="1748">
                  <c:v>8.3491850360073265E-4</c:v>
                </c:pt>
                <c:pt idx="1749">
                  <c:v>8.3481454219146828E-4</c:v>
                </c:pt>
                <c:pt idx="1750">
                  <c:v>8.3471048467518671E-4</c:v>
                </c:pt>
                <c:pt idx="1751">
                  <c:v>8.3460633120382196E-4</c:v>
                </c:pt>
                <c:pt idx="1752">
                  <c:v>8.3450208192898854E-4</c:v>
                </c:pt>
                <c:pt idx="1753">
                  <c:v>8.3439773700198002E-4</c:v>
                </c:pt>
                <c:pt idx="1754">
                  <c:v>8.3429329657377319E-4</c:v>
                </c:pt>
                <c:pt idx="1755">
                  <c:v>8.341887607950264E-4</c:v>
                </c:pt>
                <c:pt idx="1756">
                  <c:v>8.3408412981608151E-4</c:v>
                </c:pt>
                <c:pt idx="1757">
                  <c:v>8.3397940378696501E-4</c:v>
                </c:pt>
                <c:pt idx="1758">
                  <c:v>8.3387458285738689E-4</c:v>
                </c:pt>
                <c:pt idx="1759">
                  <c:v>8.3376966717674489E-4</c:v>
                </c:pt>
                <c:pt idx="1760">
                  <c:v>8.3366465689412115E-4</c:v>
                </c:pt>
                <c:pt idx="1761">
                  <c:v>8.3355955215828718E-4</c:v>
                </c:pt>
                <c:pt idx="1762">
                  <c:v>8.334543531177016E-4</c:v>
                </c:pt>
                <c:pt idx="1763">
                  <c:v>8.3334905992051239E-4</c:v>
                </c:pt>
                <c:pt idx="1764">
                  <c:v>8.3324367271455724E-4</c:v>
                </c:pt>
                <c:pt idx="1765">
                  <c:v>8.3313819164736419E-4</c:v>
                </c:pt>
                <c:pt idx="1766">
                  <c:v>8.330326168661539E-4</c:v>
                </c:pt>
                <c:pt idx="1767">
                  <c:v>8.3292694851783795E-4</c:v>
                </c:pt>
                <c:pt idx="1768">
                  <c:v>8.3282118674902204E-4</c:v>
                </c:pt>
                <c:pt idx="1769">
                  <c:v>8.3271533170600483E-4</c:v>
                </c:pt>
                <c:pt idx="1770">
                  <c:v>8.3260938353478075E-4</c:v>
                </c:pt>
                <c:pt idx="1771">
                  <c:v>8.3250334238103862E-4</c:v>
                </c:pt>
                <c:pt idx="1772">
                  <c:v>8.3239720839016409E-4</c:v>
                </c:pt>
                <c:pt idx="1773">
                  <c:v>8.3229098170724009E-4</c:v>
                </c:pt>
                <c:pt idx="1774">
                  <c:v>8.3218466247704655E-4</c:v>
                </c:pt>
                <c:pt idx="1775">
                  <c:v>8.3207825084406339E-4</c:v>
                </c:pt>
                <c:pt idx="1776">
                  <c:v>8.3197174695246845E-4</c:v>
                </c:pt>
                <c:pt idx="1777">
                  <c:v>8.3186515094614078E-4</c:v>
                </c:pt>
                <c:pt idx="1778">
                  <c:v>8.3175846296865998E-4</c:v>
                </c:pt>
                <c:pt idx="1779">
                  <c:v>8.3165168316330759E-4</c:v>
                </c:pt>
                <c:pt idx="1780">
                  <c:v>8.3154481167306798E-4</c:v>
                </c:pt>
                <c:pt idx="1781">
                  <c:v>8.3143784864062769E-4</c:v>
                </c:pt>
                <c:pt idx="1782">
                  <c:v>8.3133079420837899E-4</c:v>
                </c:pt>
                <c:pt idx="1783">
                  <c:v>8.3122364851841732E-4</c:v>
                </c:pt>
                <c:pt idx="1784">
                  <c:v>8.3111641171254482E-4</c:v>
                </c:pt>
                <c:pt idx="1785">
                  <c:v>8.3100908393227005E-4</c:v>
                </c:pt>
                <c:pt idx="1786">
                  <c:v>8.3090166531880785E-4</c:v>
                </c:pt>
                <c:pt idx="1787">
                  <c:v>8.3079415601308184E-4</c:v>
                </c:pt>
                <c:pt idx="1788">
                  <c:v>8.3068655615572322E-4</c:v>
                </c:pt>
                <c:pt idx="1789">
                  <c:v>8.3057886588707374E-4</c:v>
                </c:pt>
                <c:pt idx="1790">
                  <c:v>8.3047108534718478E-4</c:v>
                </c:pt>
                <c:pt idx="1791">
                  <c:v>8.3036321467581812E-4</c:v>
                </c:pt>
                <c:pt idx="1792">
                  <c:v>8.3025525401244846E-4</c:v>
                </c:pt>
                <c:pt idx="1793">
                  <c:v>8.3014720349626101E-4</c:v>
                </c:pt>
                <c:pt idx="1794">
                  <c:v>8.3003906326615628E-4</c:v>
                </c:pt>
                <c:pt idx="1795">
                  <c:v>8.2993083346074659E-4</c:v>
                </c:pt>
                <c:pt idx="1796">
                  <c:v>8.2982251421836019E-4</c:v>
                </c:pt>
                <c:pt idx="1797">
                  <c:v>8.2971410567704042E-4</c:v>
                </c:pt>
                <c:pt idx="1798">
                  <c:v>8.29605607974546E-4</c:v>
                </c:pt>
                <c:pt idx="1799">
                  <c:v>8.2949702124835345E-4</c:v>
                </c:pt>
                <c:pt idx="1800">
                  <c:v>8.2938834563565586E-4</c:v>
                </c:pt>
                <c:pt idx="1801">
                  <c:v>8.292795812733652E-4</c:v>
                </c:pt>
                <c:pt idx="1802">
                  <c:v>8.291707282981122E-4</c:v>
                </c:pt>
                <c:pt idx="1803">
                  <c:v>8.2906178684624731E-4</c:v>
                </c:pt>
                <c:pt idx="1804">
                  <c:v>8.2895275705384137E-4</c:v>
                </c:pt>
                <c:pt idx="1805">
                  <c:v>8.2884363905668616E-4</c:v>
                </c:pt>
                <c:pt idx="1806">
                  <c:v>8.2873443299029555E-4</c:v>
                </c:pt>
                <c:pt idx="1807">
                  <c:v>8.2862513898990589E-4</c:v>
                </c:pt>
                <c:pt idx="1808">
                  <c:v>8.2851575719047681E-4</c:v>
                </c:pt>
                <c:pt idx="1809">
                  <c:v>8.284062877266915E-4</c:v>
                </c:pt>
                <c:pt idx="1810">
                  <c:v>8.282967307329588E-4</c:v>
                </c:pt>
                <c:pt idx="1811">
                  <c:v>8.2818708634341156E-4</c:v>
                </c:pt>
                <c:pt idx="1812">
                  <c:v>8.2807735469190961E-4</c:v>
                </c:pt>
                <c:pt idx="1813">
                  <c:v>8.2796753591203999E-4</c:v>
                </c:pt>
                <c:pt idx="1814">
                  <c:v>8.2785763013711576E-4</c:v>
                </c:pt>
                <c:pt idx="1815">
                  <c:v>8.2774763750017959E-4</c:v>
                </c:pt>
                <c:pt idx="1816">
                  <c:v>8.2763755813400211E-4</c:v>
                </c:pt>
                <c:pt idx="1817">
                  <c:v>8.2752739217108358E-4</c:v>
                </c:pt>
                <c:pt idx="1818">
                  <c:v>8.2741713974365534E-4</c:v>
                </c:pt>
                <c:pt idx="1819">
                  <c:v>8.2730680098367802E-4</c:v>
                </c:pt>
                <c:pt idx="1820">
                  <c:v>8.2719637602284588E-4</c:v>
                </c:pt>
                <c:pt idx="1821">
                  <c:v>8.270858649925835E-4</c:v>
                </c:pt>
                <c:pt idx="1822">
                  <c:v>8.2697526802404998E-4</c:v>
                </c:pt>
                <c:pt idx="1823">
                  <c:v>8.2686458524813746E-4</c:v>
                </c:pt>
                <c:pt idx="1824">
                  <c:v>8.2675381679547181E-4</c:v>
                </c:pt>
                <c:pt idx="1825">
                  <c:v>8.266429627964149E-4</c:v>
                </c:pt>
                <c:pt idx="1826">
                  <c:v>8.2653202338106352E-4</c:v>
                </c:pt>
                <c:pt idx="1827">
                  <c:v>8.2642099867925151E-4</c:v>
                </c:pt>
                <c:pt idx="1828">
                  <c:v>8.2630988882054885E-4</c:v>
                </c:pt>
                <c:pt idx="1829">
                  <c:v>8.2619869393426399E-4</c:v>
                </c:pt>
                <c:pt idx="1830">
                  <c:v>8.2608741414944324E-4</c:v>
                </c:pt>
                <c:pt idx="1831">
                  <c:v>8.2597604959487201E-4</c:v>
                </c:pt>
                <c:pt idx="1832">
                  <c:v>8.2586460039907523E-4</c:v>
                </c:pt>
                <c:pt idx="1833">
                  <c:v>8.2575306669031845E-4</c:v>
                </c:pt>
                <c:pt idx="1834">
                  <c:v>8.2564144859660811E-4</c:v>
                </c:pt>
                <c:pt idx="1835">
                  <c:v>8.2552974624569184E-4</c:v>
                </c:pt>
                <c:pt idx="1836">
                  <c:v>8.2541795976506023E-4</c:v>
                </c:pt>
                <c:pt idx="1837">
                  <c:v>8.2530608928194635E-4</c:v>
                </c:pt>
                <c:pt idx="1838">
                  <c:v>8.2519413492332687E-4</c:v>
                </c:pt>
                <c:pt idx="1839">
                  <c:v>8.2508209681592289E-4</c:v>
                </c:pt>
                <c:pt idx="1840">
                  <c:v>8.2496997508619988E-4</c:v>
                </c:pt>
                <c:pt idx="1841">
                  <c:v>8.2485776986036959E-4</c:v>
                </c:pt>
                <c:pt idx="1842">
                  <c:v>8.2474548126438901E-4</c:v>
                </c:pt>
                <c:pt idx="1843">
                  <c:v>8.2463310942396269E-4</c:v>
                </c:pt>
                <c:pt idx="1844">
                  <c:v>8.2452065446454205E-4</c:v>
                </c:pt>
                <c:pt idx="1845">
                  <c:v>8.2440811651132695E-4</c:v>
                </c:pt>
                <c:pt idx="1846">
                  <c:v>8.2429549568926595E-4</c:v>
                </c:pt>
                <c:pt idx="1847">
                  <c:v>8.2418279212305608E-4</c:v>
                </c:pt>
                <c:pt idx="1848">
                  <c:v>8.2407000593714551E-4</c:v>
                </c:pt>
                <c:pt idx="1849">
                  <c:v>8.2395713725573233E-4</c:v>
                </c:pt>
                <c:pt idx="1850">
                  <c:v>8.2384418620276578E-4</c:v>
                </c:pt>
                <c:pt idx="1851">
                  <c:v>8.2373115290194714E-4</c:v>
                </c:pt>
                <c:pt idx="1852">
                  <c:v>8.2361803747672976E-4</c:v>
                </c:pt>
                <c:pt idx="1853">
                  <c:v>8.2350484005032072E-4</c:v>
                </c:pt>
                <c:pt idx="1854">
                  <c:v>8.2339156074568017E-4</c:v>
                </c:pt>
                <c:pt idx="1855">
                  <c:v>8.2327819968552255E-4</c:v>
                </c:pt>
                <c:pt idx="1856">
                  <c:v>8.2316475699231793E-4</c:v>
                </c:pt>
                <c:pt idx="1857">
                  <c:v>8.2305123278829059E-4</c:v>
                </c:pt>
                <c:pt idx="1858">
                  <c:v>8.2293762719542216E-4</c:v>
                </c:pt>
                <c:pt idx="1859">
                  <c:v>8.2282394033545043E-4</c:v>
                </c:pt>
                <c:pt idx="1860">
                  <c:v>8.2271017232987069E-4</c:v>
                </c:pt>
                <c:pt idx="1861">
                  <c:v>8.2259632329993585E-4</c:v>
                </c:pt>
                <c:pt idx="1862">
                  <c:v>8.2248239336665785E-4</c:v>
                </c:pt>
                <c:pt idx="1863">
                  <c:v>8.2236838265080739E-4</c:v>
                </c:pt>
                <c:pt idx="1864">
                  <c:v>8.2225429127291509E-4</c:v>
                </c:pt>
                <c:pt idx="1865">
                  <c:v>8.221401193532718E-4</c:v>
                </c:pt>
                <c:pt idx="1866">
                  <c:v>8.2202586701192936E-4</c:v>
                </c:pt>
                <c:pt idx="1867">
                  <c:v>8.2191153436870145E-4</c:v>
                </c:pt>
                <c:pt idx="1868">
                  <c:v>8.217971215431631E-4</c:v>
                </c:pt>
                <c:pt idx="1869">
                  <c:v>8.2168262865465287E-4</c:v>
                </c:pt>
                <c:pt idx="1870">
                  <c:v>8.2156805582227189E-4</c:v>
                </c:pt>
                <c:pt idx="1871">
                  <c:v>8.2145340316488601E-4</c:v>
                </c:pt>
                <c:pt idx="1872">
                  <c:v>8.2133867080112473E-4</c:v>
                </c:pt>
                <c:pt idx="1873">
                  <c:v>8.2122385884938283E-4</c:v>
                </c:pt>
                <c:pt idx="1874">
                  <c:v>8.2110896742782153E-4</c:v>
                </c:pt>
                <c:pt idx="1875">
                  <c:v>8.2099399665436668E-4</c:v>
                </c:pt>
                <c:pt idx="1876">
                  <c:v>8.2087894664671223E-4</c:v>
                </c:pt>
                <c:pt idx="1877">
                  <c:v>8.2076381752231933E-4</c:v>
                </c:pt>
                <c:pt idx="1878">
                  <c:v>8.2064860939841649E-4</c:v>
                </c:pt>
                <c:pt idx="1879">
                  <c:v>8.2053332239200125E-4</c:v>
                </c:pt>
                <c:pt idx="1880">
                  <c:v>8.204179566198397E-4</c:v>
                </c:pt>
                <c:pt idx="1881">
                  <c:v>8.203025121984685E-4</c:v>
                </c:pt>
                <c:pt idx="1882">
                  <c:v>8.2018698924419349E-4</c:v>
                </c:pt>
                <c:pt idx="1883">
                  <c:v>8.2007138787309206E-4</c:v>
                </c:pt>
                <c:pt idx="1884">
                  <c:v>8.1995570820101262E-4</c:v>
                </c:pt>
                <c:pt idx="1885">
                  <c:v>8.1983995034357526E-4</c:v>
                </c:pt>
                <c:pt idx="1886">
                  <c:v>8.1972411441617323E-4</c:v>
                </c:pt>
                <c:pt idx="1887">
                  <c:v>8.1960820053397223E-4</c:v>
                </c:pt>
                <c:pt idx="1888">
                  <c:v>8.1949220881191178E-4</c:v>
                </c:pt>
                <c:pt idx="1889">
                  <c:v>8.1937613936470556E-4</c:v>
                </c:pt>
                <c:pt idx="1890">
                  <c:v>8.1925999230684165E-4</c:v>
                </c:pt>
                <c:pt idx="1891">
                  <c:v>8.1914376775258388E-4</c:v>
                </c:pt>
                <c:pt idx="1892">
                  <c:v>8.1902746581597168E-4</c:v>
                </c:pt>
                <c:pt idx="1893">
                  <c:v>8.189110866108208E-4</c:v>
                </c:pt>
                <c:pt idx="1894">
                  <c:v>8.1879463025072365E-4</c:v>
                </c:pt>
                <c:pt idx="1895">
                  <c:v>8.1867809684905046E-4</c:v>
                </c:pt>
                <c:pt idx="1896">
                  <c:v>8.1856148651894957E-4</c:v>
                </c:pt>
                <c:pt idx="1897">
                  <c:v>8.1844479937334756E-4</c:v>
                </c:pt>
                <c:pt idx="1898">
                  <c:v>8.1832803552494985E-4</c:v>
                </c:pt>
                <c:pt idx="1899">
                  <c:v>8.1821119508624209E-4</c:v>
                </c:pt>
                <c:pt idx="1900">
                  <c:v>8.1809427816948973E-4</c:v>
                </c:pt>
                <c:pt idx="1901">
                  <c:v>8.1797728488673877E-4</c:v>
                </c:pt>
                <c:pt idx="1902">
                  <c:v>8.1786021534981709E-4</c:v>
                </c:pt>
                <c:pt idx="1903">
                  <c:v>8.1774306967033364E-4</c:v>
                </c:pt>
                <c:pt idx="1904">
                  <c:v>8.1762584795967979E-4</c:v>
                </c:pt>
                <c:pt idx="1905">
                  <c:v>8.1750855032903017E-4</c:v>
                </c:pt>
                <c:pt idx="1906">
                  <c:v>8.1739117688934204E-4</c:v>
                </c:pt>
                <c:pt idx="1907">
                  <c:v>8.1727372775135775E-4</c:v>
                </c:pt>
                <c:pt idx="1908">
                  <c:v>8.1715620302560228E-4</c:v>
                </c:pt>
                <c:pt idx="1909">
                  <c:v>8.1703860282238713E-4</c:v>
                </c:pt>
                <c:pt idx="1910">
                  <c:v>8.1692092725180881E-4</c:v>
                </c:pt>
                <c:pt idx="1911">
                  <c:v>8.1680317642374948E-4</c:v>
                </c:pt>
                <c:pt idx="1912">
                  <c:v>8.1668535044787779E-4</c:v>
                </c:pt>
                <c:pt idx="1913">
                  <c:v>8.1656744943364994E-4</c:v>
                </c:pt>
                <c:pt idx="1914">
                  <c:v>8.1644947349030915E-4</c:v>
                </c:pt>
                <c:pt idx="1915">
                  <c:v>8.1633142272688681E-4</c:v>
                </c:pt>
                <c:pt idx="1916">
                  <c:v>8.162132972522032E-4</c:v>
                </c:pt>
                <c:pt idx="1917">
                  <c:v>8.1609509717486741E-4</c:v>
                </c:pt>
                <c:pt idx="1918">
                  <c:v>8.1597682260327775E-4</c:v>
                </c:pt>
                <c:pt idx="1919">
                  <c:v>8.1585847364562319E-4</c:v>
                </c:pt>
                <c:pt idx="1920">
                  <c:v>8.1574005040988332E-4</c:v>
                </c:pt>
                <c:pt idx="1921">
                  <c:v>8.1562155300382837E-4</c:v>
                </c:pt>
                <c:pt idx="1922">
                  <c:v>8.1550298153502054E-4</c:v>
                </c:pt>
                <c:pt idx="1923">
                  <c:v>8.1538433611081382E-4</c:v>
                </c:pt>
                <c:pt idx="1924">
                  <c:v>8.1526561683835548E-4</c:v>
                </c:pt>
                <c:pt idx="1925">
                  <c:v>8.1514682382458515E-4</c:v>
                </c:pt>
                <c:pt idx="1926">
                  <c:v>8.1502795717623667E-4</c:v>
                </c:pt>
                <c:pt idx="1927">
                  <c:v>8.1490901699983725E-4</c:v>
                </c:pt>
                <c:pt idx="1928">
                  <c:v>8.1479000340170993E-4</c:v>
                </c:pt>
                <c:pt idx="1929">
                  <c:v>8.1467091648797132E-4</c:v>
                </c:pt>
                <c:pt idx="1930">
                  <c:v>8.1455175636453519E-4</c:v>
                </c:pt>
                <c:pt idx="1931">
                  <c:v>8.1443252313711015E-4</c:v>
                </c:pt>
                <c:pt idx="1932">
                  <c:v>8.1431321691120189E-4</c:v>
                </c:pt>
                <c:pt idx="1933">
                  <c:v>8.1419383779211363E-4</c:v>
                </c:pt>
                <c:pt idx="1934">
                  <c:v>8.1407438588494523E-4</c:v>
                </c:pt>
                <c:pt idx="1935">
                  <c:v>8.1395486129459541E-4</c:v>
                </c:pt>
                <c:pt idx="1936">
                  <c:v>8.1383526412576071E-4</c:v>
                </c:pt>
                <c:pt idx="1937">
                  <c:v>8.1371559448293717E-4</c:v>
                </c:pt>
                <c:pt idx="1938">
                  <c:v>8.135958524704205E-4</c:v>
                </c:pt>
                <c:pt idx="1939">
                  <c:v>8.1347603819230581E-4</c:v>
                </c:pt>
                <c:pt idx="1940">
                  <c:v>8.1335615175248904E-4</c:v>
                </c:pt>
                <c:pt idx="1941">
                  <c:v>8.1323619325466667E-4</c:v>
                </c:pt>
                <c:pt idx="1942">
                  <c:v>8.131161628023376E-4</c:v>
                </c:pt>
                <c:pt idx="1943">
                  <c:v>8.1299606049880125E-4</c:v>
                </c:pt>
                <c:pt idx="1944">
                  <c:v>8.1287588644716037E-4</c:v>
                </c:pt>
                <c:pt idx="1945">
                  <c:v>8.1275564075032017E-4</c:v>
                </c:pt>
                <c:pt idx="1946">
                  <c:v>8.1263532351098918E-4</c:v>
                </c:pt>
                <c:pt idx="1947">
                  <c:v>8.1251493483167991E-4</c:v>
                </c:pt>
                <c:pt idx="1948">
                  <c:v>8.1239447481470874E-4</c:v>
                </c:pt>
                <c:pt idx="1949">
                  <c:v>8.1227394356219709E-4</c:v>
                </c:pt>
                <c:pt idx="1950">
                  <c:v>8.1215334117607158E-4</c:v>
                </c:pt>
                <c:pt idx="1951">
                  <c:v>8.1203266775806409E-4</c:v>
                </c:pt>
                <c:pt idx="1952">
                  <c:v>8.1191192340971296E-4</c:v>
                </c:pt>
                <c:pt idx="1953">
                  <c:v>8.1179110823236282E-4</c:v>
                </c:pt>
                <c:pt idx="1954">
                  <c:v>8.1167022232716602E-4</c:v>
                </c:pt>
                <c:pt idx="1955">
                  <c:v>8.1154926579508099E-4</c:v>
                </c:pt>
                <c:pt idx="1956">
                  <c:v>8.1142823873687564E-4</c:v>
                </c:pt>
                <c:pt idx="1957">
                  <c:v>8.1130714125312534E-4</c:v>
                </c:pt>
                <c:pt idx="1958">
                  <c:v>8.1118597344421474E-4</c:v>
                </c:pt>
                <c:pt idx="1959">
                  <c:v>8.1106473541033735E-4</c:v>
                </c:pt>
                <c:pt idx="1960">
                  <c:v>8.1094342725149683E-4</c:v>
                </c:pt>
                <c:pt idx="1961">
                  <c:v>8.1082204906750711E-4</c:v>
                </c:pt>
                <c:pt idx="1962">
                  <c:v>8.1070060095799238E-4</c:v>
                </c:pt>
                <c:pt idx="1963">
                  <c:v>8.1057908302238841E-4</c:v>
                </c:pt>
                <c:pt idx="1964">
                  <c:v>8.1045749535994208E-4</c:v>
                </c:pt>
                <c:pt idx="1965">
                  <c:v>8.1033583806971261E-4</c:v>
                </c:pt>
                <c:pt idx="1966">
                  <c:v>8.1021411125057155E-4</c:v>
                </c:pt>
                <c:pt idx="1967">
                  <c:v>8.1009231500120307E-4</c:v>
                </c:pt>
                <c:pt idx="1968">
                  <c:v>8.0997044942010532E-4</c:v>
                </c:pt>
                <c:pt idx="1969">
                  <c:v>8.0984851460558953E-4</c:v>
                </c:pt>
                <c:pt idx="1970">
                  <c:v>8.0972651065578153E-4</c:v>
                </c:pt>
                <c:pt idx="1971">
                  <c:v>8.0960443766862195E-4</c:v>
                </c:pt>
                <c:pt idx="1972">
                  <c:v>8.0948229574186593E-4</c:v>
                </c:pt>
                <c:pt idx="1973">
                  <c:v>8.0936008497308495E-4</c:v>
                </c:pt>
                <c:pt idx="1974">
                  <c:v>8.0923780545966541E-4</c:v>
                </c:pt>
                <c:pt idx="1975">
                  <c:v>8.0911545729881124E-4</c:v>
                </c:pt>
                <c:pt idx="1976">
                  <c:v>8.0899304058754237E-4</c:v>
                </c:pt>
                <c:pt idx="1977">
                  <c:v>8.0887055542269617E-4</c:v>
                </c:pt>
                <c:pt idx="1978">
                  <c:v>8.0874800190092807E-4</c:v>
                </c:pt>
                <c:pt idx="1979">
                  <c:v>8.0862538011871145E-4</c:v>
                </c:pt>
                <c:pt idx="1980">
                  <c:v>8.0850269017233769E-4</c:v>
                </c:pt>
                <c:pt idx="1981">
                  <c:v>8.0837993215791782E-4</c:v>
                </c:pt>
                <c:pt idx="1982">
                  <c:v>8.0825710617138218E-4</c:v>
                </c:pt>
                <c:pt idx="1983">
                  <c:v>8.0813421230848043E-4</c:v>
                </c:pt>
                <c:pt idx="1984">
                  <c:v>8.0801125066478328E-4</c:v>
                </c:pt>
                <c:pt idx="1985">
                  <c:v>8.0788822133568143E-4</c:v>
                </c:pt>
                <c:pt idx="1986">
                  <c:v>8.0776512441638692E-4</c:v>
                </c:pt>
                <c:pt idx="1987">
                  <c:v>8.0764196000193331E-4</c:v>
                </c:pt>
                <c:pt idx="1988">
                  <c:v>8.0751872818717583E-4</c:v>
                </c:pt>
                <c:pt idx="1989">
                  <c:v>8.0739542906679265E-4</c:v>
                </c:pt>
                <c:pt idx="1990">
                  <c:v>8.0727206273528392E-4</c:v>
                </c:pt>
                <c:pt idx="1991">
                  <c:v>8.071486292869736E-4</c:v>
                </c:pt>
                <c:pt idx="1992">
                  <c:v>8.0702512881600903E-4</c:v>
                </c:pt>
                <c:pt idx="1993">
                  <c:v>8.0690156141636105E-4</c:v>
                </c:pt>
                <c:pt idx="1994">
                  <c:v>8.0677792718182627E-4</c:v>
                </c:pt>
                <c:pt idx="1995">
                  <c:v>8.0665422620602415E-4</c:v>
                </c:pt>
                <c:pt idx="1996">
                  <c:v>8.0653045858240151E-4</c:v>
                </c:pt>
                <c:pt idx="1997">
                  <c:v>8.064066244042287E-4</c:v>
                </c:pt>
                <c:pt idx="1998">
                  <c:v>8.0628272376460388E-4</c:v>
                </c:pt>
                <c:pt idx="1999">
                  <c:v>8.0615875675645076E-4</c:v>
                </c:pt>
                <c:pt idx="2000">
                  <c:v>8.060347234725197E-4</c:v>
                </c:pt>
              </c:numCache>
            </c:numRef>
          </c:yVal>
          <c:smooth val="0"/>
          <c:extLst>
            <c:ext xmlns:c16="http://schemas.microsoft.com/office/drawing/2014/chart" uri="{C3380CC4-5D6E-409C-BE32-E72D297353CC}">
              <c16:uniqueId val="{00000001-AB88-3F43-BD05-B2D0FEA6F225}"/>
            </c:ext>
          </c:extLst>
        </c:ser>
        <c:dLbls>
          <c:showLegendKey val="0"/>
          <c:showVal val="0"/>
          <c:showCatName val="0"/>
          <c:showSerName val="0"/>
          <c:showPercent val="0"/>
          <c:showBubbleSize val="0"/>
        </c:dLbls>
        <c:axId val="117727616"/>
        <c:axId val="117729536"/>
      </c:scatterChart>
      <c:valAx>
        <c:axId val="117727616"/>
        <c:scaling>
          <c:orientation val="minMax"/>
        </c:scaling>
        <c:delete val="0"/>
        <c:axPos val="b"/>
        <c:title>
          <c:tx>
            <c:rich>
              <a:bodyPr/>
              <a:lstStyle/>
              <a:p>
                <a:pPr>
                  <a:defRPr sz="1100" b="0" i="0" u="none" strike="noStrike" baseline="0">
                    <a:solidFill>
                      <a:srgbClr val="000000"/>
                    </a:solidFill>
                    <a:latin typeface="Calibri"/>
                    <a:ea typeface="Calibri"/>
                    <a:cs typeface="Calibri"/>
                  </a:defRPr>
                </a:pPr>
                <a:r>
                  <a:rPr lang="en-US" sz="1100" b="1" i="0" u="none" strike="noStrike" baseline="0">
                    <a:effectLst/>
                  </a:rPr>
                  <a:t>PHOTOSYNTHETIC PHOTON FLUX DENSITY</a:t>
                </a:r>
                <a:r>
                  <a:rPr lang="en-US" sz="1000" b="1" i="0" u="none" strike="noStrike" baseline="0">
                    <a:solidFill>
                      <a:srgbClr val="000000"/>
                    </a:solidFill>
                    <a:latin typeface="Arial"/>
                    <a:cs typeface="Arial"/>
                  </a:rPr>
                  <a:t> [</a:t>
                </a:r>
                <a:r>
                  <a:rPr lang="en-US" sz="1000" b="1" i="0" u="none" strike="noStrike" baseline="0">
                    <a:solidFill>
                      <a:srgbClr val="000000"/>
                    </a:solidFill>
                    <a:latin typeface="Symbol"/>
                    <a:cs typeface="Arial"/>
                  </a:rPr>
                  <a:t>m</a:t>
                </a:r>
                <a:r>
                  <a:rPr lang="en-US" sz="1000" b="1" i="0" u="none" strike="noStrike" baseline="0">
                    <a:solidFill>
                      <a:srgbClr val="000000"/>
                    </a:solidFill>
                    <a:latin typeface="Arial"/>
                    <a:cs typeface="Arial"/>
                  </a:rPr>
                  <a:t>mol (photons) m</a:t>
                </a:r>
                <a:r>
                  <a:rPr lang="en-US" sz="1000" b="1" i="0" u="none" strike="noStrike" baseline="30000">
                    <a:solidFill>
                      <a:srgbClr val="000000"/>
                    </a:solidFill>
                    <a:latin typeface="Arial"/>
                    <a:cs typeface="Arial"/>
                  </a:rPr>
                  <a:t>-2</a:t>
                </a:r>
                <a:r>
                  <a:rPr lang="en-US" sz="1000" b="1" i="0" u="none" strike="noStrike" baseline="0">
                    <a:solidFill>
                      <a:srgbClr val="000000"/>
                    </a:solidFill>
                    <a:latin typeface="Arial"/>
                    <a:cs typeface="Arial"/>
                  </a:rPr>
                  <a:t> s</a:t>
                </a:r>
                <a:r>
                  <a:rPr lang="en-US" sz="1000" b="1" i="0" u="none" strike="noStrike" baseline="30000">
                    <a:solidFill>
                      <a:srgbClr val="000000"/>
                    </a:solidFill>
                    <a:latin typeface="Arial"/>
                    <a:cs typeface="Arial"/>
                  </a:rPr>
                  <a:t>-1</a:t>
                </a:r>
                <a:r>
                  <a:rPr lang="en-US" sz="1000" b="1" i="0" u="none" strike="noStrike" baseline="0">
                    <a:solidFill>
                      <a:srgbClr val="000000"/>
                    </a:solidFill>
                    <a:latin typeface="Arial"/>
                    <a:cs typeface="Arial"/>
                  </a:rPr>
                  <a:t>]</a:t>
                </a:r>
                <a:endParaRPr lang="en-US"/>
              </a:p>
            </c:rich>
          </c:tx>
          <c:layout>
            <c:manualLayout>
              <c:xMode val="edge"/>
              <c:yMode val="edge"/>
              <c:x val="0.31068012129551775"/>
              <c:y val="0.8625459317585302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729536"/>
        <c:crosses val="autoZero"/>
        <c:crossBetween val="midCat"/>
        <c:majorUnit val="250"/>
      </c:valAx>
      <c:valAx>
        <c:axId val="117729536"/>
        <c:scaling>
          <c:orientation val="minMax"/>
        </c:scaling>
        <c:delete val="0"/>
        <c:axPos val="l"/>
        <c:title>
          <c:tx>
            <c:rich>
              <a:bodyPr/>
              <a:lstStyle/>
              <a:p>
                <a:pPr>
                  <a:defRPr sz="1100" b="0" i="0" u="none" strike="noStrike" baseline="0">
                    <a:solidFill>
                      <a:srgbClr val="000000"/>
                    </a:solidFill>
                    <a:latin typeface="Calibri"/>
                    <a:ea typeface="Calibri"/>
                    <a:cs typeface="Calibri"/>
                  </a:defRPr>
                </a:pPr>
                <a:r>
                  <a:rPr lang="en-US" sz="1000" b="1" i="0" u="none" strike="noStrike" baseline="0">
                    <a:solidFill>
                      <a:srgbClr val="000000"/>
                    </a:solidFill>
                    <a:latin typeface="Arial"/>
                    <a:cs typeface="Arial"/>
                  </a:rPr>
                  <a:t>NET PHOTOSYNTHESIS RATE</a:t>
                </a:r>
              </a:p>
              <a:p>
                <a:pPr>
                  <a:defRPr sz="1100" b="0" i="0" u="none" strike="noStrike" baseline="0">
                    <a:solidFill>
                      <a:srgbClr val="000000"/>
                    </a:solidFill>
                    <a:latin typeface="Calibri"/>
                    <a:ea typeface="Calibri"/>
                    <a:cs typeface="Calibri"/>
                  </a:defRPr>
                </a:pPr>
                <a:r>
                  <a:rPr lang="en-US" sz="1000" b="1" i="0" u="none" strike="noStrike" baseline="0">
                    <a:solidFill>
                      <a:srgbClr val="000000"/>
                    </a:solidFill>
                    <a:latin typeface="Arial"/>
                    <a:cs typeface="Arial"/>
                  </a:rPr>
                  <a:t>[</a:t>
                </a:r>
                <a:r>
                  <a:rPr lang="en-US" sz="1000" b="1" i="0" u="none" strike="noStrike" baseline="0">
                    <a:solidFill>
                      <a:srgbClr val="000000"/>
                    </a:solidFill>
                    <a:latin typeface="Symbol"/>
                    <a:cs typeface="Arial"/>
                  </a:rPr>
                  <a:t>m</a:t>
                </a:r>
                <a:r>
                  <a:rPr lang="en-US" sz="1000" b="1" i="0" u="none" strike="noStrike" baseline="0">
                    <a:solidFill>
                      <a:srgbClr val="000000"/>
                    </a:solidFill>
                    <a:latin typeface="Arial"/>
                    <a:cs typeface="Arial"/>
                  </a:rPr>
                  <a:t>mol (CO</a:t>
                </a:r>
                <a:r>
                  <a:rPr lang="en-US" sz="1000" b="1" i="0" u="none" strike="noStrike" baseline="-25000">
                    <a:solidFill>
                      <a:srgbClr val="000000"/>
                    </a:solidFill>
                    <a:latin typeface="Arial"/>
                    <a:cs typeface="Arial"/>
                  </a:rPr>
                  <a:t>2</a:t>
                </a:r>
                <a:r>
                  <a:rPr lang="en-US" sz="1000" b="1" i="0" u="none" strike="noStrike" baseline="0">
                    <a:solidFill>
                      <a:srgbClr val="000000"/>
                    </a:solidFill>
                    <a:latin typeface="Arial"/>
                    <a:cs typeface="Arial"/>
                  </a:rPr>
                  <a:t>) m</a:t>
                </a:r>
                <a:r>
                  <a:rPr lang="en-US" sz="1000" b="1" i="0" u="none" strike="noStrike" baseline="30000">
                    <a:solidFill>
                      <a:srgbClr val="000000"/>
                    </a:solidFill>
                    <a:latin typeface="Arial"/>
                    <a:cs typeface="Arial"/>
                  </a:rPr>
                  <a:t>-2</a:t>
                </a:r>
                <a:r>
                  <a:rPr lang="en-US" sz="1000" b="1" i="0" u="none" strike="noStrike" baseline="0">
                    <a:solidFill>
                      <a:srgbClr val="000000"/>
                    </a:solidFill>
                    <a:latin typeface="Arial"/>
                    <a:cs typeface="Arial"/>
                  </a:rPr>
                  <a:t> s</a:t>
                </a:r>
                <a:r>
                  <a:rPr lang="en-US" sz="1000" b="1" i="0" u="none" strike="noStrike" baseline="30000">
                    <a:solidFill>
                      <a:srgbClr val="000000"/>
                    </a:solidFill>
                    <a:latin typeface="Arial"/>
                    <a:cs typeface="Arial"/>
                  </a:rPr>
                  <a:t>-1</a:t>
                </a:r>
                <a:r>
                  <a:rPr lang="en-US" sz="1000" b="1" i="0" u="none" strike="noStrike" baseline="0">
                    <a:solidFill>
                      <a:srgbClr val="000000"/>
                    </a:solidFill>
                    <a:latin typeface="Arial"/>
                    <a:cs typeface="Arial"/>
                  </a:rPr>
                  <a:t>]</a:t>
                </a:r>
                <a:endParaRPr lang="en-US"/>
              </a:p>
            </c:rich>
          </c:tx>
          <c:layout>
            <c:manualLayout>
              <c:xMode val="edge"/>
              <c:yMode val="edge"/>
              <c:x val="2.5889967637540458E-2"/>
              <c:y val="0.19931332907710864"/>
            </c:manualLayout>
          </c:layout>
          <c:overlay val="0"/>
          <c:spPr>
            <a:noFill/>
            <a:ln w="25400">
              <a:noFill/>
            </a:ln>
          </c:spPr>
        </c:title>
        <c:numFmt formatCode="0.00000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727616"/>
        <c:crosses val="autoZero"/>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0.98425196899999956" l="0.78740157499999996" r="0.78740157499999996" t="0.98425196899999956" header="0.49212598500000038" footer="0.49212598500000038"/>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508897532639543"/>
          <c:y val="0.10101043314141789"/>
          <c:w val="0.80129303918637618"/>
          <c:h val="0.64983378654312185"/>
        </c:manualLayout>
      </c:layout>
      <c:scatterChart>
        <c:scatterStyle val="lineMarker"/>
        <c:varyColors val="0"/>
        <c:ser>
          <c:idx val="1"/>
          <c:order val="0"/>
          <c:spPr>
            <a:ln w="3175">
              <a:solidFill>
                <a:srgbClr val="000000"/>
              </a:solidFill>
              <a:prstDash val="solid"/>
            </a:ln>
          </c:spPr>
          <c:marker>
            <c:symbol val="none"/>
          </c:marker>
          <c:xVal>
            <c:numRef>
              <c:f>'Fitting Equation 11'!$J$9:$J$2009</c:f>
              <c:numCache>
                <c:formatCode>General</c:formatCode>
                <c:ptCount val="20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pt idx="746">
                  <c:v>746</c:v>
                </c:pt>
                <c:pt idx="747">
                  <c:v>747</c:v>
                </c:pt>
                <c:pt idx="748">
                  <c:v>748</c:v>
                </c:pt>
                <c:pt idx="749">
                  <c:v>749</c:v>
                </c:pt>
                <c:pt idx="750">
                  <c:v>750</c:v>
                </c:pt>
                <c:pt idx="751">
                  <c:v>751</c:v>
                </c:pt>
                <c:pt idx="752">
                  <c:v>752</c:v>
                </c:pt>
                <c:pt idx="753">
                  <c:v>753</c:v>
                </c:pt>
                <c:pt idx="754">
                  <c:v>754</c:v>
                </c:pt>
                <c:pt idx="755">
                  <c:v>755</c:v>
                </c:pt>
                <c:pt idx="756">
                  <c:v>756</c:v>
                </c:pt>
                <c:pt idx="757">
                  <c:v>757</c:v>
                </c:pt>
                <c:pt idx="758">
                  <c:v>758</c:v>
                </c:pt>
                <c:pt idx="759">
                  <c:v>759</c:v>
                </c:pt>
                <c:pt idx="760">
                  <c:v>760</c:v>
                </c:pt>
                <c:pt idx="761">
                  <c:v>761</c:v>
                </c:pt>
                <c:pt idx="762">
                  <c:v>762</c:v>
                </c:pt>
                <c:pt idx="763">
                  <c:v>763</c:v>
                </c:pt>
                <c:pt idx="764">
                  <c:v>764</c:v>
                </c:pt>
                <c:pt idx="765">
                  <c:v>765</c:v>
                </c:pt>
                <c:pt idx="766">
                  <c:v>766</c:v>
                </c:pt>
                <c:pt idx="767">
                  <c:v>767</c:v>
                </c:pt>
                <c:pt idx="768">
                  <c:v>768</c:v>
                </c:pt>
                <c:pt idx="769">
                  <c:v>769</c:v>
                </c:pt>
                <c:pt idx="770">
                  <c:v>770</c:v>
                </c:pt>
                <c:pt idx="771">
                  <c:v>771</c:v>
                </c:pt>
                <c:pt idx="772">
                  <c:v>772</c:v>
                </c:pt>
                <c:pt idx="773">
                  <c:v>773</c:v>
                </c:pt>
                <c:pt idx="774">
                  <c:v>774</c:v>
                </c:pt>
                <c:pt idx="775">
                  <c:v>775</c:v>
                </c:pt>
                <c:pt idx="776">
                  <c:v>776</c:v>
                </c:pt>
                <c:pt idx="777">
                  <c:v>777</c:v>
                </c:pt>
                <c:pt idx="778">
                  <c:v>778</c:v>
                </c:pt>
                <c:pt idx="779">
                  <c:v>779</c:v>
                </c:pt>
                <c:pt idx="780">
                  <c:v>780</c:v>
                </c:pt>
                <c:pt idx="781">
                  <c:v>781</c:v>
                </c:pt>
                <c:pt idx="782">
                  <c:v>782</c:v>
                </c:pt>
                <c:pt idx="783">
                  <c:v>783</c:v>
                </c:pt>
                <c:pt idx="784">
                  <c:v>784</c:v>
                </c:pt>
                <c:pt idx="785">
                  <c:v>785</c:v>
                </c:pt>
                <c:pt idx="786">
                  <c:v>786</c:v>
                </c:pt>
                <c:pt idx="787">
                  <c:v>787</c:v>
                </c:pt>
                <c:pt idx="788">
                  <c:v>788</c:v>
                </c:pt>
                <c:pt idx="789">
                  <c:v>789</c:v>
                </c:pt>
                <c:pt idx="790">
                  <c:v>790</c:v>
                </c:pt>
                <c:pt idx="791">
                  <c:v>791</c:v>
                </c:pt>
                <c:pt idx="792">
                  <c:v>792</c:v>
                </c:pt>
                <c:pt idx="793">
                  <c:v>793</c:v>
                </c:pt>
                <c:pt idx="794">
                  <c:v>794</c:v>
                </c:pt>
                <c:pt idx="795">
                  <c:v>795</c:v>
                </c:pt>
                <c:pt idx="796">
                  <c:v>796</c:v>
                </c:pt>
                <c:pt idx="797">
                  <c:v>797</c:v>
                </c:pt>
                <c:pt idx="798">
                  <c:v>798</c:v>
                </c:pt>
                <c:pt idx="799">
                  <c:v>799</c:v>
                </c:pt>
                <c:pt idx="800">
                  <c:v>800</c:v>
                </c:pt>
                <c:pt idx="801">
                  <c:v>801</c:v>
                </c:pt>
                <c:pt idx="802">
                  <c:v>802</c:v>
                </c:pt>
                <c:pt idx="803">
                  <c:v>803</c:v>
                </c:pt>
                <c:pt idx="804">
                  <c:v>804</c:v>
                </c:pt>
                <c:pt idx="805">
                  <c:v>805</c:v>
                </c:pt>
                <c:pt idx="806">
                  <c:v>806</c:v>
                </c:pt>
                <c:pt idx="807">
                  <c:v>807</c:v>
                </c:pt>
                <c:pt idx="808">
                  <c:v>808</c:v>
                </c:pt>
                <c:pt idx="809">
                  <c:v>809</c:v>
                </c:pt>
                <c:pt idx="810">
                  <c:v>810</c:v>
                </c:pt>
                <c:pt idx="811">
                  <c:v>811</c:v>
                </c:pt>
                <c:pt idx="812">
                  <c:v>812</c:v>
                </c:pt>
                <c:pt idx="813">
                  <c:v>813</c:v>
                </c:pt>
                <c:pt idx="814">
                  <c:v>814</c:v>
                </c:pt>
                <c:pt idx="815">
                  <c:v>815</c:v>
                </c:pt>
                <c:pt idx="816">
                  <c:v>816</c:v>
                </c:pt>
                <c:pt idx="817">
                  <c:v>817</c:v>
                </c:pt>
                <c:pt idx="818">
                  <c:v>818</c:v>
                </c:pt>
                <c:pt idx="819">
                  <c:v>819</c:v>
                </c:pt>
                <c:pt idx="820">
                  <c:v>820</c:v>
                </c:pt>
                <c:pt idx="821">
                  <c:v>821</c:v>
                </c:pt>
                <c:pt idx="822">
                  <c:v>822</c:v>
                </c:pt>
                <c:pt idx="823">
                  <c:v>823</c:v>
                </c:pt>
                <c:pt idx="824">
                  <c:v>824</c:v>
                </c:pt>
                <c:pt idx="825">
                  <c:v>825</c:v>
                </c:pt>
                <c:pt idx="826">
                  <c:v>826</c:v>
                </c:pt>
                <c:pt idx="827">
                  <c:v>827</c:v>
                </c:pt>
                <c:pt idx="828">
                  <c:v>828</c:v>
                </c:pt>
                <c:pt idx="829">
                  <c:v>829</c:v>
                </c:pt>
                <c:pt idx="830">
                  <c:v>830</c:v>
                </c:pt>
                <c:pt idx="831">
                  <c:v>831</c:v>
                </c:pt>
                <c:pt idx="832">
                  <c:v>832</c:v>
                </c:pt>
                <c:pt idx="833">
                  <c:v>833</c:v>
                </c:pt>
                <c:pt idx="834">
                  <c:v>834</c:v>
                </c:pt>
                <c:pt idx="835">
                  <c:v>835</c:v>
                </c:pt>
                <c:pt idx="836">
                  <c:v>836</c:v>
                </c:pt>
                <c:pt idx="837">
                  <c:v>837</c:v>
                </c:pt>
                <c:pt idx="838">
                  <c:v>838</c:v>
                </c:pt>
                <c:pt idx="839">
                  <c:v>839</c:v>
                </c:pt>
                <c:pt idx="840">
                  <c:v>840</c:v>
                </c:pt>
                <c:pt idx="841">
                  <c:v>841</c:v>
                </c:pt>
                <c:pt idx="842">
                  <c:v>842</c:v>
                </c:pt>
                <c:pt idx="843">
                  <c:v>843</c:v>
                </c:pt>
                <c:pt idx="844">
                  <c:v>844</c:v>
                </c:pt>
                <c:pt idx="845">
                  <c:v>845</c:v>
                </c:pt>
                <c:pt idx="846">
                  <c:v>846</c:v>
                </c:pt>
                <c:pt idx="847">
                  <c:v>847</c:v>
                </c:pt>
                <c:pt idx="848">
                  <c:v>848</c:v>
                </c:pt>
                <c:pt idx="849">
                  <c:v>849</c:v>
                </c:pt>
                <c:pt idx="850">
                  <c:v>850</c:v>
                </c:pt>
                <c:pt idx="851">
                  <c:v>851</c:v>
                </c:pt>
                <c:pt idx="852">
                  <c:v>852</c:v>
                </c:pt>
                <c:pt idx="853">
                  <c:v>853</c:v>
                </c:pt>
                <c:pt idx="854">
                  <c:v>854</c:v>
                </c:pt>
                <c:pt idx="855">
                  <c:v>855</c:v>
                </c:pt>
                <c:pt idx="856">
                  <c:v>856</c:v>
                </c:pt>
                <c:pt idx="857">
                  <c:v>857</c:v>
                </c:pt>
                <c:pt idx="858">
                  <c:v>858</c:v>
                </c:pt>
                <c:pt idx="859">
                  <c:v>859</c:v>
                </c:pt>
                <c:pt idx="860">
                  <c:v>860</c:v>
                </c:pt>
                <c:pt idx="861">
                  <c:v>861</c:v>
                </c:pt>
                <c:pt idx="862">
                  <c:v>862</c:v>
                </c:pt>
                <c:pt idx="863">
                  <c:v>863</c:v>
                </c:pt>
                <c:pt idx="864">
                  <c:v>864</c:v>
                </c:pt>
                <c:pt idx="865">
                  <c:v>865</c:v>
                </c:pt>
                <c:pt idx="866">
                  <c:v>866</c:v>
                </c:pt>
                <c:pt idx="867">
                  <c:v>867</c:v>
                </c:pt>
                <c:pt idx="868">
                  <c:v>868</c:v>
                </c:pt>
                <c:pt idx="869">
                  <c:v>869</c:v>
                </c:pt>
                <c:pt idx="870">
                  <c:v>870</c:v>
                </c:pt>
                <c:pt idx="871">
                  <c:v>871</c:v>
                </c:pt>
                <c:pt idx="872">
                  <c:v>872</c:v>
                </c:pt>
                <c:pt idx="873">
                  <c:v>873</c:v>
                </c:pt>
                <c:pt idx="874">
                  <c:v>874</c:v>
                </c:pt>
                <c:pt idx="875">
                  <c:v>875</c:v>
                </c:pt>
                <c:pt idx="876">
                  <c:v>876</c:v>
                </c:pt>
                <c:pt idx="877">
                  <c:v>877</c:v>
                </c:pt>
                <c:pt idx="878">
                  <c:v>878</c:v>
                </c:pt>
                <c:pt idx="879">
                  <c:v>879</c:v>
                </c:pt>
                <c:pt idx="880">
                  <c:v>880</c:v>
                </c:pt>
                <c:pt idx="881">
                  <c:v>881</c:v>
                </c:pt>
                <c:pt idx="882">
                  <c:v>882</c:v>
                </c:pt>
                <c:pt idx="883">
                  <c:v>883</c:v>
                </c:pt>
                <c:pt idx="884">
                  <c:v>884</c:v>
                </c:pt>
                <c:pt idx="885">
                  <c:v>885</c:v>
                </c:pt>
                <c:pt idx="886">
                  <c:v>886</c:v>
                </c:pt>
                <c:pt idx="887">
                  <c:v>887</c:v>
                </c:pt>
                <c:pt idx="888">
                  <c:v>888</c:v>
                </c:pt>
                <c:pt idx="889">
                  <c:v>889</c:v>
                </c:pt>
                <c:pt idx="890">
                  <c:v>890</c:v>
                </c:pt>
                <c:pt idx="891">
                  <c:v>891</c:v>
                </c:pt>
                <c:pt idx="892">
                  <c:v>892</c:v>
                </c:pt>
                <c:pt idx="893">
                  <c:v>893</c:v>
                </c:pt>
                <c:pt idx="894">
                  <c:v>894</c:v>
                </c:pt>
                <c:pt idx="895">
                  <c:v>895</c:v>
                </c:pt>
                <c:pt idx="896">
                  <c:v>896</c:v>
                </c:pt>
                <c:pt idx="897">
                  <c:v>897</c:v>
                </c:pt>
                <c:pt idx="898">
                  <c:v>898</c:v>
                </c:pt>
                <c:pt idx="899">
                  <c:v>899</c:v>
                </c:pt>
                <c:pt idx="900">
                  <c:v>900</c:v>
                </c:pt>
                <c:pt idx="901">
                  <c:v>901</c:v>
                </c:pt>
                <c:pt idx="902">
                  <c:v>902</c:v>
                </c:pt>
                <c:pt idx="903">
                  <c:v>903</c:v>
                </c:pt>
                <c:pt idx="904">
                  <c:v>904</c:v>
                </c:pt>
                <c:pt idx="905">
                  <c:v>905</c:v>
                </c:pt>
                <c:pt idx="906">
                  <c:v>906</c:v>
                </c:pt>
                <c:pt idx="907">
                  <c:v>907</c:v>
                </c:pt>
                <c:pt idx="908">
                  <c:v>908</c:v>
                </c:pt>
                <c:pt idx="909">
                  <c:v>909</c:v>
                </c:pt>
                <c:pt idx="910">
                  <c:v>910</c:v>
                </c:pt>
                <c:pt idx="911">
                  <c:v>911</c:v>
                </c:pt>
                <c:pt idx="912">
                  <c:v>912</c:v>
                </c:pt>
                <c:pt idx="913">
                  <c:v>913</c:v>
                </c:pt>
                <c:pt idx="914">
                  <c:v>914</c:v>
                </c:pt>
                <c:pt idx="915">
                  <c:v>915</c:v>
                </c:pt>
                <c:pt idx="916">
                  <c:v>916</c:v>
                </c:pt>
                <c:pt idx="917">
                  <c:v>917</c:v>
                </c:pt>
                <c:pt idx="918">
                  <c:v>918</c:v>
                </c:pt>
                <c:pt idx="919">
                  <c:v>919</c:v>
                </c:pt>
                <c:pt idx="920">
                  <c:v>920</c:v>
                </c:pt>
                <c:pt idx="921">
                  <c:v>921</c:v>
                </c:pt>
                <c:pt idx="922">
                  <c:v>922</c:v>
                </c:pt>
                <c:pt idx="923">
                  <c:v>923</c:v>
                </c:pt>
                <c:pt idx="924">
                  <c:v>924</c:v>
                </c:pt>
                <c:pt idx="925">
                  <c:v>925</c:v>
                </c:pt>
                <c:pt idx="926">
                  <c:v>926</c:v>
                </c:pt>
                <c:pt idx="927">
                  <c:v>927</c:v>
                </c:pt>
                <c:pt idx="928">
                  <c:v>928</c:v>
                </c:pt>
                <c:pt idx="929">
                  <c:v>929</c:v>
                </c:pt>
                <c:pt idx="930">
                  <c:v>930</c:v>
                </c:pt>
                <c:pt idx="931">
                  <c:v>931</c:v>
                </c:pt>
                <c:pt idx="932">
                  <c:v>932</c:v>
                </c:pt>
                <c:pt idx="933">
                  <c:v>933</c:v>
                </c:pt>
                <c:pt idx="934">
                  <c:v>934</c:v>
                </c:pt>
                <c:pt idx="935">
                  <c:v>935</c:v>
                </c:pt>
                <c:pt idx="936">
                  <c:v>936</c:v>
                </c:pt>
                <c:pt idx="937">
                  <c:v>937</c:v>
                </c:pt>
                <c:pt idx="938">
                  <c:v>938</c:v>
                </c:pt>
                <c:pt idx="939">
                  <c:v>939</c:v>
                </c:pt>
                <c:pt idx="940">
                  <c:v>940</c:v>
                </c:pt>
                <c:pt idx="941">
                  <c:v>941</c:v>
                </c:pt>
                <c:pt idx="942">
                  <c:v>942</c:v>
                </c:pt>
                <c:pt idx="943">
                  <c:v>943</c:v>
                </c:pt>
                <c:pt idx="944">
                  <c:v>944</c:v>
                </c:pt>
                <c:pt idx="945">
                  <c:v>945</c:v>
                </c:pt>
                <c:pt idx="946">
                  <c:v>946</c:v>
                </c:pt>
                <c:pt idx="947">
                  <c:v>947</c:v>
                </c:pt>
                <c:pt idx="948">
                  <c:v>948</c:v>
                </c:pt>
                <c:pt idx="949">
                  <c:v>949</c:v>
                </c:pt>
                <c:pt idx="950">
                  <c:v>950</c:v>
                </c:pt>
                <c:pt idx="951">
                  <c:v>951</c:v>
                </c:pt>
                <c:pt idx="952">
                  <c:v>952</c:v>
                </c:pt>
                <c:pt idx="953">
                  <c:v>953</c:v>
                </c:pt>
                <c:pt idx="954">
                  <c:v>954</c:v>
                </c:pt>
                <c:pt idx="955">
                  <c:v>955</c:v>
                </c:pt>
                <c:pt idx="956">
                  <c:v>956</c:v>
                </c:pt>
                <c:pt idx="957">
                  <c:v>957</c:v>
                </c:pt>
                <c:pt idx="958">
                  <c:v>958</c:v>
                </c:pt>
                <c:pt idx="959">
                  <c:v>959</c:v>
                </c:pt>
                <c:pt idx="960">
                  <c:v>960</c:v>
                </c:pt>
                <c:pt idx="961">
                  <c:v>961</c:v>
                </c:pt>
                <c:pt idx="962">
                  <c:v>962</c:v>
                </c:pt>
                <c:pt idx="963">
                  <c:v>963</c:v>
                </c:pt>
                <c:pt idx="964">
                  <c:v>964</c:v>
                </c:pt>
                <c:pt idx="965">
                  <c:v>965</c:v>
                </c:pt>
                <c:pt idx="966">
                  <c:v>966</c:v>
                </c:pt>
                <c:pt idx="967">
                  <c:v>967</c:v>
                </c:pt>
                <c:pt idx="968">
                  <c:v>968</c:v>
                </c:pt>
                <c:pt idx="969">
                  <c:v>969</c:v>
                </c:pt>
                <c:pt idx="970">
                  <c:v>970</c:v>
                </c:pt>
                <c:pt idx="971">
                  <c:v>971</c:v>
                </c:pt>
                <c:pt idx="972">
                  <c:v>972</c:v>
                </c:pt>
                <c:pt idx="973">
                  <c:v>973</c:v>
                </c:pt>
                <c:pt idx="974">
                  <c:v>974</c:v>
                </c:pt>
                <c:pt idx="975">
                  <c:v>975</c:v>
                </c:pt>
                <c:pt idx="976">
                  <c:v>976</c:v>
                </c:pt>
                <c:pt idx="977">
                  <c:v>977</c:v>
                </c:pt>
                <c:pt idx="978">
                  <c:v>978</c:v>
                </c:pt>
                <c:pt idx="979">
                  <c:v>979</c:v>
                </c:pt>
                <c:pt idx="980">
                  <c:v>980</c:v>
                </c:pt>
                <c:pt idx="981">
                  <c:v>981</c:v>
                </c:pt>
                <c:pt idx="982">
                  <c:v>982</c:v>
                </c:pt>
                <c:pt idx="983">
                  <c:v>983</c:v>
                </c:pt>
                <c:pt idx="984">
                  <c:v>984</c:v>
                </c:pt>
                <c:pt idx="985">
                  <c:v>985</c:v>
                </c:pt>
                <c:pt idx="986">
                  <c:v>986</c:v>
                </c:pt>
                <c:pt idx="987">
                  <c:v>987</c:v>
                </c:pt>
                <c:pt idx="988">
                  <c:v>988</c:v>
                </c:pt>
                <c:pt idx="989">
                  <c:v>989</c:v>
                </c:pt>
                <c:pt idx="990">
                  <c:v>990</c:v>
                </c:pt>
                <c:pt idx="991">
                  <c:v>991</c:v>
                </c:pt>
                <c:pt idx="992">
                  <c:v>992</c:v>
                </c:pt>
                <c:pt idx="993">
                  <c:v>993</c:v>
                </c:pt>
                <c:pt idx="994">
                  <c:v>994</c:v>
                </c:pt>
                <c:pt idx="995">
                  <c:v>995</c:v>
                </c:pt>
                <c:pt idx="996">
                  <c:v>996</c:v>
                </c:pt>
                <c:pt idx="997">
                  <c:v>997</c:v>
                </c:pt>
                <c:pt idx="998">
                  <c:v>998</c:v>
                </c:pt>
                <c:pt idx="999">
                  <c:v>999</c:v>
                </c:pt>
                <c:pt idx="1000">
                  <c:v>1000</c:v>
                </c:pt>
                <c:pt idx="1001">
                  <c:v>1001</c:v>
                </c:pt>
                <c:pt idx="1002">
                  <c:v>1002</c:v>
                </c:pt>
                <c:pt idx="1003">
                  <c:v>1003</c:v>
                </c:pt>
                <c:pt idx="1004">
                  <c:v>1004</c:v>
                </c:pt>
                <c:pt idx="1005">
                  <c:v>1005</c:v>
                </c:pt>
                <c:pt idx="1006">
                  <c:v>1006</c:v>
                </c:pt>
                <c:pt idx="1007">
                  <c:v>1007</c:v>
                </c:pt>
                <c:pt idx="1008">
                  <c:v>1008</c:v>
                </c:pt>
                <c:pt idx="1009">
                  <c:v>1009</c:v>
                </c:pt>
                <c:pt idx="1010">
                  <c:v>1010</c:v>
                </c:pt>
                <c:pt idx="1011">
                  <c:v>1011</c:v>
                </c:pt>
                <c:pt idx="1012">
                  <c:v>1012</c:v>
                </c:pt>
                <c:pt idx="1013">
                  <c:v>1013</c:v>
                </c:pt>
                <c:pt idx="1014">
                  <c:v>1014</c:v>
                </c:pt>
                <c:pt idx="1015">
                  <c:v>1015</c:v>
                </c:pt>
                <c:pt idx="1016">
                  <c:v>1016</c:v>
                </c:pt>
                <c:pt idx="1017">
                  <c:v>1017</c:v>
                </c:pt>
                <c:pt idx="1018">
                  <c:v>1018</c:v>
                </c:pt>
                <c:pt idx="1019">
                  <c:v>1019</c:v>
                </c:pt>
                <c:pt idx="1020">
                  <c:v>1020</c:v>
                </c:pt>
                <c:pt idx="1021">
                  <c:v>1021</c:v>
                </c:pt>
                <c:pt idx="1022">
                  <c:v>1022</c:v>
                </c:pt>
                <c:pt idx="1023">
                  <c:v>1023</c:v>
                </c:pt>
                <c:pt idx="1024">
                  <c:v>1024</c:v>
                </c:pt>
                <c:pt idx="1025">
                  <c:v>1025</c:v>
                </c:pt>
                <c:pt idx="1026">
                  <c:v>1026</c:v>
                </c:pt>
                <c:pt idx="1027">
                  <c:v>1027</c:v>
                </c:pt>
                <c:pt idx="1028">
                  <c:v>1028</c:v>
                </c:pt>
                <c:pt idx="1029">
                  <c:v>1029</c:v>
                </c:pt>
                <c:pt idx="1030">
                  <c:v>1030</c:v>
                </c:pt>
                <c:pt idx="1031">
                  <c:v>1031</c:v>
                </c:pt>
                <c:pt idx="1032">
                  <c:v>1032</c:v>
                </c:pt>
                <c:pt idx="1033">
                  <c:v>1033</c:v>
                </c:pt>
                <c:pt idx="1034">
                  <c:v>1034</c:v>
                </c:pt>
                <c:pt idx="1035">
                  <c:v>1035</c:v>
                </c:pt>
                <c:pt idx="1036">
                  <c:v>1036</c:v>
                </c:pt>
                <c:pt idx="1037">
                  <c:v>1037</c:v>
                </c:pt>
                <c:pt idx="1038">
                  <c:v>1038</c:v>
                </c:pt>
                <c:pt idx="1039">
                  <c:v>1039</c:v>
                </c:pt>
                <c:pt idx="1040">
                  <c:v>1040</c:v>
                </c:pt>
                <c:pt idx="1041">
                  <c:v>1041</c:v>
                </c:pt>
                <c:pt idx="1042">
                  <c:v>1042</c:v>
                </c:pt>
                <c:pt idx="1043">
                  <c:v>1043</c:v>
                </c:pt>
                <c:pt idx="1044">
                  <c:v>1044</c:v>
                </c:pt>
                <c:pt idx="1045">
                  <c:v>1045</c:v>
                </c:pt>
                <c:pt idx="1046">
                  <c:v>1046</c:v>
                </c:pt>
                <c:pt idx="1047">
                  <c:v>1047</c:v>
                </c:pt>
                <c:pt idx="1048">
                  <c:v>1048</c:v>
                </c:pt>
                <c:pt idx="1049">
                  <c:v>1049</c:v>
                </c:pt>
                <c:pt idx="1050">
                  <c:v>1050</c:v>
                </c:pt>
                <c:pt idx="1051">
                  <c:v>1051</c:v>
                </c:pt>
                <c:pt idx="1052">
                  <c:v>1052</c:v>
                </c:pt>
                <c:pt idx="1053">
                  <c:v>1053</c:v>
                </c:pt>
                <c:pt idx="1054">
                  <c:v>1054</c:v>
                </c:pt>
                <c:pt idx="1055">
                  <c:v>1055</c:v>
                </c:pt>
                <c:pt idx="1056">
                  <c:v>1056</c:v>
                </c:pt>
                <c:pt idx="1057">
                  <c:v>1057</c:v>
                </c:pt>
                <c:pt idx="1058">
                  <c:v>1058</c:v>
                </c:pt>
                <c:pt idx="1059">
                  <c:v>1059</c:v>
                </c:pt>
                <c:pt idx="1060">
                  <c:v>1060</c:v>
                </c:pt>
                <c:pt idx="1061">
                  <c:v>1061</c:v>
                </c:pt>
                <c:pt idx="1062">
                  <c:v>1062</c:v>
                </c:pt>
                <c:pt idx="1063">
                  <c:v>1063</c:v>
                </c:pt>
                <c:pt idx="1064">
                  <c:v>1064</c:v>
                </c:pt>
                <c:pt idx="1065">
                  <c:v>1065</c:v>
                </c:pt>
                <c:pt idx="1066">
                  <c:v>1066</c:v>
                </c:pt>
                <c:pt idx="1067">
                  <c:v>1067</c:v>
                </c:pt>
                <c:pt idx="1068">
                  <c:v>1068</c:v>
                </c:pt>
                <c:pt idx="1069">
                  <c:v>1069</c:v>
                </c:pt>
                <c:pt idx="1070">
                  <c:v>1070</c:v>
                </c:pt>
                <c:pt idx="1071">
                  <c:v>1071</c:v>
                </c:pt>
                <c:pt idx="1072">
                  <c:v>1072</c:v>
                </c:pt>
                <c:pt idx="1073">
                  <c:v>1073</c:v>
                </c:pt>
                <c:pt idx="1074">
                  <c:v>1074</c:v>
                </c:pt>
                <c:pt idx="1075">
                  <c:v>1075</c:v>
                </c:pt>
                <c:pt idx="1076">
                  <c:v>1076</c:v>
                </c:pt>
                <c:pt idx="1077">
                  <c:v>1077</c:v>
                </c:pt>
                <c:pt idx="1078">
                  <c:v>1078</c:v>
                </c:pt>
                <c:pt idx="1079">
                  <c:v>1079</c:v>
                </c:pt>
                <c:pt idx="1080">
                  <c:v>1080</c:v>
                </c:pt>
                <c:pt idx="1081">
                  <c:v>1081</c:v>
                </c:pt>
                <c:pt idx="1082">
                  <c:v>1082</c:v>
                </c:pt>
                <c:pt idx="1083">
                  <c:v>1083</c:v>
                </c:pt>
                <c:pt idx="1084">
                  <c:v>1084</c:v>
                </c:pt>
                <c:pt idx="1085">
                  <c:v>1085</c:v>
                </c:pt>
                <c:pt idx="1086">
                  <c:v>1086</c:v>
                </c:pt>
                <c:pt idx="1087">
                  <c:v>1087</c:v>
                </c:pt>
                <c:pt idx="1088">
                  <c:v>1088</c:v>
                </c:pt>
                <c:pt idx="1089">
                  <c:v>1089</c:v>
                </c:pt>
                <c:pt idx="1090">
                  <c:v>1090</c:v>
                </c:pt>
                <c:pt idx="1091">
                  <c:v>1091</c:v>
                </c:pt>
                <c:pt idx="1092">
                  <c:v>1092</c:v>
                </c:pt>
                <c:pt idx="1093">
                  <c:v>1093</c:v>
                </c:pt>
                <c:pt idx="1094">
                  <c:v>1094</c:v>
                </c:pt>
                <c:pt idx="1095">
                  <c:v>1095</c:v>
                </c:pt>
                <c:pt idx="1096">
                  <c:v>1096</c:v>
                </c:pt>
                <c:pt idx="1097">
                  <c:v>1097</c:v>
                </c:pt>
                <c:pt idx="1098">
                  <c:v>1098</c:v>
                </c:pt>
                <c:pt idx="1099">
                  <c:v>1099</c:v>
                </c:pt>
                <c:pt idx="1100">
                  <c:v>1100</c:v>
                </c:pt>
                <c:pt idx="1101">
                  <c:v>1101</c:v>
                </c:pt>
                <c:pt idx="1102">
                  <c:v>1102</c:v>
                </c:pt>
                <c:pt idx="1103">
                  <c:v>1103</c:v>
                </c:pt>
                <c:pt idx="1104">
                  <c:v>1104</c:v>
                </c:pt>
                <c:pt idx="1105">
                  <c:v>1105</c:v>
                </c:pt>
                <c:pt idx="1106">
                  <c:v>1106</c:v>
                </c:pt>
                <c:pt idx="1107">
                  <c:v>1107</c:v>
                </c:pt>
                <c:pt idx="1108">
                  <c:v>1108</c:v>
                </c:pt>
                <c:pt idx="1109">
                  <c:v>1109</c:v>
                </c:pt>
                <c:pt idx="1110">
                  <c:v>1110</c:v>
                </c:pt>
                <c:pt idx="1111">
                  <c:v>1111</c:v>
                </c:pt>
                <c:pt idx="1112">
                  <c:v>1112</c:v>
                </c:pt>
                <c:pt idx="1113">
                  <c:v>1113</c:v>
                </c:pt>
                <c:pt idx="1114">
                  <c:v>1114</c:v>
                </c:pt>
                <c:pt idx="1115">
                  <c:v>1115</c:v>
                </c:pt>
                <c:pt idx="1116">
                  <c:v>1116</c:v>
                </c:pt>
                <c:pt idx="1117">
                  <c:v>1117</c:v>
                </c:pt>
                <c:pt idx="1118">
                  <c:v>1118</c:v>
                </c:pt>
                <c:pt idx="1119">
                  <c:v>1119</c:v>
                </c:pt>
                <c:pt idx="1120">
                  <c:v>1120</c:v>
                </c:pt>
                <c:pt idx="1121">
                  <c:v>1121</c:v>
                </c:pt>
                <c:pt idx="1122">
                  <c:v>1122</c:v>
                </c:pt>
                <c:pt idx="1123">
                  <c:v>1123</c:v>
                </c:pt>
                <c:pt idx="1124">
                  <c:v>1124</c:v>
                </c:pt>
                <c:pt idx="1125">
                  <c:v>1125</c:v>
                </c:pt>
                <c:pt idx="1126">
                  <c:v>1126</c:v>
                </c:pt>
                <c:pt idx="1127">
                  <c:v>1127</c:v>
                </c:pt>
                <c:pt idx="1128">
                  <c:v>1128</c:v>
                </c:pt>
                <c:pt idx="1129">
                  <c:v>1129</c:v>
                </c:pt>
                <c:pt idx="1130">
                  <c:v>1130</c:v>
                </c:pt>
                <c:pt idx="1131">
                  <c:v>1131</c:v>
                </c:pt>
                <c:pt idx="1132">
                  <c:v>1132</c:v>
                </c:pt>
                <c:pt idx="1133">
                  <c:v>1133</c:v>
                </c:pt>
                <c:pt idx="1134">
                  <c:v>1134</c:v>
                </c:pt>
                <c:pt idx="1135">
                  <c:v>1135</c:v>
                </c:pt>
                <c:pt idx="1136">
                  <c:v>1136</c:v>
                </c:pt>
                <c:pt idx="1137">
                  <c:v>1137</c:v>
                </c:pt>
                <c:pt idx="1138">
                  <c:v>1138</c:v>
                </c:pt>
                <c:pt idx="1139">
                  <c:v>1139</c:v>
                </c:pt>
                <c:pt idx="1140">
                  <c:v>1140</c:v>
                </c:pt>
                <c:pt idx="1141">
                  <c:v>1141</c:v>
                </c:pt>
                <c:pt idx="1142">
                  <c:v>1142</c:v>
                </c:pt>
                <c:pt idx="1143">
                  <c:v>1143</c:v>
                </c:pt>
                <c:pt idx="1144">
                  <c:v>1144</c:v>
                </c:pt>
                <c:pt idx="1145">
                  <c:v>1145</c:v>
                </c:pt>
                <c:pt idx="1146">
                  <c:v>1146</c:v>
                </c:pt>
                <c:pt idx="1147">
                  <c:v>1147</c:v>
                </c:pt>
                <c:pt idx="1148">
                  <c:v>1148</c:v>
                </c:pt>
                <c:pt idx="1149">
                  <c:v>1149</c:v>
                </c:pt>
                <c:pt idx="1150">
                  <c:v>1150</c:v>
                </c:pt>
                <c:pt idx="1151">
                  <c:v>1151</c:v>
                </c:pt>
                <c:pt idx="1152">
                  <c:v>1152</c:v>
                </c:pt>
                <c:pt idx="1153">
                  <c:v>1153</c:v>
                </c:pt>
                <c:pt idx="1154">
                  <c:v>1154</c:v>
                </c:pt>
                <c:pt idx="1155">
                  <c:v>1155</c:v>
                </c:pt>
                <c:pt idx="1156">
                  <c:v>1156</c:v>
                </c:pt>
                <c:pt idx="1157">
                  <c:v>1157</c:v>
                </c:pt>
                <c:pt idx="1158">
                  <c:v>1158</c:v>
                </c:pt>
                <c:pt idx="1159">
                  <c:v>1159</c:v>
                </c:pt>
                <c:pt idx="1160">
                  <c:v>1160</c:v>
                </c:pt>
                <c:pt idx="1161">
                  <c:v>1161</c:v>
                </c:pt>
                <c:pt idx="1162">
                  <c:v>1162</c:v>
                </c:pt>
                <c:pt idx="1163">
                  <c:v>1163</c:v>
                </c:pt>
                <c:pt idx="1164">
                  <c:v>1164</c:v>
                </c:pt>
                <c:pt idx="1165">
                  <c:v>1165</c:v>
                </c:pt>
                <c:pt idx="1166">
                  <c:v>1166</c:v>
                </c:pt>
                <c:pt idx="1167">
                  <c:v>1167</c:v>
                </c:pt>
                <c:pt idx="1168">
                  <c:v>1168</c:v>
                </c:pt>
                <c:pt idx="1169">
                  <c:v>1169</c:v>
                </c:pt>
                <c:pt idx="1170">
                  <c:v>1170</c:v>
                </c:pt>
                <c:pt idx="1171">
                  <c:v>1171</c:v>
                </c:pt>
                <c:pt idx="1172">
                  <c:v>1172</c:v>
                </c:pt>
                <c:pt idx="1173">
                  <c:v>1173</c:v>
                </c:pt>
                <c:pt idx="1174">
                  <c:v>1174</c:v>
                </c:pt>
                <c:pt idx="1175">
                  <c:v>1175</c:v>
                </c:pt>
                <c:pt idx="1176">
                  <c:v>1176</c:v>
                </c:pt>
                <c:pt idx="1177">
                  <c:v>1177</c:v>
                </c:pt>
                <c:pt idx="1178">
                  <c:v>1178</c:v>
                </c:pt>
                <c:pt idx="1179">
                  <c:v>1179</c:v>
                </c:pt>
                <c:pt idx="1180">
                  <c:v>1180</c:v>
                </c:pt>
                <c:pt idx="1181">
                  <c:v>1181</c:v>
                </c:pt>
                <c:pt idx="1182">
                  <c:v>1182</c:v>
                </c:pt>
                <c:pt idx="1183">
                  <c:v>1183</c:v>
                </c:pt>
                <c:pt idx="1184">
                  <c:v>1184</c:v>
                </c:pt>
                <c:pt idx="1185">
                  <c:v>1185</c:v>
                </c:pt>
                <c:pt idx="1186">
                  <c:v>1186</c:v>
                </c:pt>
                <c:pt idx="1187">
                  <c:v>1187</c:v>
                </c:pt>
                <c:pt idx="1188">
                  <c:v>1188</c:v>
                </c:pt>
                <c:pt idx="1189">
                  <c:v>1189</c:v>
                </c:pt>
                <c:pt idx="1190">
                  <c:v>1190</c:v>
                </c:pt>
                <c:pt idx="1191">
                  <c:v>1191</c:v>
                </c:pt>
                <c:pt idx="1192">
                  <c:v>1192</c:v>
                </c:pt>
                <c:pt idx="1193">
                  <c:v>1193</c:v>
                </c:pt>
                <c:pt idx="1194">
                  <c:v>1194</c:v>
                </c:pt>
                <c:pt idx="1195">
                  <c:v>1195</c:v>
                </c:pt>
                <c:pt idx="1196">
                  <c:v>1196</c:v>
                </c:pt>
                <c:pt idx="1197">
                  <c:v>1197</c:v>
                </c:pt>
                <c:pt idx="1198">
                  <c:v>1198</c:v>
                </c:pt>
                <c:pt idx="1199">
                  <c:v>1199</c:v>
                </c:pt>
                <c:pt idx="1200">
                  <c:v>1200</c:v>
                </c:pt>
                <c:pt idx="1201">
                  <c:v>1201</c:v>
                </c:pt>
                <c:pt idx="1202">
                  <c:v>1202</c:v>
                </c:pt>
                <c:pt idx="1203">
                  <c:v>1203</c:v>
                </c:pt>
                <c:pt idx="1204">
                  <c:v>1204</c:v>
                </c:pt>
                <c:pt idx="1205">
                  <c:v>1205</c:v>
                </c:pt>
                <c:pt idx="1206">
                  <c:v>1206</c:v>
                </c:pt>
                <c:pt idx="1207">
                  <c:v>1207</c:v>
                </c:pt>
                <c:pt idx="1208">
                  <c:v>1208</c:v>
                </c:pt>
                <c:pt idx="1209">
                  <c:v>1209</c:v>
                </c:pt>
                <c:pt idx="1210">
                  <c:v>1210</c:v>
                </c:pt>
                <c:pt idx="1211">
                  <c:v>1211</c:v>
                </c:pt>
                <c:pt idx="1212">
                  <c:v>1212</c:v>
                </c:pt>
                <c:pt idx="1213">
                  <c:v>1213</c:v>
                </c:pt>
                <c:pt idx="1214">
                  <c:v>1214</c:v>
                </c:pt>
                <c:pt idx="1215">
                  <c:v>1215</c:v>
                </c:pt>
                <c:pt idx="1216">
                  <c:v>1216</c:v>
                </c:pt>
                <c:pt idx="1217">
                  <c:v>1217</c:v>
                </c:pt>
                <c:pt idx="1218">
                  <c:v>1218</c:v>
                </c:pt>
                <c:pt idx="1219">
                  <c:v>1219</c:v>
                </c:pt>
                <c:pt idx="1220">
                  <c:v>1220</c:v>
                </c:pt>
                <c:pt idx="1221">
                  <c:v>1221</c:v>
                </c:pt>
                <c:pt idx="1222">
                  <c:v>1222</c:v>
                </c:pt>
                <c:pt idx="1223">
                  <c:v>1223</c:v>
                </c:pt>
                <c:pt idx="1224">
                  <c:v>1224</c:v>
                </c:pt>
                <c:pt idx="1225">
                  <c:v>1225</c:v>
                </c:pt>
                <c:pt idx="1226">
                  <c:v>1226</c:v>
                </c:pt>
                <c:pt idx="1227">
                  <c:v>1227</c:v>
                </c:pt>
                <c:pt idx="1228">
                  <c:v>1228</c:v>
                </c:pt>
                <c:pt idx="1229">
                  <c:v>1229</c:v>
                </c:pt>
                <c:pt idx="1230">
                  <c:v>1230</c:v>
                </c:pt>
                <c:pt idx="1231">
                  <c:v>1231</c:v>
                </c:pt>
                <c:pt idx="1232">
                  <c:v>1232</c:v>
                </c:pt>
                <c:pt idx="1233">
                  <c:v>1233</c:v>
                </c:pt>
                <c:pt idx="1234">
                  <c:v>1234</c:v>
                </c:pt>
                <c:pt idx="1235">
                  <c:v>1235</c:v>
                </c:pt>
                <c:pt idx="1236">
                  <c:v>1236</c:v>
                </c:pt>
                <c:pt idx="1237">
                  <c:v>1237</c:v>
                </c:pt>
                <c:pt idx="1238">
                  <c:v>1238</c:v>
                </c:pt>
                <c:pt idx="1239">
                  <c:v>1239</c:v>
                </c:pt>
                <c:pt idx="1240">
                  <c:v>1240</c:v>
                </c:pt>
                <c:pt idx="1241">
                  <c:v>1241</c:v>
                </c:pt>
                <c:pt idx="1242">
                  <c:v>1242</c:v>
                </c:pt>
                <c:pt idx="1243">
                  <c:v>1243</c:v>
                </c:pt>
                <c:pt idx="1244">
                  <c:v>1244</c:v>
                </c:pt>
                <c:pt idx="1245">
                  <c:v>1245</c:v>
                </c:pt>
                <c:pt idx="1246">
                  <c:v>1246</c:v>
                </c:pt>
                <c:pt idx="1247">
                  <c:v>1247</c:v>
                </c:pt>
                <c:pt idx="1248">
                  <c:v>1248</c:v>
                </c:pt>
                <c:pt idx="1249">
                  <c:v>1249</c:v>
                </c:pt>
                <c:pt idx="1250">
                  <c:v>1250</c:v>
                </c:pt>
                <c:pt idx="1251">
                  <c:v>1251</c:v>
                </c:pt>
                <c:pt idx="1252">
                  <c:v>1252</c:v>
                </c:pt>
                <c:pt idx="1253">
                  <c:v>1253</c:v>
                </c:pt>
                <c:pt idx="1254">
                  <c:v>1254</c:v>
                </c:pt>
                <c:pt idx="1255">
                  <c:v>1255</c:v>
                </c:pt>
                <c:pt idx="1256">
                  <c:v>1256</c:v>
                </c:pt>
                <c:pt idx="1257">
                  <c:v>1257</c:v>
                </c:pt>
                <c:pt idx="1258">
                  <c:v>1258</c:v>
                </c:pt>
                <c:pt idx="1259">
                  <c:v>1259</c:v>
                </c:pt>
                <c:pt idx="1260">
                  <c:v>1260</c:v>
                </c:pt>
                <c:pt idx="1261">
                  <c:v>1261</c:v>
                </c:pt>
                <c:pt idx="1262">
                  <c:v>1262</c:v>
                </c:pt>
                <c:pt idx="1263">
                  <c:v>1263</c:v>
                </c:pt>
                <c:pt idx="1264">
                  <c:v>1264</c:v>
                </c:pt>
                <c:pt idx="1265">
                  <c:v>1265</c:v>
                </c:pt>
                <c:pt idx="1266">
                  <c:v>1266</c:v>
                </c:pt>
                <c:pt idx="1267">
                  <c:v>1267</c:v>
                </c:pt>
                <c:pt idx="1268">
                  <c:v>1268</c:v>
                </c:pt>
                <c:pt idx="1269">
                  <c:v>1269</c:v>
                </c:pt>
                <c:pt idx="1270">
                  <c:v>1270</c:v>
                </c:pt>
                <c:pt idx="1271">
                  <c:v>1271</c:v>
                </c:pt>
                <c:pt idx="1272">
                  <c:v>1272</c:v>
                </c:pt>
                <c:pt idx="1273">
                  <c:v>1273</c:v>
                </c:pt>
                <c:pt idx="1274">
                  <c:v>1274</c:v>
                </c:pt>
                <c:pt idx="1275">
                  <c:v>1275</c:v>
                </c:pt>
                <c:pt idx="1276">
                  <c:v>1276</c:v>
                </c:pt>
                <c:pt idx="1277">
                  <c:v>1277</c:v>
                </c:pt>
                <c:pt idx="1278">
                  <c:v>1278</c:v>
                </c:pt>
                <c:pt idx="1279">
                  <c:v>1279</c:v>
                </c:pt>
                <c:pt idx="1280">
                  <c:v>1280</c:v>
                </c:pt>
                <c:pt idx="1281">
                  <c:v>1281</c:v>
                </c:pt>
                <c:pt idx="1282">
                  <c:v>1282</c:v>
                </c:pt>
                <c:pt idx="1283">
                  <c:v>1283</c:v>
                </c:pt>
                <c:pt idx="1284">
                  <c:v>1284</c:v>
                </c:pt>
                <c:pt idx="1285">
                  <c:v>1285</c:v>
                </c:pt>
                <c:pt idx="1286">
                  <c:v>1286</c:v>
                </c:pt>
                <c:pt idx="1287">
                  <c:v>1287</c:v>
                </c:pt>
                <c:pt idx="1288">
                  <c:v>1288</c:v>
                </c:pt>
                <c:pt idx="1289">
                  <c:v>1289</c:v>
                </c:pt>
                <c:pt idx="1290">
                  <c:v>1290</c:v>
                </c:pt>
                <c:pt idx="1291">
                  <c:v>1291</c:v>
                </c:pt>
                <c:pt idx="1292">
                  <c:v>1292</c:v>
                </c:pt>
                <c:pt idx="1293">
                  <c:v>1293</c:v>
                </c:pt>
                <c:pt idx="1294">
                  <c:v>1294</c:v>
                </c:pt>
                <c:pt idx="1295">
                  <c:v>1295</c:v>
                </c:pt>
                <c:pt idx="1296">
                  <c:v>1296</c:v>
                </c:pt>
                <c:pt idx="1297">
                  <c:v>1297</c:v>
                </c:pt>
                <c:pt idx="1298">
                  <c:v>1298</c:v>
                </c:pt>
                <c:pt idx="1299">
                  <c:v>1299</c:v>
                </c:pt>
                <c:pt idx="1300">
                  <c:v>1300</c:v>
                </c:pt>
                <c:pt idx="1301">
                  <c:v>1301</c:v>
                </c:pt>
                <c:pt idx="1302">
                  <c:v>1302</c:v>
                </c:pt>
                <c:pt idx="1303">
                  <c:v>1303</c:v>
                </c:pt>
                <c:pt idx="1304">
                  <c:v>1304</c:v>
                </c:pt>
                <c:pt idx="1305">
                  <c:v>1305</c:v>
                </c:pt>
                <c:pt idx="1306">
                  <c:v>1306</c:v>
                </c:pt>
                <c:pt idx="1307">
                  <c:v>1307</c:v>
                </c:pt>
                <c:pt idx="1308">
                  <c:v>1308</c:v>
                </c:pt>
                <c:pt idx="1309">
                  <c:v>1309</c:v>
                </c:pt>
                <c:pt idx="1310">
                  <c:v>1310</c:v>
                </c:pt>
                <c:pt idx="1311">
                  <c:v>1311</c:v>
                </c:pt>
                <c:pt idx="1312">
                  <c:v>1312</c:v>
                </c:pt>
                <c:pt idx="1313">
                  <c:v>1313</c:v>
                </c:pt>
                <c:pt idx="1314">
                  <c:v>1314</c:v>
                </c:pt>
                <c:pt idx="1315">
                  <c:v>1315</c:v>
                </c:pt>
                <c:pt idx="1316">
                  <c:v>1316</c:v>
                </c:pt>
                <c:pt idx="1317">
                  <c:v>1317</c:v>
                </c:pt>
                <c:pt idx="1318">
                  <c:v>1318</c:v>
                </c:pt>
                <c:pt idx="1319">
                  <c:v>1319</c:v>
                </c:pt>
                <c:pt idx="1320">
                  <c:v>1320</c:v>
                </c:pt>
                <c:pt idx="1321">
                  <c:v>1321</c:v>
                </c:pt>
                <c:pt idx="1322">
                  <c:v>1322</c:v>
                </c:pt>
                <c:pt idx="1323">
                  <c:v>1323</c:v>
                </c:pt>
                <c:pt idx="1324">
                  <c:v>1324</c:v>
                </c:pt>
                <c:pt idx="1325">
                  <c:v>1325</c:v>
                </c:pt>
                <c:pt idx="1326">
                  <c:v>1326</c:v>
                </c:pt>
                <c:pt idx="1327">
                  <c:v>1327</c:v>
                </c:pt>
                <c:pt idx="1328">
                  <c:v>1328</c:v>
                </c:pt>
                <c:pt idx="1329">
                  <c:v>1329</c:v>
                </c:pt>
                <c:pt idx="1330">
                  <c:v>1330</c:v>
                </c:pt>
                <c:pt idx="1331">
                  <c:v>1331</c:v>
                </c:pt>
                <c:pt idx="1332">
                  <c:v>1332</c:v>
                </c:pt>
                <c:pt idx="1333">
                  <c:v>1333</c:v>
                </c:pt>
                <c:pt idx="1334">
                  <c:v>1334</c:v>
                </c:pt>
                <c:pt idx="1335">
                  <c:v>1335</c:v>
                </c:pt>
                <c:pt idx="1336">
                  <c:v>1336</c:v>
                </c:pt>
                <c:pt idx="1337">
                  <c:v>1337</c:v>
                </c:pt>
                <c:pt idx="1338">
                  <c:v>1338</c:v>
                </c:pt>
                <c:pt idx="1339">
                  <c:v>1339</c:v>
                </c:pt>
                <c:pt idx="1340">
                  <c:v>1340</c:v>
                </c:pt>
                <c:pt idx="1341">
                  <c:v>1341</c:v>
                </c:pt>
                <c:pt idx="1342">
                  <c:v>1342</c:v>
                </c:pt>
                <c:pt idx="1343">
                  <c:v>1343</c:v>
                </c:pt>
                <c:pt idx="1344">
                  <c:v>1344</c:v>
                </c:pt>
                <c:pt idx="1345">
                  <c:v>1345</c:v>
                </c:pt>
                <c:pt idx="1346">
                  <c:v>1346</c:v>
                </c:pt>
                <c:pt idx="1347">
                  <c:v>1347</c:v>
                </c:pt>
                <c:pt idx="1348">
                  <c:v>1348</c:v>
                </c:pt>
                <c:pt idx="1349">
                  <c:v>1349</c:v>
                </c:pt>
                <c:pt idx="1350">
                  <c:v>1350</c:v>
                </c:pt>
                <c:pt idx="1351">
                  <c:v>1351</c:v>
                </c:pt>
                <c:pt idx="1352">
                  <c:v>1352</c:v>
                </c:pt>
                <c:pt idx="1353">
                  <c:v>1353</c:v>
                </c:pt>
                <c:pt idx="1354">
                  <c:v>1354</c:v>
                </c:pt>
                <c:pt idx="1355">
                  <c:v>1355</c:v>
                </c:pt>
                <c:pt idx="1356">
                  <c:v>1356</c:v>
                </c:pt>
                <c:pt idx="1357">
                  <c:v>1357</c:v>
                </c:pt>
                <c:pt idx="1358">
                  <c:v>1358</c:v>
                </c:pt>
                <c:pt idx="1359">
                  <c:v>1359</c:v>
                </c:pt>
                <c:pt idx="1360">
                  <c:v>1360</c:v>
                </c:pt>
                <c:pt idx="1361">
                  <c:v>1361</c:v>
                </c:pt>
                <c:pt idx="1362">
                  <c:v>1362</c:v>
                </c:pt>
                <c:pt idx="1363">
                  <c:v>1363</c:v>
                </c:pt>
                <c:pt idx="1364">
                  <c:v>1364</c:v>
                </c:pt>
                <c:pt idx="1365">
                  <c:v>1365</c:v>
                </c:pt>
                <c:pt idx="1366">
                  <c:v>1366</c:v>
                </c:pt>
                <c:pt idx="1367">
                  <c:v>1367</c:v>
                </c:pt>
                <c:pt idx="1368">
                  <c:v>1368</c:v>
                </c:pt>
                <c:pt idx="1369">
                  <c:v>1369</c:v>
                </c:pt>
                <c:pt idx="1370">
                  <c:v>1370</c:v>
                </c:pt>
                <c:pt idx="1371">
                  <c:v>1371</c:v>
                </c:pt>
                <c:pt idx="1372">
                  <c:v>1372</c:v>
                </c:pt>
                <c:pt idx="1373">
                  <c:v>1373</c:v>
                </c:pt>
                <c:pt idx="1374">
                  <c:v>1374</c:v>
                </c:pt>
                <c:pt idx="1375">
                  <c:v>1375</c:v>
                </c:pt>
                <c:pt idx="1376">
                  <c:v>1376</c:v>
                </c:pt>
                <c:pt idx="1377">
                  <c:v>1377</c:v>
                </c:pt>
                <c:pt idx="1378">
                  <c:v>1378</c:v>
                </c:pt>
                <c:pt idx="1379">
                  <c:v>1379</c:v>
                </c:pt>
                <c:pt idx="1380">
                  <c:v>1380</c:v>
                </c:pt>
                <c:pt idx="1381">
                  <c:v>1381</c:v>
                </c:pt>
                <c:pt idx="1382">
                  <c:v>1382</c:v>
                </c:pt>
                <c:pt idx="1383">
                  <c:v>1383</c:v>
                </c:pt>
                <c:pt idx="1384">
                  <c:v>1384</c:v>
                </c:pt>
                <c:pt idx="1385">
                  <c:v>1385</c:v>
                </c:pt>
                <c:pt idx="1386">
                  <c:v>1386</c:v>
                </c:pt>
                <c:pt idx="1387">
                  <c:v>1387</c:v>
                </c:pt>
                <c:pt idx="1388">
                  <c:v>1388</c:v>
                </c:pt>
                <c:pt idx="1389">
                  <c:v>1389</c:v>
                </c:pt>
                <c:pt idx="1390">
                  <c:v>1390</c:v>
                </c:pt>
                <c:pt idx="1391">
                  <c:v>1391</c:v>
                </c:pt>
                <c:pt idx="1392">
                  <c:v>1392</c:v>
                </c:pt>
                <c:pt idx="1393">
                  <c:v>1393</c:v>
                </c:pt>
                <c:pt idx="1394">
                  <c:v>1394</c:v>
                </c:pt>
                <c:pt idx="1395">
                  <c:v>1395</c:v>
                </c:pt>
                <c:pt idx="1396">
                  <c:v>1396</c:v>
                </c:pt>
                <c:pt idx="1397">
                  <c:v>1397</c:v>
                </c:pt>
                <c:pt idx="1398">
                  <c:v>1398</c:v>
                </c:pt>
                <c:pt idx="1399">
                  <c:v>1399</c:v>
                </c:pt>
                <c:pt idx="1400">
                  <c:v>1400</c:v>
                </c:pt>
                <c:pt idx="1401">
                  <c:v>1401</c:v>
                </c:pt>
                <c:pt idx="1402">
                  <c:v>1402</c:v>
                </c:pt>
                <c:pt idx="1403">
                  <c:v>1403</c:v>
                </c:pt>
                <c:pt idx="1404">
                  <c:v>1404</c:v>
                </c:pt>
                <c:pt idx="1405">
                  <c:v>1405</c:v>
                </c:pt>
                <c:pt idx="1406">
                  <c:v>1406</c:v>
                </c:pt>
                <c:pt idx="1407">
                  <c:v>1407</c:v>
                </c:pt>
                <c:pt idx="1408">
                  <c:v>1408</c:v>
                </c:pt>
                <c:pt idx="1409">
                  <c:v>1409</c:v>
                </c:pt>
                <c:pt idx="1410">
                  <c:v>1410</c:v>
                </c:pt>
                <c:pt idx="1411">
                  <c:v>1411</c:v>
                </c:pt>
                <c:pt idx="1412">
                  <c:v>1412</c:v>
                </c:pt>
                <c:pt idx="1413">
                  <c:v>1413</c:v>
                </c:pt>
                <c:pt idx="1414">
                  <c:v>1414</c:v>
                </c:pt>
                <c:pt idx="1415">
                  <c:v>1415</c:v>
                </c:pt>
                <c:pt idx="1416">
                  <c:v>1416</c:v>
                </c:pt>
                <c:pt idx="1417">
                  <c:v>1417</c:v>
                </c:pt>
                <c:pt idx="1418">
                  <c:v>1418</c:v>
                </c:pt>
                <c:pt idx="1419">
                  <c:v>1419</c:v>
                </c:pt>
                <c:pt idx="1420">
                  <c:v>1420</c:v>
                </c:pt>
                <c:pt idx="1421">
                  <c:v>1421</c:v>
                </c:pt>
                <c:pt idx="1422">
                  <c:v>1422</c:v>
                </c:pt>
                <c:pt idx="1423">
                  <c:v>1423</c:v>
                </c:pt>
                <c:pt idx="1424">
                  <c:v>1424</c:v>
                </c:pt>
                <c:pt idx="1425">
                  <c:v>1425</c:v>
                </c:pt>
                <c:pt idx="1426">
                  <c:v>1426</c:v>
                </c:pt>
                <c:pt idx="1427">
                  <c:v>1427</c:v>
                </c:pt>
                <c:pt idx="1428">
                  <c:v>1428</c:v>
                </c:pt>
                <c:pt idx="1429">
                  <c:v>1429</c:v>
                </c:pt>
                <c:pt idx="1430">
                  <c:v>1430</c:v>
                </c:pt>
                <c:pt idx="1431">
                  <c:v>1431</c:v>
                </c:pt>
                <c:pt idx="1432">
                  <c:v>1432</c:v>
                </c:pt>
                <c:pt idx="1433">
                  <c:v>1433</c:v>
                </c:pt>
                <c:pt idx="1434">
                  <c:v>1434</c:v>
                </c:pt>
                <c:pt idx="1435">
                  <c:v>1435</c:v>
                </c:pt>
                <c:pt idx="1436">
                  <c:v>1436</c:v>
                </c:pt>
                <c:pt idx="1437">
                  <c:v>1437</c:v>
                </c:pt>
                <c:pt idx="1438">
                  <c:v>1438</c:v>
                </c:pt>
                <c:pt idx="1439">
                  <c:v>1439</c:v>
                </c:pt>
                <c:pt idx="1440">
                  <c:v>1440</c:v>
                </c:pt>
                <c:pt idx="1441">
                  <c:v>1441</c:v>
                </c:pt>
                <c:pt idx="1442">
                  <c:v>1442</c:v>
                </c:pt>
                <c:pt idx="1443">
                  <c:v>1443</c:v>
                </c:pt>
                <c:pt idx="1444">
                  <c:v>1444</c:v>
                </c:pt>
                <c:pt idx="1445">
                  <c:v>1445</c:v>
                </c:pt>
                <c:pt idx="1446">
                  <c:v>1446</c:v>
                </c:pt>
                <c:pt idx="1447">
                  <c:v>1447</c:v>
                </c:pt>
                <c:pt idx="1448">
                  <c:v>1448</c:v>
                </c:pt>
                <c:pt idx="1449">
                  <c:v>1449</c:v>
                </c:pt>
                <c:pt idx="1450">
                  <c:v>1450</c:v>
                </c:pt>
                <c:pt idx="1451">
                  <c:v>1451</c:v>
                </c:pt>
                <c:pt idx="1452">
                  <c:v>1452</c:v>
                </c:pt>
                <c:pt idx="1453">
                  <c:v>1453</c:v>
                </c:pt>
                <c:pt idx="1454">
                  <c:v>1454</c:v>
                </c:pt>
                <c:pt idx="1455">
                  <c:v>1455</c:v>
                </c:pt>
                <c:pt idx="1456">
                  <c:v>1456</c:v>
                </c:pt>
                <c:pt idx="1457">
                  <c:v>1457</c:v>
                </c:pt>
                <c:pt idx="1458">
                  <c:v>1458</c:v>
                </c:pt>
                <c:pt idx="1459">
                  <c:v>1459</c:v>
                </c:pt>
                <c:pt idx="1460">
                  <c:v>1460</c:v>
                </c:pt>
                <c:pt idx="1461">
                  <c:v>1461</c:v>
                </c:pt>
                <c:pt idx="1462">
                  <c:v>1462</c:v>
                </c:pt>
                <c:pt idx="1463">
                  <c:v>1463</c:v>
                </c:pt>
                <c:pt idx="1464">
                  <c:v>1464</c:v>
                </c:pt>
                <c:pt idx="1465">
                  <c:v>1465</c:v>
                </c:pt>
                <c:pt idx="1466">
                  <c:v>1466</c:v>
                </c:pt>
                <c:pt idx="1467">
                  <c:v>1467</c:v>
                </c:pt>
                <c:pt idx="1468">
                  <c:v>1468</c:v>
                </c:pt>
                <c:pt idx="1469">
                  <c:v>1469</c:v>
                </c:pt>
                <c:pt idx="1470">
                  <c:v>1470</c:v>
                </c:pt>
                <c:pt idx="1471">
                  <c:v>1471</c:v>
                </c:pt>
                <c:pt idx="1472">
                  <c:v>1472</c:v>
                </c:pt>
                <c:pt idx="1473">
                  <c:v>1473</c:v>
                </c:pt>
                <c:pt idx="1474">
                  <c:v>1474</c:v>
                </c:pt>
                <c:pt idx="1475">
                  <c:v>1475</c:v>
                </c:pt>
                <c:pt idx="1476">
                  <c:v>1476</c:v>
                </c:pt>
                <c:pt idx="1477">
                  <c:v>1477</c:v>
                </c:pt>
                <c:pt idx="1478">
                  <c:v>1478</c:v>
                </c:pt>
                <c:pt idx="1479">
                  <c:v>1479</c:v>
                </c:pt>
                <c:pt idx="1480">
                  <c:v>1480</c:v>
                </c:pt>
                <c:pt idx="1481">
                  <c:v>1481</c:v>
                </c:pt>
                <c:pt idx="1482">
                  <c:v>1482</c:v>
                </c:pt>
                <c:pt idx="1483">
                  <c:v>1483</c:v>
                </c:pt>
                <c:pt idx="1484">
                  <c:v>1484</c:v>
                </c:pt>
                <c:pt idx="1485">
                  <c:v>1485</c:v>
                </c:pt>
                <c:pt idx="1486">
                  <c:v>1486</c:v>
                </c:pt>
                <c:pt idx="1487">
                  <c:v>1487</c:v>
                </c:pt>
                <c:pt idx="1488">
                  <c:v>1488</c:v>
                </c:pt>
                <c:pt idx="1489">
                  <c:v>1489</c:v>
                </c:pt>
                <c:pt idx="1490">
                  <c:v>1490</c:v>
                </c:pt>
                <c:pt idx="1491">
                  <c:v>1491</c:v>
                </c:pt>
                <c:pt idx="1492">
                  <c:v>1492</c:v>
                </c:pt>
                <c:pt idx="1493">
                  <c:v>1493</c:v>
                </c:pt>
                <c:pt idx="1494">
                  <c:v>1494</c:v>
                </c:pt>
                <c:pt idx="1495">
                  <c:v>1495</c:v>
                </c:pt>
                <c:pt idx="1496">
                  <c:v>1496</c:v>
                </c:pt>
                <c:pt idx="1497">
                  <c:v>1497</c:v>
                </c:pt>
                <c:pt idx="1498">
                  <c:v>1498</c:v>
                </c:pt>
                <c:pt idx="1499">
                  <c:v>1499</c:v>
                </c:pt>
                <c:pt idx="1500">
                  <c:v>1500</c:v>
                </c:pt>
                <c:pt idx="1501">
                  <c:v>1501</c:v>
                </c:pt>
                <c:pt idx="1502">
                  <c:v>1502</c:v>
                </c:pt>
                <c:pt idx="1503">
                  <c:v>1503</c:v>
                </c:pt>
                <c:pt idx="1504">
                  <c:v>1504</c:v>
                </c:pt>
                <c:pt idx="1505">
                  <c:v>1505</c:v>
                </c:pt>
                <c:pt idx="1506">
                  <c:v>1506</c:v>
                </c:pt>
                <c:pt idx="1507">
                  <c:v>1507</c:v>
                </c:pt>
                <c:pt idx="1508">
                  <c:v>1508</c:v>
                </c:pt>
                <c:pt idx="1509">
                  <c:v>1509</c:v>
                </c:pt>
                <c:pt idx="1510">
                  <c:v>1510</c:v>
                </c:pt>
                <c:pt idx="1511">
                  <c:v>1511</c:v>
                </c:pt>
                <c:pt idx="1512">
                  <c:v>1512</c:v>
                </c:pt>
                <c:pt idx="1513">
                  <c:v>1513</c:v>
                </c:pt>
                <c:pt idx="1514">
                  <c:v>1514</c:v>
                </c:pt>
                <c:pt idx="1515">
                  <c:v>1515</c:v>
                </c:pt>
                <c:pt idx="1516">
                  <c:v>1516</c:v>
                </c:pt>
                <c:pt idx="1517">
                  <c:v>1517</c:v>
                </c:pt>
                <c:pt idx="1518">
                  <c:v>1518</c:v>
                </c:pt>
                <c:pt idx="1519">
                  <c:v>1519</c:v>
                </c:pt>
                <c:pt idx="1520">
                  <c:v>1520</c:v>
                </c:pt>
                <c:pt idx="1521">
                  <c:v>1521</c:v>
                </c:pt>
                <c:pt idx="1522">
                  <c:v>1522</c:v>
                </c:pt>
                <c:pt idx="1523">
                  <c:v>1523</c:v>
                </c:pt>
                <c:pt idx="1524">
                  <c:v>1524</c:v>
                </c:pt>
                <c:pt idx="1525">
                  <c:v>1525</c:v>
                </c:pt>
                <c:pt idx="1526">
                  <c:v>1526</c:v>
                </c:pt>
                <c:pt idx="1527">
                  <c:v>1527</c:v>
                </c:pt>
                <c:pt idx="1528">
                  <c:v>1528</c:v>
                </c:pt>
                <c:pt idx="1529">
                  <c:v>1529</c:v>
                </c:pt>
                <c:pt idx="1530">
                  <c:v>1530</c:v>
                </c:pt>
                <c:pt idx="1531">
                  <c:v>1531</c:v>
                </c:pt>
                <c:pt idx="1532">
                  <c:v>1532</c:v>
                </c:pt>
                <c:pt idx="1533">
                  <c:v>1533</c:v>
                </c:pt>
                <c:pt idx="1534">
                  <c:v>1534</c:v>
                </c:pt>
                <c:pt idx="1535">
                  <c:v>1535</c:v>
                </c:pt>
                <c:pt idx="1536">
                  <c:v>1536</c:v>
                </c:pt>
                <c:pt idx="1537">
                  <c:v>1537</c:v>
                </c:pt>
                <c:pt idx="1538">
                  <c:v>1538</c:v>
                </c:pt>
                <c:pt idx="1539">
                  <c:v>1539</c:v>
                </c:pt>
                <c:pt idx="1540">
                  <c:v>1540</c:v>
                </c:pt>
                <c:pt idx="1541">
                  <c:v>1541</c:v>
                </c:pt>
                <c:pt idx="1542">
                  <c:v>1542</c:v>
                </c:pt>
                <c:pt idx="1543">
                  <c:v>1543</c:v>
                </c:pt>
                <c:pt idx="1544">
                  <c:v>1544</c:v>
                </c:pt>
                <c:pt idx="1545">
                  <c:v>1545</c:v>
                </c:pt>
                <c:pt idx="1546">
                  <c:v>1546</c:v>
                </c:pt>
                <c:pt idx="1547">
                  <c:v>1547</c:v>
                </c:pt>
                <c:pt idx="1548">
                  <c:v>1548</c:v>
                </c:pt>
                <c:pt idx="1549">
                  <c:v>1549</c:v>
                </c:pt>
                <c:pt idx="1550">
                  <c:v>1550</c:v>
                </c:pt>
                <c:pt idx="1551">
                  <c:v>1551</c:v>
                </c:pt>
                <c:pt idx="1552">
                  <c:v>1552</c:v>
                </c:pt>
                <c:pt idx="1553">
                  <c:v>1553</c:v>
                </c:pt>
                <c:pt idx="1554">
                  <c:v>1554</c:v>
                </c:pt>
                <c:pt idx="1555">
                  <c:v>1555</c:v>
                </c:pt>
                <c:pt idx="1556">
                  <c:v>1556</c:v>
                </c:pt>
                <c:pt idx="1557">
                  <c:v>1557</c:v>
                </c:pt>
                <c:pt idx="1558">
                  <c:v>1558</c:v>
                </c:pt>
                <c:pt idx="1559">
                  <c:v>1559</c:v>
                </c:pt>
                <c:pt idx="1560">
                  <c:v>1560</c:v>
                </c:pt>
                <c:pt idx="1561">
                  <c:v>1561</c:v>
                </c:pt>
                <c:pt idx="1562">
                  <c:v>1562</c:v>
                </c:pt>
                <c:pt idx="1563">
                  <c:v>1563</c:v>
                </c:pt>
                <c:pt idx="1564">
                  <c:v>1564</c:v>
                </c:pt>
                <c:pt idx="1565">
                  <c:v>1565</c:v>
                </c:pt>
                <c:pt idx="1566">
                  <c:v>1566</c:v>
                </c:pt>
                <c:pt idx="1567">
                  <c:v>1567</c:v>
                </c:pt>
                <c:pt idx="1568">
                  <c:v>1568</c:v>
                </c:pt>
                <c:pt idx="1569">
                  <c:v>1569</c:v>
                </c:pt>
                <c:pt idx="1570">
                  <c:v>1570</c:v>
                </c:pt>
                <c:pt idx="1571">
                  <c:v>1571</c:v>
                </c:pt>
                <c:pt idx="1572">
                  <c:v>1572</c:v>
                </c:pt>
                <c:pt idx="1573">
                  <c:v>1573</c:v>
                </c:pt>
                <c:pt idx="1574">
                  <c:v>1574</c:v>
                </c:pt>
                <c:pt idx="1575">
                  <c:v>1575</c:v>
                </c:pt>
                <c:pt idx="1576">
                  <c:v>1576</c:v>
                </c:pt>
                <c:pt idx="1577">
                  <c:v>1577</c:v>
                </c:pt>
                <c:pt idx="1578">
                  <c:v>1578</c:v>
                </c:pt>
                <c:pt idx="1579">
                  <c:v>1579</c:v>
                </c:pt>
                <c:pt idx="1580">
                  <c:v>1580</c:v>
                </c:pt>
                <c:pt idx="1581">
                  <c:v>1581</c:v>
                </c:pt>
                <c:pt idx="1582">
                  <c:v>1582</c:v>
                </c:pt>
                <c:pt idx="1583">
                  <c:v>1583</c:v>
                </c:pt>
                <c:pt idx="1584">
                  <c:v>1584</c:v>
                </c:pt>
                <c:pt idx="1585">
                  <c:v>1585</c:v>
                </c:pt>
                <c:pt idx="1586">
                  <c:v>1586</c:v>
                </c:pt>
                <c:pt idx="1587">
                  <c:v>1587</c:v>
                </c:pt>
                <c:pt idx="1588">
                  <c:v>1588</c:v>
                </c:pt>
                <c:pt idx="1589">
                  <c:v>1589</c:v>
                </c:pt>
                <c:pt idx="1590">
                  <c:v>1590</c:v>
                </c:pt>
                <c:pt idx="1591">
                  <c:v>1591</c:v>
                </c:pt>
                <c:pt idx="1592">
                  <c:v>1592</c:v>
                </c:pt>
                <c:pt idx="1593">
                  <c:v>1593</c:v>
                </c:pt>
                <c:pt idx="1594">
                  <c:v>1594</c:v>
                </c:pt>
                <c:pt idx="1595">
                  <c:v>1595</c:v>
                </c:pt>
                <c:pt idx="1596">
                  <c:v>1596</c:v>
                </c:pt>
                <c:pt idx="1597">
                  <c:v>1597</c:v>
                </c:pt>
                <c:pt idx="1598">
                  <c:v>1598</c:v>
                </c:pt>
                <c:pt idx="1599">
                  <c:v>1599</c:v>
                </c:pt>
                <c:pt idx="1600">
                  <c:v>1600</c:v>
                </c:pt>
                <c:pt idx="1601">
                  <c:v>1601</c:v>
                </c:pt>
                <c:pt idx="1602">
                  <c:v>1602</c:v>
                </c:pt>
                <c:pt idx="1603">
                  <c:v>1603</c:v>
                </c:pt>
                <c:pt idx="1604">
                  <c:v>1604</c:v>
                </c:pt>
                <c:pt idx="1605">
                  <c:v>1605</c:v>
                </c:pt>
                <c:pt idx="1606">
                  <c:v>1606</c:v>
                </c:pt>
                <c:pt idx="1607">
                  <c:v>1607</c:v>
                </c:pt>
                <c:pt idx="1608">
                  <c:v>1608</c:v>
                </c:pt>
                <c:pt idx="1609">
                  <c:v>1609</c:v>
                </c:pt>
                <c:pt idx="1610">
                  <c:v>1610</c:v>
                </c:pt>
                <c:pt idx="1611">
                  <c:v>1611</c:v>
                </c:pt>
                <c:pt idx="1612">
                  <c:v>1612</c:v>
                </c:pt>
                <c:pt idx="1613">
                  <c:v>1613</c:v>
                </c:pt>
                <c:pt idx="1614">
                  <c:v>1614</c:v>
                </c:pt>
                <c:pt idx="1615">
                  <c:v>1615</c:v>
                </c:pt>
                <c:pt idx="1616">
                  <c:v>1616</c:v>
                </c:pt>
                <c:pt idx="1617">
                  <c:v>1617</c:v>
                </c:pt>
                <c:pt idx="1618">
                  <c:v>1618</c:v>
                </c:pt>
                <c:pt idx="1619">
                  <c:v>1619</c:v>
                </c:pt>
                <c:pt idx="1620">
                  <c:v>1620</c:v>
                </c:pt>
                <c:pt idx="1621">
                  <c:v>1621</c:v>
                </c:pt>
                <c:pt idx="1622">
                  <c:v>1622</c:v>
                </c:pt>
                <c:pt idx="1623">
                  <c:v>1623</c:v>
                </c:pt>
                <c:pt idx="1624">
                  <c:v>1624</c:v>
                </c:pt>
                <c:pt idx="1625">
                  <c:v>1625</c:v>
                </c:pt>
                <c:pt idx="1626">
                  <c:v>1626</c:v>
                </c:pt>
                <c:pt idx="1627">
                  <c:v>1627</c:v>
                </c:pt>
                <c:pt idx="1628">
                  <c:v>1628</c:v>
                </c:pt>
                <c:pt idx="1629">
                  <c:v>1629</c:v>
                </c:pt>
                <c:pt idx="1630">
                  <c:v>1630</c:v>
                </c:pt>
                <c:pt idx="1631">
                  <c:v>1631</c:v>
                </c:pt>
                <c:pt idx="1632">
                  <c:v>1632</c:v>
                </c:pt>
                <c:pt idx="1633">
                  <c:v>1633</c:v>
                </c:pt>
                <c:pt idx="1634">
                  <c:v>1634</c:v>
                </c:pt>
                <c:pt idx="1635">
                  <c:v>1635</c:v>
                </c:pt>
                <c:pt idx="1636">
                  <c:v>1636</c:v>
                </c:pt>
                <c:pt idx="1637">
                  <c:v>1637</c:v>
                </c:pt>
                <c:pt idx="1638">
                  <c:v>1638</c:v>
                </c:pt>
                <c:pt idx="1639">
                  <c:v>1639</c:v>
                </c:pt>
                <c:pt idx="1640">
                  <c:v>1640</c:v>
                </c:pt>
                <c:pt idx="1641">
                  <c:v>1641</c:v>
                </c:pt>
                <c:pt idx="1642">
                  <c:v>1642</c:v>
                </c:pt>
                <c:pt idx="1643">
                  <c:v>1643</c:v>
                </c:pt>
                <c:pt idx="1644">
                  <c:v>1644</c:v>
                </c:pt>
                <c:pt idx="1645">
                  <c:v>1645</c:v>
                </c:pt>
                <c:pt idx="1646">
                  <c:v>1646</c:v>
                </c:pt>
                <c:pt idx="1647">
                  <c:v>1647</c:v>
                </c:pt>
                <c:pt idx="1648">
                  <c:v>1648</c:v>
                </c:pt>
                <c:pt idx="1649">
                  <c:v>1649</c:v>
                </c:pt>
                <c:pt idx="1650">
                  <c:v>1650</c:v>
                </c:pt>
                <c:pt idx="1651">
                  <c:v>1651</c:v>
                </c:pt>
                <c:pt idx="1652">
                  <c:v>1652</c:v>
                </c:pt>
                <c:pt idx="1653">
                  <c:v>1653</c:v>
                </c:pt>
                <c:pt idx="1654">
                  <c:v>1654</c:v>
                </c:pt>
                <c:pt idx="1655">
                  <c:v>1655</c:v>
                </c:pt>
                <c:pt idx="1656">
                  <c:v>1656</c:v>
                </c:pt>
                <c:pt idx="1657">
                  <c:v>1657</c:v>
                </c:pt>
                <c:pt idx="1658">
                  <c:v>1658</c:v>
                </c:pt>
                <c:pt idx="1659">
                  <c:v>1659</c:v>
                </c:pt>
                <c:pt idx="1660">
                  <c:v>1660</c:v>
                </c:pt>
                <c:pt idx="1661">
                  <c:v>1661</c:v>
                </c:pt>
                <c:pt idx="1662">
                  <c:v>1662</c:v>
                </c:pt>
                <c:pt idx="1663">
                  <c:v>1663</c:v>
                </c:pt>
                <c:pt idx="1664">
                  <c:v>1664</c:v>
                </c:pt>
                <c:pt idx="1665">
                  <c:v>1665</c:v>
                </c:pt>
                <c:pt idx="1666">
                  <c:v>1666</c:v>
                </c:pt>
                <c:pt idx="1667">
                  <c:v>1667</c:v>
                </c:pt>
                <c:pt idx="1668">
                  <c:v>1668</c:v>
                </c:pt>
                <c:pt idx="1669">
                  <c:v>1669</c:v>
                </c:pt>
                <c:pt idx="1670">
                  <c:v>1670</c:v>
                </c:pt>
                <c:pt idx="1671">
                  <c:v>1671</c:v>
                </c:pt>
                <c:pt idx="1672">
                  <c:v>1672</c:v>
                </c:pt>
                <c:pt idx="1673">
                  <c:v>1673</c:v>
                </c:pt>
                <c:pt idx="1674">
                  <c:v>1674</c:v>
                </c:pt>
                <c:pt idx="1675">
                  <c:v>1675</c:v>
                </c:pt>
                <c:pt idx="1676">
                  <c:v>1676</c:v>
                </c:pt>
                <c:pt idx="1677">
                  <c:v>1677</c:v>
                </c:pt>
                <c:pt idx="1678">
                  <c:v>1678</c:v>
                </c:pt>
                <c:pt idx="1679">
                  <c:v>1679</c:v>
                </c:pt>
                <c:pt idx="1680">
                  <c:v>1680</c:v>
                </c:pt>
                <c:pt idx="1681">
                  <c:v>1681</c:v>
                </c:pt>
                <c:pt idx="1682">
                  <c:v>1682</c:v>
                </c:pt>
                <c:pt idx="1683">
                  <c:v>1683</c:v>
                </c:pt>
                <c:pt idx="1684">
                  <c:v>1684</c:v>
                </c:pt>
                <c:pt idx="1685">
                  <c:v>1685</c:v>
                </c:pt>
                <c:pt idx="1686">
                  <c:v>1686</c:v>
                </c:pt>
                <c:pt idx="1687">
                  <c:v>1687</c:v>
                </c:pt>
                <c:pt idx="1688">
                  <c:v>1688</c:v>
                </c:pt>
                <c:pt idx="1689">
                  <c:v>1689</c:v>
                </c:pt>
                <c:pt idx="1690">
                  <c:v>1690</c:v>
                </c:pt>
                <c:pt idx="1691">
                  <c:v>1691</c:v>
                </c:pt>
                <c:pt idx="1692">
                  <c:v>1692</c:v>
                </c:pt>
                <c:pt idx="1693">
                  <c:v>1693</c:v>
                </c:pt>
                <c:pt idx="1694">
                  <c:v>1694</c:v>
                </c:pt>
                <c:pt idx="1695">
                  <c:v>1695</c:v>
                </c:pt>
                <c:pt idx="1696">
                  <c:v>1696</c:v>
                </c:pt>
                <c:pt idx="1697">
                  <c:v>1697</c:v>
                </c:pt>
                <c:pt idx="1698">
                  <c:v>1698</c:v>
                </c:pt>
                <c:pt idx="1699">
                  <c:v>1699</c:v>
                </c:pt>
                <c:pt idx="1700">
                  <c:v>1700</c:v>
                </c:pt>
                <c:pt idx="1701">
                  <c:v>1701</c:v>
                </c:pt>
                <c:pt idx="1702">
                  <c:v>1702</c:v>
                </c:pt>
                <c:pt idx="1703">
                  <c:v>1703</c:v>
                </c:pt>
                <c:pt idx="1704">
                  <c:v>1704</c:v>
                </c:pt>
                <c:pt idx="1705">
                  <c:v>1705</c:v>
                </c:pt>
                <c:pt idx="1706">
                  <c:v>1706</c:v>
                </c:pt>
                <c:pt idx="1707">
                  <c:v>1707</c:v>
                </c:pt>
                <c:pt idx="1708">
                  <c:v>1708</c:v>
                </c:pt>
                <c:pt idx="1709">
                  <c:v>1709</c:v>
                </c:pt>
                <c:pt idx="1710">
                  <c:v>1710</c:v>
                </c:pt>
                <c:pt idx="1711">
                  <c:v>1711</c:v>
                </c:pt>
                <c:pt idx="1712">
                  <c:v>1712</c:v>
                </c:pt>
                <c:pt idx="1713">
                  <c:v>1713</c:v>
                </c:pt>
                <c:pt idx="1714">
                  <c:v>1714</c:v>
                </c:pt>
                <c:pt idx="1715">
                  <c:v>1715</c:v>
                </c:pt>
                <c:pt idx="1716">
                  <c:v>1716</c:v>
                </c:pt>
                <c:pt idx="1717">
                  <c:v>1717</c:v>
                </c:pt>
                <c:pt idx="1718">
                  <c:v>1718</c:v>
                </c:pt>
                <c:pt idx="1719">
                  <c:v>1719</c:v>
                </c:pt>
                <c:pt idx="1720">
                  <c:v>1720</c:v>
                </c:pt>
                <c:pt idx="1721">
                  <c:v>1721</c:v>
                </c:pt>
                <c:pt idx="1722">
                  <c:v>1722</c:v>
                </c:pt>
                <c:pt idx="1723">
                  <c:v>1723</c:v>
                </c:pt>
                <c:pt idx="1724">
                  <c:v>1724</c:v>
                </c:pt>
                <c:pt idx="1725">
                  <c:v>1725</c:v>
                </c:pt>
                <c:pt idx="1726">
                  <c:v>1726</c:v>
                </c:pt>
                <c:pt idx="1727">
                  <c:v>1727</c:v>
                </c:pt>
                <c:pt idx="1728">
                  <c:v>1728</c:v>
                </c:pt>
                <c:pt idx="1729">
                  <c:v>1729</c:v>
                </c:pt>
                <c:pt idx="1730">
                  <c:v>1730</c:v>
                </c:pt>
                <c:pt idx="1731">
                  <c:v>1731</c:v>
                </c:pt>
                <c:pt idx="1732">
                  <c:v>1732</c:v>
                </c:pt>
                <c:pt idx="1733">
                  <c:v>1733</c:v>
                </c:pt>
                <c:pt idx="1734">
                  <c:v>1734</c:v>
                </c:pt>
                <c:pt idx="1735">
                  <c:v>1735</c:v>
                </c:pt>
                <c:pt idx="1736">
                  <c:v>1736</c:v>
                </c:pt>
                <c:pt idx="1737">
                  <c:v>1737</c:v>
                </c:pt>
                <c:pt idx="1738">
                  <c:v>1738</c:v>
                </c:pt>
                <c:pt idx="1739">
                  <c:v>1739</c:v>
                </c:pt>
                <c:pt idx="1740">
                  <c:v>1740</c:v>
                </c:pt>
                <c:pt idx="1741">
                  <c:v>1741</c:v>
                </c:pt>
                <c:pt idx="1742">
                  <c:v>1742</c:v>
                </c:pt>
                <c:pt idx="1743">
                  <c:v>1743</c:v>
                </c:pt>
                <c:pt idx="1744">
                  <c:v>1744</c:v>
                </c:pt>
                <c:pt idx="1745">
                  <c:v>1745</c:v>
                </c:pt>
                <c:pt idx="1746">
                  <c:v>1746</c:v>
                </c:pt>
                <c:pt idx="1747">
                  <c:v>1747</c:v>
                </c:pt>
                <c:pt idx="1748">
                  <c:v>1748</c:v>
                </c:pt>
                <c:pt idx="1749">
                  <c:v>1749</c:v>
                </c:pt>
                <c:pt idx="1750">
                  <c:v>1750</c:v>
                </c:pt>
                <c:pt idx="1751">
                  <c:v>1751</c:v>
                </c:pt>
                <c:pt idx="1752">
                  <c:v>1752</c:v>
                </c:pt>
                <c:pt idx="1753">
                  <c:v>1753</c:v>
                </c:pt>
                <c:pt idx="1754">
                  <c:v>1754</c:v>
                </c:pt>
                <c:pt idx="1755">
                  <c:v>1755</c:v>
                </c:pt>
                <c:pt idx="1756">
                  <c:v>1756</c:v>
                </c:pt>
                <c:pt idx="1757">
                  <c:v>1757</c:v>
                </c:pt>
                <c:pt idx="1758">
                  <c:v>1758</c:v>
                </c:pt>
                <c:pt idx="1759">
                  <c:v>1759</c:v>
                </c:pt>
                <c:pt idx="1760">
                  <c:v>1760</c:v>
                </c:pt>
                <c:pt idx="1761">
                  <c:v>1761</c:v>
                </c:pt>
                <c:pt idx="1762">
                  <c:v>1762</c:v>
                </c:pt>
                <c:pt idx="1763">
                  <c:v>1763</c:v>
                </c:pt>
                <c:pt idx="1764">
                  <c:v>1764</c:v>
                </c:pt>
                <c:pt idx="1765">
                  <c:v>1765</c:v>
                </c:pt>
                <c:pt idx="1766">
                  <c:v>1766</c:v>
                </c:pt>
                <c:pt idx="1767">
                  <c:v>1767</c:v>
                </c:pt>
                <c:pt idx="1768">
                  <c:v>1768</c:v>
                </c:pt>
                <c:pt idx="1769">
                  <c:v>1769</c:v>
                </c:pt>
                <c:pt idx="1770">
                  <c:v>1770</c:v>
                </c:pt>
                <c:pt idx="1771">
                  <c:v>1771</c:v>
                </c:pt>
                <c:pt idx="1772">
                  <c:v>1772</c:v>
                </c:pt>
                <c:pt idx="1773">
                  <c:v>1773</c:v>
                </c:pt>
                <c:pt idx="1774">
                  <c:v>1774</c:v>
                </c:pt>
                <c:pt idx="1775">
                  <c:v>1775</c:v>
                </c:pt>
                <c:pt idx="1776">
                  <c:v>1776</c:v>
                </c:pt>
                <c:pt idx="1777">
                  <c:v>1777</c:v>
                </c:pt>
                <c:pt idx="1778">
                  <c:v>1778</c:v>
                </c:pt>
                <c:pt idx="1779">
                  <c:v>1779</c:v>
                </c:pt>
                <c:pt idx="1780">
                  <c:v>1780</c:v>
                </c:pt>
                <c:pt idx="1781">
                  <c:v>1781</c:v>
                </c:pt>
                <c:pt idx="1782">
                  <c:v>1782</c:v>
                </c:pt>
                <c:pt idx="1783">
                  <c:v>1783</c:v>
                </c:pt>
                <c:pt idx="1784">
                  <c:v>1784</c:v>
                </c:pt>
                <c:pt idx="1785">
                  <c:v>1785</c:v>
                </c:pt>
                <c:pt idx="1786">
                  <c:v>1786</c:v>
                </c:pt>
                <c:pt idx="1787">
                  <c:v>1787</c:v>
                </c:pt>
                <c:pt idx="1788">
                  <c:v>1788</c:v>
                </c:pt>
                <c:pt idx="1789">
                  <c:v>1789</c:v>
                </c:pt>
                <c:pt idx="1790">
                  <c:v>1790</c:v>
                </c:pt>
                <c:pt idx="1791">
                  <c:v>1791</c:v>
                </c:pt>
                <c:pt idx="1792">
                  <c:v>1792</c:v>
                </c:pt>
                <c:pt idx="1793">
                  <c:v>1793</c:v>
                </c:pt>
                <c:pt idx="1794">
                  <c:v>1794</c:v>
                </c:pt>
                <c:pt idx="1795">
                  <c:v>1795</c:v>
                </c:pt>
                <c:pt idx="1796">
                  <c:v>1796</c:v>
                </c:pt>
                <c:pt idx="1797">
                  <c:v>1797</c:v>
                </c:pt>
                <c:pt idx="1798">
                  <c:v>1798</c:v>
                </c:pt>
                <c:pt idx="1799">
                  <c:v>1799</c:v>
                </c:pt>
                <c:pt idx="1800">
                  <c:v>1800</c:v>
                </c:pt>
                <c:pt idx="1801">
                  <c:v>1801</c:v>
                </c:pt>
                <c:pt idx="1802">
                  <c:v>1802</c:v>
                </c:pt>
                <c:pt idx="1803">
                  <c:v>1803</c:v>
                </c:pt>
                <c:pt idx="1804">
                  <c:v>1804</c:v>
                </c:pt>
                <c:pt idx="1805">
                  <c:v>1805</c:v>
                </c:pt>
                <c:pt idx="1806">
                  <c:v>1806</c:v>
                </c:pt>
                <c:pt idx="1807">
                  <c:v>1807</c:v>
                </c:pt>
                <c:pt idx="1808">
                  <c:v>1808</c:v>
                </c:pt>
                <c:pt idx="1809">
                  <c:v>1809</c:v>
                </c:pt>
                <c:pt idx="1810">
                  <c:v>1810</c:v>
                </c:pt>
                <c:pt idx="1811">
                  <c:v>1811</c:v>
                </c:pt>
                <c:pt idx="1812">
                  <c:v>1812</c:v>
                </c:pt>
                <c:pt idx="1813">
                  <c:v>1813</c:v>
                </c:pt>
                <c:pt idx="1814">
                  <c:v>1814</c:v>
                </c:pt>
                <c:pt idx="1815">
                  <c:v>1815</c:v>
                </c:pt>
                <c:pt idx="1816">
                  <c:v>1816</c:v>
                </c:pt>
                <c:pt idx="1817">
                  <c:v>1817</c:v>
                </c:pt>
                <c:pt idx="1818">
                  <c:v>1818</c:v>
                </c:pt>
                <c:pt idx="1819">
                  <c:v>1819</c:v>
                </c:pt>
                <c:pt idx="1820">
                  <c:v>1820</c:v>
                </c:pt>
                <c:pt idx="1821">
                  <c:v>1821</c:v>
                </c:pt>
                <c:pt idx="1822">
                  <c:v>1822</c:v>
                </c:pt>
                <c:pt idx="1823">
                  <c:v>1823</c:v>
                </c:pt>
                <c:pt idx="1824">
                  <c:v>1824</c:v>
                </c:pt>
                <c:pt idx="1825">
                  <c:v>1825</c:v>
                </c:pt>
                <c:pt idx="1826">
                  <c:v>1826</c:v>
                </c:pt>
                <c:pt idx="1827">
                  <c:v>1827</c:v>
                </c:pt>
                <c:pt idx="1828">
                  <c:v>1828</c:v>
                </c:pt>
                <c:pt idx="1829">
                  <c:v>1829</c:v>
                </c:pt>
                <c:pt idx="1830">
                  <c:v>1830</c:v>
                </c:pt>
                <c:pt idx="1831">
                  <c:v>1831</c:v>
                </c:pt>
                <c:pt idx="1832">
                  <c:v>1832</c:v>
                </c:pt>
                <c:pt idx="1833">
                  <c:v>1833</c:v>
                </c:pt>
                <c:pt idx="1834">
                  <c:v>1834</c:v>
                </c:pt>
                <c:pt idx="1835">
                  <c:v>1835</c:v>
                </c:pt>
                <c:pt idx="1836">
                  <c:v>1836</c:v>
                </c:pt>
                <c:pt idx="1837">
                  <c:v>1837</c:v>
                </c:pt>
                <c:pt idx="1838">
                  <c:v>1838</c:v>
                </c:pt>
                <c:pt idx="1839">
                  <c:v>1839</c:v>
                </c:pt>
                <c:pt idx="1840">
                  <c:v>1840</c:v>
                </c:pt>
                <c:pt idx="1841">
                  <c:v>1841</c:v>
                </c:pt>
                <c:pt idx="1842">
                  <c:v>1842</c:v>
                </c:pt>
                <c:pt idx="1843">
                  <c:v>1843</c:v>
                </c:pt>
                <c:pt idx="1844">
                  <c:v>1844</c:v>
                </c:pt>
                <c:pt idx="1845">
                  <c:v>1845</c:v>
                </c:pt>
                <c:pt idx="1846">
                  <c:v>1846</c:v>
                </c:pt>
                <c:pt idx="1847">
                  <c:v>1847</c:v>
                </c:pt>
                <c:pt idx="1848">
                  <c:v>1848</c:v>
                </c:pt>
                <c:pt idx="1849">
                  <c:v>1849</c:v>
                </c:pt>
                <c:pt idx="1850">
                  <c:v>1850</c:v>
                </c:pt>
                <c:pt idx="1851">
                  <c:v>1851</c:v>
                </c:pt>
                <c:pt idx="1852">
                  <c:v>1852</c:v>
                </c:pt>
                <c:pt idx="1853">
                  <c:v>1853</c:v>
                </c:pt>
                <c:pt idx="1854">
                  <c:v>1854</c:v>
                </c:pt>
                <c:pt idx="1855">
                  <c:v>1855</c:v>
                </c:pt>
                <c:pt idx="1856">
                  <c:v>1856</c:v>
                </c:pt>
                <c:pt idx="1857">
                  <c:v>1857</c:v>
                </c:pt>
                <c:pt idx="1858">
                  <c:v>1858</c:v>
                </c:pt>
                <c:pt idx="1859">
                  <c:v>1859</c:v>
                </c:pt>
                <c:pt idx="1860">
                  <c:v>1860</c:v>
                </c:pt>
                <c:pt idx="1861">
                  <c:v>1861</c:v>
                </c:pt>
                <c:pt idx="1862">
                  <c:v>1862</c:v>
                </c:pt>
                <c:pt idx="1863">
                  <c:v>1863</c:v>
                </c:pt>
                <c:pt idx="1864">
                  <c:v>1864</c:v>
                </c:pt>
                <c:pt idx="1865">
                  <c:v>1865</c:v>
                </c:pt>
                <c:pt idx="1866">
                  <c:v>1866</c:v>
                </c:pt>
                <c:pt idx="1867">
                  <c:v>1867</c:v>
                </c:pt>
                <c:pt idx="1868">
                  <c:v>1868</c:v>
                </c:pt>
                <c:pt idx="1869">
                  <c:v>1869</c:v>
                </c:pt>
                <c:pt idx="1870">
                  <c:v>1870</c:v>
                </c:pt>
                <c:pt idx="1871">
                  <c:v>1871</c:v>
                </c:pt>
                <c:pt idx="1872">
                  <c:v>1872</c:v>
                </c:pt>
                <c:pt idx="1873">
                  <c:v>1873</c:v>
                </c:pt>
                <c:pt idx="1874">
                  <c:v>1874</c:v>
                </c:pt>
                <c:pt idx="1875">
                  <c:v>1875</c:v>
                </c:pt>
                <c:pt idx="1876">
                  <c:v>1876</c:v>
                </c:pt>
                <c:pt idx="1877">
                  <c:v>1877</c:v>
                </c:pt>
                <c:pt idx="1878">
                  <c:v>1878</c:v>
                </c:pt>
                <c:pt idx="1879">
                  <c:v>1879</c:v>
                </c:pt>
                <c:pt idx="1880">
                  <c:v>1880</c:v>
                </c:pt>
                <c:pt idx="1881">
                  <c:v>1881</c:v>
                </c:pt>
                <c:pt idx="1882">
                  <c:v>1882</c:v>
                </c:pt>
                <c:pt idx="1883">
                  <c:v>1883</c:v>
                </c:pt>
                <c:pt idx="1884">
                  <c:v>1884</c:v>
                </c:pt>
                <c:pt idx="1885">
                  <c:v>1885</c:v>
                </c:pt>
                <c:pt idx="1886">
                  <c:v>1886</c:v>
                </c:pt>
                <c:pt idx="1887">
                  <c:v>1887</c:v>
                </c:pt>
                <c:pt idx="1888">
                  <c:v>1888</c:v>
                </c:pt>
                <c:pt idx="1889">
                  <c:v>1889</c:v>
                </c:pt>
                <c:pt idx="1890">
                  <c:v>1890</c:v>
                </c:pt>
                <c:pt idx="1891">
                  <c:v>1891</c:v>
                </c:pt>
                <c:pt idx="1892">
                  <c:v>1892</c:v>
                </c:pt>
                <c:pt idx="1893">
                  <c:v>1893</c:v>
                </c:pt>
                <c:pt idx="1894">
                  <c:v>1894</c:v>
                </c:pt>
                <c:pt idx="1895">
                  <c:v>1895</c:v>
                </c:pt>
                <c:pt idx="1896">
                  <c:v>1896</c:v>
                </c:pt>
                <c:pt idx="1897">
                  <c:v>1897</c:v>
                </c:pt>
                <c:pt idx="1898">
                  <c:v>1898</c:v>
                </c:pt>
                <c:pt idx="1899">
                  <c:v>1899</c:v>
                </c:pt>
                <c:pt idx="1900">
                  <c:v>1900</c:v>
                </c:pt>
                <c:pt idx="1901">
                  <c:v>1901</c:v>
                </c:pt>
                <c:pt idx="1902">
                  <c:v>1902</c:v>
                </c:pt>
                <c:pt idx="1903">
                  <c:v>1903</c:v>
                </c:pt>
                <c:pt idx="1904">
                  <c:v>1904</c:v>
                </c:pt>
                <c:pt idx="1905">
                  <c:v>1905</c:v>
                </c:pt>
                <c:pt idx="1906">
                  <c:v>1906</c:v>
                </c:pt>
                <c:pt idx="1907">
                  <c:v>1907</c:v>
                </c:pt>
                <c:pt idx="1908">
                  <c:v>1908</c:v>
                </c:pt>
                <c:pt idx="1909">
                  <c:v>1909</c:v>
                </c:pt>
                <c:pt idx="1910">
                  <c:v>1910</c:v>
                </c:pt>
                <c:pt idx="1911">
                  <c:v>1911</c:v>
                </c:pt>
                <c:pt idx="1912">
                  <c:v>1912</c:v>
                </c:pt>
                <c:pt idx="1913">
                  <c:v>1913</c:v>
                </c:pt>
                <c:pt idx="1914">
                  <c:v>1914</c:v>
                </c:pt>
                <c:pt idx="1915">
                  <c:v>1915</c:v>
                </c:pt>
                <c:pt idx="1916">
                  <c:v>1916</c:v>
                </c:pt>
                <c:pt idx="1917">
                  <c:v>1917</c:v>
                </c:pt>
                <c:pt idx="1918">
                  <c:v>1918</c:v>
                </c:pt>
                <c:pt idx="1919">
                  <c:v>1919</c:v>
                </c:pt>
                <c:pt idx="1920">
                  <c:v>1920</c:v>
                </c:pt>
                <c:pt idx="1921">
                  <c:v>1921</c:v>
                </c:pt>
                <c:pt idx="1922">
                  <c:v>1922</c:v>
                </c:pt>
                <c:pt idx="1923">
                  <c:v>1923</c:v>
                </c:pt>
                <c:pt idx="1924">
                  <c:v>1924</c:v>
                </c:pt>
                <c:pt idx="1925">
                  <c:v>1925</c:v>
                </c:pt>
                <c:pt idx="1926">
                  <c:v>1926</c:v>
                </c:pt>
                <c:pt idx="1927">
                  <c:v>1927</c:v>
                </c:pt>
                <c:pt idx="1928">
                  <c:v>1928</c:v>
                </c:pt>
                <c:pt idx="1929">
                  <c:v>1929</c:v>
                </c:pt>
                <c:pt idx="1930">
                  <c:v>1930</c:v>
                </c:pt>
                <c:pt idx="1931">
                  <c:v>1931</c:v>
                </c:pt>
                <c:pt idx="1932">
                  <c:v>1932</c:v>
                </c:pt>
                <c:pt idx="1933">
                  <c:v>1933</c:v>
                </c:pt>
                <c:pt idx="1934">
                  <c:v>1934</c:v>
                </c:pt>
                <c:pt idx="1935">
                  <c:v>1935</c:v>
                </c:pt>
                <c:pt idx="1936">
                  <c:v>1936</c:v>
                </c:pt>
                <c:pt idx="1937">
                  <c:v>1937</c:v>
                </c:pt>
                <c:pt idx="1938">
                  <c:v>1938</c:v>
                </c:pt>
                <c:pt idx="1939">
                  <c:v>1939</c:v>
                </c:pt>
                <c:pt idx="1940">
                  <c:v>1940</c:v>
                </c:pt>
                <c:pt idx="1941">
                  <c:v>1941</c:v>
                </c:pt>
                <c:pt idx="1942">
                  <c:v>1942</c:v>
                </c:pt>
                <c:pt idx="1943">
                  <c:v>1943</c:v>
                </c:pt>
                <c:pt idx="1944">
                  <c:v>1944</c:v>
                </c:pt>
                <c:pt idx="1945">
                  <c:v>1945</c:v>
                </c:pt>
                <c:pt idx="1946">
                  <c:v>1946</c:v>
                </c:pt>
                <c:pt idx="1947">
                  <c:v>1947</c:v>
                </c:pt>
                <c:pt idx="1948">
                  <c:v>1948</c:v>
                </c:pt>
                <c:pt idx="1949">
                  <c:v>1949</c:v>
                </c:pt>
                <c:pt idx="1950">
                  <c:v>1950</c:v>
                </c:pt>
                <c:pt idx="1951">
                  <c:v>1951</c:v>
                </c:pt>
                <c:pt idx="1952">
                  <c:v>1952</c:v>
                </c:pt>
                <c:pt idx="1953">
                  <c:v>1953</c:v>
                </c:pt>
                <c:pt idx="1954">
                  <c:v>1954</c:v>
                </c:pt>
                <c:pt idx="1955">
                  <c:v>1955</c:v>
                </c:pt>
                <c:pt idx="1956">
                  <c:v>1956</c:v>
                </c:pt>
                <c:pt idx="1957">
                  <c:v>1957</c:v>
                </c:pt>
                <c:pt idx="1958">
                  <c:v>1958</c:v>
                </c:pt>
                <c:pt idx="1959">
                  <c:v>1959</c:v>
                </c:pt>
                <c:pt idx="1960">
                  <c:v>1960</c:v>
                </c:pt>
                <c:pt idx="1961">
                  <c:v>1961</c:v>
                </c:pt>
                <c:pt idx="1962">
                  <c:v>1962</c:v>
                </c:pt>
                <c:pt idx="1963">
                  <c:v>1963</c:v>
                </c:pt>
                <c:pt idx="1964">
                  <c:v>1964</c:v>
                </c:pt>
                <c:pt idx="1965">
                  <c:v>1965</c:v>
                </c:pt>
                <c:pt idx="1966">
                  <c:v>1966</c:v>
                </c:pt>
                <c:pt idx="1967">
                  <c:v>1967</c:v>
                </c:pt>
                <c:pt idx="1968">
                  <c:v>1968</c:v>
                </c:pt>
                <c:pt idx="1969">
                  <c:v>1969</c:v>
                </c:pt>
                <c:pt idx="1970">
                  <c:v>1970</c:v>
                </c:pt>
                <c:pt idx="1971">
                  <c:v>1971</c:v>
                </c:pt>
                <c:pt idx="1972">
                  <c:v>1972</c:v>
                </c:pt>
                <c:pt idx="1973">
                  <c:v>1973</c:v>
                </c:pt>
                <c:pt idx="1974">
                  <c:v>1974</c:v>
                </c:pt>
                <c:pt idx="1975">
                  <c:v>1975</c:v>
                </c:pt>
                <c:pt idx="1976">
                  <c:v>1976</c:v>
                </c:pt>
                <c:pt idx="1977">
                  <c:v>1977</c:v>
                </c:pt>
                <c:pt idx="1978">
                  <c:v>1978</c:v>
                </c:pt>
                <c:pt idx="1979">
                  <c:v>1979</c:v>
                </c:pt>
                <c:pt idx="1980">
                  <c:v>1980</c:v>
                </c:pt>
                <c:pt idx="1981">
                  <c:v>1981</c:v>
                </c:pt>
                <c:pt idx="1982">
                  <c:v>1982</c:v>
                </c:pt>
                <c:pt idx="1983">
                  <c:v>1983</c:v>
                </c:pt>
                <c:pt idx="1984">
                  <c:v>1984</c:v>
                </c:pt>
                <c:pt idx="1985">
                  <c:v>1985</c:v>
                </c:pt>
                <c:pt idx="1986">
                  <c:v>1986</c:v>
                </c:pt>
                <c:pt idx="1987">
                  <c:v>1987</c:v>
                </c:pt>
                <c:pt idx="1988">
                  <c:v>1988</c:v>
                </c:pt>
                <c:pt idx="1989">
                  <c:v>1989</c:v>
                </c:pt>
                <c:pt idx="1990">
                  <c:v>1990</c:v>
                </c:pt>
                <c:pt idx="1991">
                  <c:v>1991</c:v>
                </c:pt>
                <c:pt idx="1992">
                  <c:v>1992</c:v>
                </c:pt>
                <c:pt idx="1993">
                  <c:v>1993</c:v>
                </c:pt>
                <c:pt idx="1994">
                  <c:v>1994</c:v>
                </c:pt>
                <c:pt idx="1995">
                  <c:v>1995</c:v>
                </c:pt>
                <c:pt idx="1996">
                  <c:v>1996</c:v>
                </c:pt>
                <c:pt idx="1997">
                  <c:v>1997</c:v>
                </c:pt>
                <c:pt idx="1998">
                  <c:v>1998</c:v>
                </c:pt>
                <c:pt idx="1999">
                  <c:v>1999</c:v>
                </c:pt>
                <c:pt idx="2000">
                  <c:v>2000</c:v>
                </c:pt>
              </c:numCache>
            </c:numRef>
          </c:xVal>
          <c:yVal>
            <c:numRef>
              <c:f>'Fitting Equation 11'!$M$9:$M$2009</c:f>
              <c:numCache>
                <c:formatCode>0.0000</c:formatCode>
                <c:ptCount val="2001"/>
                <c:pt idx="0">
                  <c:v>1.5021179797789412E-5</c:v>
                </c:pt>
                <c:pt idx="1">
                  <c:v>1.4815798459489588E-5</c:v>
                </c:pt>
                <c:pt idx="2">
                  <c:v>1.4614547424263017E-5</c:v>
                </c:pt>
                <c:pt idx="3">
                  <c:v>1.4417316680523182E-5</c:v>
                </c:pt>
                <c:pt idx="4">
                  <c:v>1.4223999855172585E-5</c:v>
                </c:pt>
                <c:pt idx="5">
                  <c:v>1.403449407014625E-5</c:v>
                </c:pt>
                <c:pt idx="6">
                  <c:v>1.3848699805511024E-5</c:v>
                </c:pt>
                <c:pt idx="7">
                  <c:v>1.3666520768780349E-5</c:v>
                </c:pt>
                <c:pt idx="8">
                  <c:v>1.3487863770124194E-5</c:v>
                </c:pt>
                <c:pt idx="9">
                  <c:v>1.3312638603172141E-5</c:v>
                </c:pt>
                <c:pt idx="10">
                  <c:v>1.3140757931124927E-5</c:v>
                </c:pt>
                <c:pt idx="11">
                  <c:v>1.2972137177905994E-5</c:v>
                </c:pt>
                <c:pt idx="12">
                  <c:v>1.2806694424099724E-5</c:v>
                </c:pt>
                <c:pt idx="13">
                  <c:v>1.2644350307437344E-5</c:v>
                </c:pt>
                <c:pt idx="14">
                  <c:v>1.2485027927604673E-5</c:v>
                </c:pt>
                <c:pt idx="15">
                  <c:v>1.2328652755158663E-5</c:v>
                </c:pt>
                <c:pt idx="16">
                  <c:v>1.2175152544351148E-5</c:v>
                </c:pt>
                <c:pt idx="17">
                  <c:v>1.2024457249669567E-5</c:v>
                </c:pt>
                <c:pt idx="18">
                  <c:v>1.1876498945914489E-5</c:v>
                </c:pt>
                <c:pt idx="19">
                  <c:v>1.1731211751643812E-5</c:v>
                </c:pt>
                <c:pt idx="20">
                  <c:v>1.1588531755822389E-5</c:v>
                </c:pt>
                <c:pt idx="21">
                  <c:v>1.1448396947524773E-5</c:v>
                </c:pt>
                <c:pt idx="22">
                  <c:v>1.1310747148546533E-5</c:v>
                </c:pt>
                <c:pt idx="23">
                  <c:v>1.1175523948787542E-5</c:v>
                </c:pt>
                <c:pt idx="24">
                  <c:v>1.1042670644277607E-5</c:v>
                </c:pt>
                <c:pt idx="25">
                  <c:v>1.0912132177721747E-5</c:v>
                </c:pt>
                <c:pt idx="26">
                  <c:v>1.078385508144862E-5</c:v>
                </c:pt>
                <c:pt idx="27">
                  <c:v>1.0657787422651827E-5</c:v>
                </c:pt>
                <c:pt idx="28">
                  <c:v>1.0533878750819317E-5</c:v>
                </c:pt>
                <c:pt idx="29">
                  <c:v>1.0412080047251576E-5</c:v>
                </c:pt>
                <c:pt idx="30">
                  <c:v>1.0292343676574218E-5</c:v>
                </c:pt>
                <c:pt idx="31">
                  <c:v>1.0174623340155538E-5</c:v>
                </c:pt>
                <c:pt idx="32">
                  <c:v>1.0058874031343868E-5</c:v>
                </c:pt>
                <c:pt idx="33">
                  <c:v>9.9450519924440234E-6</c:v>
                </c:pt>
                <c:pt idx="34">
                  <c:v>9.8331146733559555E-6</c:v>
                </c:pt>
                <c:pt idx="35">
                  <c:v>9.7230206918027379E-6</c:v>
                </c:pt>
                <c:pt idx="36">
                  <c:v>9.6147297950783592E-6</c:v>
                </c:pt>
                <c:pt idx="37">
                  <c:v>9.5082028232493704E-6</c:v>
                </c:pt>
                <c:pt idx="38">
                  <c:v>9.4034016737475668E-6</c:v>
                </c:pt>
                <c:pt idx="39">
                  <c:v>9.3002892672939448E-6</c:v>
                </c:pt>
                <c:pt idx="40">
                  <c:v>9.1988295150969983E-6</c:v>
                </c:pt>
                <c:pt idx="41">
                  <c:v>9.0989872872711952E-6</c:v>
                </c:pt>
                <c:pt idx="42">
                  <c:v>9.0007283824240796E-6</c:v>
                </c:pt>
                <c:pt idx="43">
                  <c:v>8.904019498362763E-6</c:v>
                </c:pt>
                <c:pt idx="44">
                  <c:v>8.8088282038730184E-6</c:v>
                </c:pt>
                <c:pt idx="45">
                  <c:v>8.7151229115263077E-6</c:v>
                </c:pt>
                <c:pt idx="46">
                  <c:v>8.6228728514721691E-6</c:v>
                </c:pt>
                <c:pt idx="47">
                  <c:v>8.5320480461753966E-6</c:v>
                </c:pt>
                <c:pt idx="48">
                  <c:v>8.4426192860592196E-6</c:v>
                </c:pt>
                <c:pt idx="49">
                  <c:v>8.3545581060176368E-6</c:v>
                </c:pt>
                <c:pt idx="50">
                  <c:v>8.2678367627615521E-6</c:v>
                </c:pt>
                <c:pt idx="51">
                  <c:v>8.1824282129650738E-6</c:v>
                </c:pt>
                <c:pt idx="52">
                  <c:v>8.0983060921799002E-6</c:v>
                </c:pt>
                <c:pt idx="53">
                  <c:v>8.0154446944869856E-6</c:v>
                </c:pt>
                <c:pt idx="54">
                  <c:v>7.9338189528562913E-6</c:v>
                </c:pt>
                <c:pt idx="55">
                  <c:v>7.8534044201864849E-6</c:v>
                </c:pt>
                <c:pt idx="56">
                  <c:v>7.7741772509979118E-6</c:v>
                </c:pt>
                <c:pt idx="57">
                  <c:v>7.6961141837531921E-6</c:v>
                </c:pt>
                <c:pt idx="58">
                  <c:v>7.6191925237809651E-6</c:v>
                </c:pt>
                <c:pt idx="59">
                  <c:v>7.5433901267794198E-6</c:v>
                </c:pt>
                <c:pt idx="60">
                  <c:v>7.4686853828771872E-6</c:v>
                </c:pt>
                <c:pt idx="61">
                  <c:v>7.3950572012301852E-6</c:v>
                </c:pt>
                <c:pt idx="62">
                  <c:v>7.322484995133924E-6</c:v>
                </c:pt>
                <c:pt idx="63">
                  <c:v>7.2509486676316561E-6</c:v>
                </c:pt>
                <c:pt idx="64">
                  <c:v>7.1804285975995691E-6</c:v>
                </c:pt>
                <c:pt idx="65">
                  <c:v>7.1109056262910497E-6</c:v>
                </c:pt>
                <c:pt idx="66">
                  <c:v>7.0423610443227876E-6</c:v>
                </c:pt>
                <c:pt idx="67">
                  <c:v>6.9747765790862182E-6</c:v>
                </c:pt>
                <c:pt idx="68">
                  <c:v>6.9081343825684806E-6</c:v>
                </c:pt>
                <c:pt idx="69">
                  <c:v>6.8424170195677373E-6</c:v>
                </c:pt>
                <c:pt idx="70">
                  <c:v>6.7776074562883674E-6</c:v>
                </c:pt>
                <c:pt idx="71">
                  <c:v>6.7136890493020225E-6</c:v>
                </c:pt>
                <c:pt idx="72">
                  <c:v>6.6506455348612848E-6</c:v>
                </c:pt>
                <c:pt idx="73">
                  <c:v>6.588461018553035E-6</c:v>
                </c:pt>
                <c:pt idx="74">
                  <c:v>6.5271199652793117E-6</c:v>
                </c:pt>
                <c:pt idx="75">
                  <c:v>6.4666071895538094E-6</c:v>
                </c:pt>
                <c:pt idx="76">
                  <c:v>6.4069078461027454E-6</c:v>
                </c:pt>
                <c:pt idx="77">
                  <c:v>6.3480074207592239E-6</c:v>
                </c:pt>
                <c:pt idx="78">
                  <c:v>6.2898917216406267E-6</c:v>
                </c:pt>
                <c:pt idx="79">
                  <c:v>6.2325468705991124E-6</c:v>
                </c:pt>
                <c:pt idx="80">
                  <c:v>6.1759592949355028E-6</c:v>
                </c:pt>
                <c:pt idx="81">
                  <c:v>6.1201157193673904E-6</c:v>
                </c:pt>
                <c:pt idx="82">
                  <c:v>6.065003158242582E-6</c:v>
                </c:pt>
                <c:pt idx="83">
                  <c:v>6.010608907989309E-6</c:v>
                </c:pt>
                <c:pt idx="84">
                  <c:v>5.9569205397950952E-6</c:v>
                </c:pt>
                <c:pt idx="85">
                  <c:v>5.9039258925062892E-6</c:v>
                </c:pt>
                <c:pt idx="86">
                  <c:v>5.8516130657408145E-6</c:v>
                </c:pt>
                <c:pt idx="87">
                  <c:v>5.7999704132067494E-6</c:v>
                </c:pt>
                <c:pt idx="88">
                  <c:v>5.7489865362198006E-6</c:v>
                </c:pt>
                <c:pt idx="89">
                  <c:v>5.6986502774129033E-6</c:v>
                </c:pt>
                <c:pt idx="90">
                  <c:v>5.6489507146314649E-6</c:v>
                </c:pt>
                <c:pt idx="91">
                  <c:v>5.599877155008061E-6</c:v>
                </c:pt>
                <c:pt idx="92">
                  <c:v>5.5514191292105014E-6</c:v>
                </c:pt>
                <c:pt idx="93">
                  <c:v>5.5035663858575714E-6</c:v>
                </c:pt>
                <c:pt idx="94">
                  <c:v>5.4563088860968362E-6</c:v>
                </c:pt>
                <c:pt idx="95">
                  <c:v>5.4096367983391847E-6</c:v>
                </c:pt>
                <c:pt idx="96">
                  <c:v>5.3635404931449187E-6</c:v>
                </c:pt>
                <c:pt idx="97">
                  <c:v>5.3180105382564753E-6</c:v>
                </c:pt>
                <c:pt idx="98">
                  <c:v>5.2730376937729527E-6</c:v>
                </c:pt>
                <c:pt idx="99">
                  <c:v>5.2286129074618376E-6</c:v>
                </c:pt>
                <c:pt idx="100">
                  <c:v>5.1847273102035359E-6</c:v>
                </c:pt>
                <c:pt idx="101">
                  <c:v>5.1413722115643583E-6</c:v>
                </c:pt>
                <c:pt idx="102">
                  <c:v>5.0985390954938952E-6</c:v>
                </c:pt>
                <c:pt idx="103">
                  <c:v>5.0562196161427657E-6</c:v>
                </c:pt>
                <c:pt idx="104">
                  <c:v>5.0144055937969293E-6</c:v>
                </c:pt>
                <c:pt idx="105">
                  <c:v>4.9730890109248622E-6</c:v>
                </c:pt>
                <c:pt idx="106">
                  <c:v>4.9322620083339906E-6</c:v>
                </c:pt>
                <c:pt idx="107">
                  <c:v>4.8919168814330204E-6</c:v>
                </c:pt>
                <c:pt idx="108">
                  <c:v>4.8520460765967679E-6</c:v>
                </c:pt>
                <c:pt idx="109">
                  <c:v>4.8126421876303265E-6</c:v>
                </c:pt>
                <c:pt idx="110">
                  <c:v>4.7736979523294813E-6</c:v>
                </c:pt>
                <c:pt idx="111">
                  <c:v>4.7352062491343726E-6</c:v>
                </c:pt>
                <c:pt idx="112">
                  <c:v>4.69716009387356E-6</c:v>
                </c:pt>
                <c:pt idx="113">
                  <c:v>4.6595526365956403E-6</c:v>
                </c:pt>
                <c:pt idx="114">
                  <c:v>4.6223771584858491E-6</c:v>
                </c:pt>
                <c:pt idx="115">
                  <c:v>4.5856270688649258E-6</c:v>
                </c:pt>
                <c:pt idx="116">
                  <c:v>4.5492959022678458E-6</c:v>
                </c:pt>
                <c:pt idx="117">
                  <c:v>4.5133773155999397E-6</c:v>
                </c:pt>
                <c:pt idx="118">
                  <c:v>4.4778650853680776E-6</c:v>
                </c:pt>
                <c:pt idx="119">
                  <c:v>4.442753104984698E-6</c:v>
                </c:pt>
                <c:pt idx="120">
                  <c:v>4.4080353821424258E-6</c:v>
                </c:pt>
                <c:pt idx="121">
                  <c:v>4.3737060362572672E-6</c:v>
                </c:pt>
                <c:pt idx="122">
                  <c:v>4.3397592959782576E-6</c:v>
                </c:pt>
                <c:pt idx="123">
                  <c:v>4.3061894967616482E-6</c:v>
                </c:pt>
                <c:pt idx="124">
                  <c:v>4.2729910785077137E-6</c:v>
                </c:pt>
                <c:pt idx="125">
                  <c:v>4.2401585832583229E-6</c:v>
                </c:pt>
                <c:pt idx="126">
                  <c:v>4.2076866529535319E-6</c:v>
                </c:pt>
                <c:pt idx="127">
                  <c:v>4.1755700272454254E-6</c:v>
                </c:pt>
                <c:pt idx="128">
                  <c:v>4.1438035413675929E-6</c:v>
                </c:pt>
                <c:pt idx="129">
                  <c:v>4.1123821240585966E-6</c:v>
                </c:pt>
                <c:pt idx="130">
                  <c:v>4.081300795537875E-6</c:v>
                </c:pt>
                <c:pt idx="131">
                  <c:v>4.0505546655325965E-6</c:v>
                </c:pt>
                <c:pt idx="132">
                  <c:v>4.0201389313539655E-6</c:v>
                </c:pt>
                <c:pt idx="133">
                  <c:v>3.9900488760216177E-6</c:v>
                </c:pt>
                <c:pt idx="134">
                  <c:v>3.96027986643468E-6</c:v>
                </c:pt>
                <c:pt idx="135">
                  <c:v>3.9308273515882249E-6</c:v>
                </c:pt>
                <c:pt idx="136">
                  <c:v>3.9016868608337994E-6</c:v>
                </c:pt>
                <c:pt idx="137">
                  <c:v>3.8728540021828079E-6</c:v>
                </c:pt>
                <c:pt idx="138">
                  <c:v>3.844324460651542E-6</c:v>
                </c:pt>
                <c:pt idx="139">
                  <c:v>3.8160939966466762E-6</c:v>
                </c:pt>
                <c:pt idx="140">
                  <c:v>3.7881584443901502E-6</c:v>
                </c:pt>
                <c:pt idx="141">
                  <c:v>3.7605137103822696E-6</c:v>
                </c:pt>
                <c:pt idx="142">
                  <c:v>3.7331557719020467E-6</c:v>
                </c:pt>
                <c:pt idx="143">
                  <c:v>3.706080675543698E-6</c:v>
                </c:pt>
                <c:pt idx="144">
                  <c:v>3.6792845357883259E-6</c:v>
                </c:pt>
                <c:pt idx="145">
                  <c:v>3.6527635336098325E-6</c:v>
                </c:pt>
                <c:pt idx="146">
                  <c:v>3.6265139151141014E-6</c:v>
                </c:pt>
                <c:pt idx="147">
                  <c:v>3.6005319902105782E-6</c:v>
                </c:pt>
                <c:pt idx="148">
                  <c:v>3.5748141313153383E-6</c:v>
                </c:pt>
                <c:pt idx="149">
                  <c:v>3.5493567720848203E-6</c:v>
                </c:pt>
                <c:pt idx="150">
                  <c:v>3.5241564061793797E-6</c:v>
                </c:pt>
                <c:pt idx="151">
                  <c:v>3.4992095860558598E-6</c:v>
                </c:pt>
                <c:pt idx="152">
                  <c:v>3.4745129217884421E-6</c:v>
                </c:pt>
                <c:pt idx="153">
                  <c:v>3.4500630799169638E-6</c:v>
                </c:pt>
                <c:pt idx="154">
                  <c:v>3.4258567823220155E-6</c:v>
                </c:pt>
                <c:pt idx="155">
                  <c:v>3.4018908051260995E-6</c:v>
                </c:pt>
                <c:pt idx="156">
                  <c:v>3.3781619776201532E-6</c:v>
                </c:pt>
                <c:pt idx="157">
                  <c:v>3.354667181214789E-6</c:v>
                </c:pt>
                <c:pt idx="158">
                  <c:v>3.3314033484155703E-6</c:v>
                </c:pt>
                <c:pt idx="159">
                  <c:v>3.308367461821732E-6</c:v>
                </c:pt>
                <c:pt idx="160">
                  <c:v>3.2855565531477066E-6</c:v>
                </c:pt>
                <c:pt idx="161">
                  <c:v>3.2629677022668928E-6</c:v>
                </c:pt>
                <c:pt idx="162">
                  <c:v>3.2405980362770476E-6</c:v>
                </c:pt>
                <c:pt idx="163">
                  <c:v>3.2184447285868003E-6</c:v>
                </c:pt>
                <c:pt idx="164">
                  <c:v>3.1965049980226873E-6</c:v>
                </c:pt>
                <c:pt idx="165">
                  <c:v>3.1747761079562349E-6</c:v>
                </c:pt>
                <c:pt idx="166">
                  <c:v>3.153255365450534E-6</c:v>
                </c:pt>
                <c:pt idx="167">
                  <c:v>3.1319401204258419E-6</c:v>
                </c:pt>
                <c:pt idx="168">
                  <c:v>3.110827764843709E-6</c:v>
                </c:pt>
                <c:pt idx="169">
                  <c:v>3.0899157319091707E-6</c:v>
                </c:pt>
                <c:pt idx="170">
                  <c:v>3.0692014952905478E-6</c:v>
                </c:pt>
                <c:pt idx="171">
                  <c:v>3.0486825683564111E-6</c:v>
                </c:pt>
                <c:pt idx="172">
                  <c:v>3.028356503429283E-6</c:v>
                </c:pt>
                <c:pt idx="173">
                  <c:v>3.0082208910556458E-6</c:v>
                </c:pt>
                <c:pt idx="174">
                  <c:v>2.9882733592918667E-6</c:v>
                </c:pt>
                <c:pt idx="175">
                  <c:v>2.9685115730056505E-6</c:v>
                </c:pt>
                <c:pt idx="176">
                  <c:v>2.9489332331925933E-6</c:v>
                </c:pt>
                <c:pt idx="177">
                  <c:v>2.9295360763075222E-6</c:v>
                </c:pt>
                <c:pt idx="178">
                  <c:v>2.910317873610213E-6</c:v>
                </c:pt>
                <c:pt idx="179">
                  <c:v>2.891276430525152E-6</c:v>
                </c:pt>
                <c:pt idx="180">
                  <c:v>2.8724095860150057E-6</c:v>
                </c:pt>
                <c:pt idx="181">
                  <c:v>2.8537152119674392E-6</c:v>
                </c:pt>
                <c:pt idx="182">
                  <c:v>2.8351912125949829E-6</c:v>
                </c:pt>
                <c:pt idx="183">
                  <c:v>2.8168355238476226E-6</c:v>
                </c:pt>
                <c:pt idx="184">
                  <c:v>2.7986461128378E-6</c:v>
                </c:pt>
                <c:pt idx="185">
                  <c:v>2.7806209772775433E-6</c:v>
                </c:pt>
                <c:pt idx="186">
                  <c:v>2.7627581449274048E-6</c:v>
                </c:pt>
                <c:pt idx="187">
                  <c:v>2.7450556730569543E-6</c:v>
                </c:pt>
                <c:pt idx="188">
                  <c:v>2.727511647916536E-6</c:v>
                </c:pt>
                <c:pt idx="189">
                  <c:v>2.7101241842200322E-6</c:v>
                </c:pt>
                <c:pt idx="190">
                  <c:v>2.6928914246383489E-6</c:v>
                </c:pt>
                <c:pt idx="191">
                  <c:v>2.6758115393034012E-6</c:v>
                </c:pt>
                <c:pt idx="192">
                  <c:v>2.6588827253223295E-6</c:v>
                </c:pt>
                <c:pt idx="193">
                  <c:v>2.6421032063017077E-6</c:v>
                </c:pt>
                <c:pt idx="194">
                  <c:v>2.6254712318815254E-6</c:v>
                </c:pt>
                <c:pt idx="195">
                  <c:v>2.6089850772786941E-6</c:v>
                </c:pt>
                <c:pt idx="196">
                  <c:v>2.5926430428398586E-6</c:v>
                </c:pt>
                <c:pt idx="197">
                  <c:v>2.5764434536033225E-6</c:v>
                </c:pt>
                <c:pt idx="198">
                  <c:v>2.5603846588698415E-6</c:v>
                </c:pt>
                <c:pt idx="199">
                  <c:v>2.5444650317821035E-6</c:v>
                </c:pt>
                <c:pt idx="200">
                  <c:v>2.5286829689126827E-6</c:v>
                </c:pt>
                <c:pt idx="201">
                  <c:v>2.5130368898602812E-6</c:v>
                </c:pt>
                <c:pt idx="202">
                  <c:v>2.4975252368540615E-6</c:v>
                </c:pt>
                <c:pt idx="203">
                  <c:v>2.4821464743658976E-6</c:v>
                </c:pt>
                <c:pt idx="204">
                  <c:v>2.4668990887303373E-6</c:v>
                </c:pt>
                <c:pt idx="205">
                  <c:v>2.4517815877721415E-6</c:v>
                </c:pt>
                <c:pt idx="206">
                  <c:v>2.4367925004411814E-6</c:v>
                </c:pt>
                <c:pt idx="207">
                  <c:v>2.4219303764545731E-6</c:v>
                </c:pt>
                <c:pt idx="208">
                  <c:v>2.407193785945848E-6</c:v>
                </c:pt>
                <c:pt idx="209">
                  <c:v>2.3925813191210345E-6</c:v>
                </c:pt>
                <c:pt idx="210">
                  <c:v>2.3780915859214622E-6</c:v>
                </c:pt>
                <c:pt idx="211">
                  <c:v>2.3637232156931685E-6</c:v>
                </c:pt>
                <c:pt idx="212">
                  <c:v>2.3494748568627492E-6</c:v>
                </c:pt>
                <c:pt idx="213">
                  <c:v>2.3353451766194978E-6</c:v>
                </c:pt>
                <c:pt idx="214">
                  <c:v>2.3213328606037158E-6</c:v>
                </c:pt>
                <c:pt idx="215">
                  <c:v>2.3074366126010418E-6</c:v>
                </c:pt>
                <c:pt idx="216">
                  <c:v>2.293655154242674E-6</c:v>
                </c:pt>
                <c:pt idx="217">
                  <c:v>2.2799872247113552E-6</c:v>
                </c:pt>
                <c:pt idx="218">
                  <c:v>2.2664315804529926E-6</c:v>
                </c:pt>
                <c:pt idx="219">
                  <c:v>2.2529869948937912E-6</c:v>
                </c:pt>
                <c:pt idx="220">
                  <c:v>2.2396522581627821E-6</c:v>
                </c:pt>
                <c:pt idx="221">
                  <c:v>2.2264261768196158E-6</c:v>
                </c:pt>
                <c:pt idx="222">
                  <c:v>2.2133075735875367E-6</c:v>
                </c:pt>
                <c:pt idx="223">
                  <c:v>2.2002952870913854E-6</c:v>
                </c:pt>
                <c:pt idx="224">
                  <c:v>2.1873881716005578E-6</c:v>
                </c:pt>
                <c:pt idx="225">
                  <c:v>2.1745850967767877E-6</c:v>
                </c:pt>
                <c:pt idx="226">
                  <c:v>2.1618849474266688E-6</c:v>
                </c:pt>
                <c:pt idx="227">
                  <c:v>2.149286623258806E-6</c:v>
                </c:pt>
                <c:pt idx="228">
                  <c:v>2.1367890386454881E-6</c:v>
                </c:pt>
                <c:pt idx="229">
                  <c:v>2.1243911223888073E-6</c:v>
                </c:pt>
                <c:pt idx="230">
                  <c:v>2.1120918174911109E-6</c:v>
                </c:pt>
                <c:pt idx="231">
                  <c:v>2.0998900809297072E-6</c:v>
                </c:pt>
                <c:pt idx="232">
                  <c:v>2.0877848834357312E-6</c:v>
                </c:pt>
                <c:pt idx="233">
                  <c:v>2.0757752092770724E-6</c:v>
                </c:pt>
                <c:pt idx="234">
                  <c:v>2.0638600560453012E-6</c:v>
                </c:pt>
                <c:pt idx="235">
                  <c:v>2.0520384344464904E-6</c:v>
                </c:pt>
                <c:pt idx="236">
                  <c:v>2.0403093680958628E-6</c:v>
                </c:pt>
                <c:pt idx="237">
                  <c:v>2.0286718933161764E-6</c:v>
                </c:pt>
                <c:pt idx="238">
                  <c:v>2.0171250589397727E-6</c:v>
                </c:pt>
                <c:pt idx="239">
                  <c:v>2.0056679261142195E-6</c:v>
                </c:pt>
                <c:pt idx="240">
                  <c:v>1.9942995681114626E-6</c:v>
                </c:pt>
                <c:pt idx="241">
                  <c:v>1.9830190701404201E-6</c:v>
                </c:pt>
                <c:pt idx="242">
                  <c:v>1.9718255291629485E-6</c:v>
                </c:pt>
                <c:pt idx="243">
                  <c:v>1.960718053713108E-6</c:v>
                </c:pt>
                <c:pt idx="244">
                  <c:v>1.9496957637196635E-6</c:v>
                </c:pt>
                <c:pt idx="245">
                  <c:v>1.9387577903317578E-6</c:v>
                </c:pt>
                <c:pt idx="246">
                  <c:v>1.9279032757476806E-6</c:v>
                </c:pt>
                <c:pt idx="247">
                  <c:v>1.9171313730466834E-6</c:v>
                </c:pt>
                <c:pt idx="248">
                  <c:v>1.9064412460237747E-6</c:v>
                </c:pt>
                <c:pt idx="249">
                  <c:v>1.8958320690274266E-6</c:v>
                </c:pt>
                <c:pt idx="250">
                  <c:v>1.8853030268001547E-6</c:v>
                </c:pt>
                <c:pt idx="251">
                  <c:v>1.8748533143218887E-6</c:v>
                </c:pt>
                <c:pt idx="252">
                  <c:v>1.8644821366560928E-6</c:v>
                </c:pt>
                <c:pt idx="253">
                  <c:v>1.8541887087985821E-6</c:v>
                </c:pt>
                <c:pt idx="254">
                  <c:v>1.8439722555289722E-6</c:v>
                </c:pt>
                <c:pt idx="255">
                  <c:v>1.8338320112647172E-6</c:v>
                </c:pt>
                <c:pt idx="256">
                  <c:v>1.8237672199176812E-6</c:v>
                </c:pt>
                <c:pt idx="257">
                  <c:v>1.8137771347531914E-6</c:v>
                </c:pt>
                <c:pt idx="258">
                  <c:v>1.8038610182515282E-6</c:v>
                </c:pt>
                <c:pt idx="259">
                  <c:v>1.7940181419718068E-6</c:v>
                </c:pt>
                <c:pt idx="260">
                  <c:v>1.7842477864181907E-6</c:v>
                </c:pt>
                <c:pt idx="261">
                  <c:v>1.7745492409084039E-6</c:v>
                </c:pt>
                <c:pt idx="262">
                  <c:v>1.7649218034444931E-6</c:v>
                </c:pt>
                <c:pt idx="263">
                  <c:v>1.7553647805857926E-6</c:v>
                </c:pt>
                <c:pt idx="264">
                  <c:v>1.7458774873240581E-6</c:v>
                </c:pt>
                <c:pt idx="265">
                  <c:v>1.736459246960712E-6</c:v>
                </c:pt>
                <c:pt idx="266">
                  <c:v>1.7271093909861754E-6</c:v>
                </c:pt>
                <c:pt idx="267">
                  <c:v>1.7178272589612372E-6</c:v>
                </c:pt>
                <c:pt idx="268">
                  <c:v>1.7086121984004215E-6</c:v>
                </c:pt>
                <c:pt idx="269">
                  <c:v>1.6994635646573236E-6</c:v>
                </c:pt>
                <c:pt idx="270">
                  <c:v>1.69038072081186E-6</c:v>
                </c:pt>
                <c:pt idx="271">
                  <c:v>1.6813630375594123E-6</c:v>
                </c:pt>
                <c:pt idx="272">
                  <c:v>1.6724098931018211E-6</c:v>
                </c:pt>
                <c:pt idx="273">
                  <c:v>1.6635206730401972E-6</c:v>
                </c:pt>
                <c:pt idx="274">
                  <c:v>1.6546947702695116E-6</c:v>
                </c:pt>
                <c:pt idx="275">
                  <c:v>1.6459315848749325E-6</c:v>
                </c:pt>
                <c:pt idx="276">
                  <c:v>1.6372305240298824E-6</c:v>
                </c:pt>
                <c:pt idx="277">
                  <c:v>1.6285910018957708E-6</c:v>
                </c:pt>
                <c:pt idx="278">
                  <c:v>1.6200124395233851E-6</c:v>
                </c:pt>
                <c:pt idx="279">
                  <c:v>1.611494264755894E-6</c:v>
                </c:pt>
                <c:pt idx="280">
                  <c:v>1.6030359121334432E-6</c:v>
                </c:pt>
                <c:pt idx="281">
                  <c:v>1.5946368227993121E-6</c:v>
                </c:pt>
                <c:pt idx="282">
                  <c:v>1.5862964444076007E-6</c:v>
                </c:pt>
                <c:pt idx="283">
                  <c:v>1.5780142310324181E-6</c:v>
                </c:pt>
                <c:pt idx="284">
                  <c:v>1.5697896430785424E-6</c:v>
                </c:pt>
                <c:pt idx="285">
                  <c:v>1.5616221471935347E-6</c:v>
                </c:pt>
                <c:pt idx="286">
                  <c:v>1.5535112161812638E-6</c:v>
                </c:pt>
                <c:pt idx="287">
                  <c:v>1.5454563289168374E-6</c:v>
                </c:pt>
                <c:pt idx="288">
                  <c:v>1.5374569702628876E-6</c:v>
                </c:pt>
                <c:pt idx="289">
                  <c:v>1.5295126309872118E-6</c:v>
                </c:pt>
                <c:pt idx="290">
                  <c:v>1.5216228076817245E-6</c:v>
                </c:pt>
                <c:pt idx="291">
                  <c:v>1.5137870026827084E-6</c:v>
                </c:pt>
                <c:pt idx="292">
                  <c:v>1.5060047239923348E-6</c:v>
                </c:pt>
                <c:pt idx="293">
                  <c:v>1.4982754852014334E-6</c:v>
                </c:pt>
                <c:pt idx="294">
                  <c:v>1.4905988054134827E-6</c:v>
                </c:pt>
                <c:pt idx="295">
                  <c:v>1.4829742091698114E-6</c:v>
                </c:pt>
                <c:pt idx="296">
                  <c:v>1.4754012263759768E-6</c:v>
                </c:pt>
                <c:pt idx="297">
                  <c:v>1.4678793922292998E-6</c:v>
                </c:pt>
                <c:pt idx="298">
                  <c:v>1.4604082471475489E-6</c:v>
                </c:pt>
                <c:pt idx="299">
                  <c:v>1.4529873366987341E-6</c:v>
                </c:pt>
                <c:pt idx="300">
                  <c:v>1.4456162115320043E-6</c:v>
                </c:pt>
                <c:pt idx="301">
                  <c:v>1.4382944273096224E-6</c:v>
                </c:pt>
                <c:pt idx="302">
                  <c:v>1.4310215446400024E-6</c:v>
                </c:pt>
                <c:pt idx="303">
                  <c:v>1.4237971290117861E-6</c:v>
                </c:pt>
                <c:pt idx="304">
                  <c:v>1.4166207507289409E-6</c:v>
                </c:pt>
                <c:pt idx="305">
                  <c:v>1.4094919848468673E-6</c:v>
                </c:pt>
                <c:pt idx="306">
                  <c:v>1.4024104111094884E-6</c:v>
                </c:pt>
                <c:pt idx="307">
                  <c:v>1.3953756138873108E-6</c:v>
                </c:pt>
                <c:pt idx="308">
                  <c:v>1.3883871821164412E-6</c:v>
                </c:pt>
                <c:pt idx="309">
                  <c:v>1.3814447092385316E-6</c:v>
                </c:pt>
                <c:pt idx="310">
                  <c:v>1.3745477931416516E-6</c:v>
                </c:pt>
                <c:pt idx="311">
                  <c:v>1.3676960361020582E-6</c:v>
                </c:pt>
                <c:pt idx="312">
                  <c:v>1.3608890447268581E-6</c:v>
                </c:pt>
                <c:pt idx="313">
                  <c:v>1.3541264298975387E-6</c:v>
                </c:pt>
                <c:pt idx="314">
                  <c:v>1.3474078067143558E-6</c:v>
                </c:pt>
                <c:pt idx="315">
                  <c:v>1.3407327944415698E-6</c:v>
                </c:pt>
                <c:pt idx="316">
                  <c:v>1.3341010164534995E-6</c:v>
                </c:pt>
                <c:pt idx="317">
                  <c:v>1.3275121001813991E-6</c:v>
                </c:pt>
                <c:pt idx="318">
                  <c:v>1.3209656770611279E-6</c:v>
                </c:pt>
                <c:pt idx="319">
                  <c:v>1.3144613824816091E-6</c:v>
                </c:pt>
                <c:pt idx="320">
                  <c:v>1.3079988557340606E-6</c:v>
                </c:pt>
                <c:pt idx="321">
                  <c:v>1.3015777399619834E-6</c:v>
                </c:pt>
                <c:pt idx="322">
                  <c:v>1.2951976821118979E-6</c:v>
                </c:pt>
                <c:pt idx="323">
                  <c:v>1.2888583328848116E-6</c:v>
                </c:pt>
                <c:pt idx="324">
                  <c:v>1.2825593466884103E-6</c:v>
                </c:pt>
                <c:pt idx="325">
                  <c:v>1.2763003815899563E-6</c:v>
                </c:pt>
                <c:pt idx="326">
                  <c:v>1.2700810992698851E-6</c:v>
                </c:pt>
                <c:pt idx="327">
                  <c:v>1.2639011649760827E-6</c:v>
                </c:pt>
                <c:pt idx="328">
                  <c:v>1.257760247478844E-6</c:v>
                </c:pt>
                <c:pt idx="329">
                  <c:v>1.2516580190264855E-6</c:v>
                </c:pt>
                <c:pt idx="330">
                  <c:v>1.2455941553016141E-6</c:v>
                </c:pt>
                <c:pt idx="331">
                  <c:v>1.2395683353780365E-6</c:v>
                </c:pt>
                <c:pt idx="332">
                  <c:v>1.2335802416782914E-6</c:v>
                </c:pt>
                <c:pt idx="333">
                  <c:v>1.2276295599318111E-6</c:v>
                </c:pt>
                <c:pt idx="334">
                  <c:v>1.2217159791336829E-6</c:v>
                </c:pt>
                <c:pt idx="335">
                  <c:v>1.2158391915040143E-6</c:v>
                </c:pt>
                <c:pt idx="336">
                  <c:v>1.2099988924478829E-6</c:v>
                </c:pt>
                <c:pt idx="337">
                  <c:v>1.204194780515871E-6</c:v>
                </c:pt>
                <c:pt idx="338">
                  <c:v>1.1984265573651626E-6</c:v>
                </c:pt>
                <c:pt idx="339">
                  <c:v>1.192693927721207E-6</c:v>
                </c:pt>
                <c:pt idx="340">
                  <c:v>1.1869965993399294E-6</c:v>
                </c:pt>
                <c:pt idx="341">
                  <c:v>1.1813342829704832E-6</c:v>
                </c:pt>
                <c:pt idx="342">
                  <c:v>1.1757066923185385E-6</c:v>
                </c:pt>
                <c:pt idx="343">
                  <c:v>1.1701135440100912E-6</c:v>
                </c:pt>
                <c:pt idx="344">
                  <c:v>1.1645545575557894E-6</c:v>
                </c:pt>
                <c:pt idx="345">
                  <c:v>1.1590294553157695E-6</c:v>
                </c:pt>
                <c:pt idx="346">
                  <c:v>1.1535379624649854E-6</c:v>
                </c:pt>
                <c:pt idx="347">
                  <c:v>1.1480798069590375E-6</c:v>
                </c:pt>
                <c:pt idx="348">
                  <c:v>1.1426547195004741E-6</c:v>
                </c:pt>
                <c:pt idx="349">
                  <c:v>1.137262433505579E-6</c:v>
                </c:pt>
                <c:pt idx="350">
                  <c:v>1.1319026850716188E-6</c:v>
                </c:pt>
                <c:pt idx="351">
                  <c:v>1.1265752129445527E-6</c:v>
                </c:pt>
                <c:pt idx="352">
                  <c:v>1.1212797584872E-6</c:v>
                </c:pt>
                <c:pt idx="353">
                  <c:v>1.1160160656478433E-6</c:v>
                </c:pt>
                <c:pt idx="354">
                  <c:v>1.1107838809292786E-6</c:v>
                </c:pt>
                <c:pt idx="355">
                  <c:v>1.1055829533582945E-6</c:v>
                </c:pt>
                <c:pt idx="356">
                  <c:v>1.1004130344555734E-6</c:v>
                </c:pt>
                <c:pt idx="357">
                  <c:v>1.0952738782060147E-6</c:v>
                </c:pt>
                <c:pt idx="358">
                  <c:v>1.0901652410294649E-6</c:v>
                </c:pt>
                <c:pt idx="359">
                  <c:v>1.0850868817518567E-6</c:v>
                </c:pt>
                <c:pt idx="360">
                  <c:v>1.0800385615767433E-6</c:v>
                </c:pt>
                <c:pt idx="361">
                  <c:v>1.075020044057227E-6</c:v>
                </c:pt>
                <c:pt idx="362">
                  <c:v>1.0700310950682706E-6</c:v>
                </c:pt>
                <c:pt idx="363">
                  <c:v>1.0650714827793943E-6</c:v>
                </c:pt>
                <c:pt idx="364">
                  <c:v>1.0601409776277388E-6</c:v>
                </c:pt>
                <c:pt idx="365">
                  <c:v>1.0552393522915035E-6</c:v>
                </c:pt>
                <c:pt idx="366">
                  <c:v>1.0503663816637444E-6</c:v>
                </c:pt>
                <c:pt idx="367">
                  <c:v>1.0455218428265263E-6</c:v>
                </c:pt>
                <c:pt idx="368">
                  <c:v>1.0407055150254309E-6</c:v>
                </c:pt>
                <c:pt idx="369">
                  <c:v>1.0359171796444064E-6</c:v>
                </c:pt>
                <c:pt idx="370">
                  <c:v>1.0311566201809607E-6</c:v>
                </c:pt>
                <c:pt idx="371">
                  <c:v>1.0264236222216869E-6</c:v>
                </c:pt>
                <c:pt idx="372">
                  <c:v>1.0217179734181213E-6</c:v>
                </c:pt>
                <c:pt idx="373">
                  <c:v>1.017039463462925E-6</c:v>
                </c:pt>
                <c:pt idx="374">
                  <c:v>1.012387884066384E-6</c:v>
                </c:pt>
                <c:pt idx="375">
                  <c:v>1.0077630289332296E-6</c:v>
                </c:pt>
                <c:pt idx="376">
                  <c:v>1.0031646937397606E-6</c:v>
                </c:pt>
                <c:pt idx="377">
                  <c:v>9.9859267611127892E-7</c:v>
                </c:pt>
                <c:pt idx="378">
                  <c:v>9.9404677559982181E-7</c:v>
                </c:pt>
                <c:pt idx="379">
                  <c:v>9.8952679366219014E-7</c:v>
                </c:pt>
                <c:pt idx="380">
                  <c:v>9.850325336382722E-7</c:v>
                </c:pt>
                <c:pt idx="381">
                  <c:v>9.8056380072964853E-7</c:v>
                </c:pt>
                <c:pt idx="382">
                  <c:v>9.7612040197848638E-7</c:v>
                </c:pt>
                <c:pt idx="383">
                  <c:v>9.7170214624670756E-7</c:v>
                </c:pt>
                <c:pt idx="384">
                  <c:v>9.6730884419543479E-7</c:v>
                </c:pt>
                <c:pt idx="385">
                  <c:v>9.6294030826470566E-7</c:v>
                </c:pt>
                <c:pt idx="386">
                  <c:v>9.5859635265345344E-7</c:v>
                </c:pt>
                <c:pt idx="387">
                  <c:v>9.5427679329975258E-7</c:v>
                </c:pt>
                <c:pt idx="388">
                  <c:v>9.4998144786131778E-7</c:v>
                </c:pt>
                <c:pt idx="389">
                  <c:v>9.4571013569626376E-7</c:v>
                </c:pt>
                <c:pt idx="390">
                  <c:v>9.414626778441103E-7</c:v>
                </c:pt>
                <c:pt idx="391">
                  <c:v>9.3723889700703817E-7</c:v>
                </c:pt>
                <c:pt idx="392">
                  <c:v>9.3303861753138496E-7</c:v>
                </c:pt>
                <c:pt idx="393">
                  <c:v>9.2886166538938441E-7</c:v>
                </c:pt>
                <c:pt idx="394">
                  <c:v>9.2470786816113962E-7</c:v>
                </c:pt>
                <c:pt idx="395">
                  <c:v>9.2057705501682865E-7</c:v>
                </c:pt>
                <c:pt idx="396">
                  <c:v>9.1646905669914218E-7</c:v>
                </c:pt>
                <c:pt idx="397">
                  <c:v>9.1238370550594253E-7</c:v>
                </c:pt>
                <c:pt idx="398">
                  <c:v>9.083208352731508E-7</c:v>
                </c:pt>
                <c:pt idx="399">
                  <c:v>9.0428028135784845E-7</c:v>
                </c:pt>
                <c:pt idx="400">
                  <c:v>9.0026188062159839E-7</c:v>
                </c:pt>
                <c:pt idx="401">
                  <c:v>8.9626547141397708E-7</c:v>
                </c:pt>
                <c:pt idx="402">
                  <c:v>8.922908935563177E-7</c:v>
                </c:pt>
                <c:pt idx="403">
                  <c:v>8.883379883256599E-7</c:v>
                </c:pt>
                <c:pt idx="404">
                  <c:v>8.8440659843890257E-7</c:v>
                </c:pt>
                <c:pt idx="405">
                  <c:v>8.8049656803715893E-7</c:v>
                </c:pt>
                <c:pt idx="406">
                  <c:v>8.7660774267030802E-7</c:v>
                </c:pt>
                <c:pt idx="407">
                  <c:v>8.727399692817427E-7</c:v>
                </c:pt>
                <c:pt idx="408">
                  <c:v>8.6889309619330975E-7</c:v>
                </c:pt>
                <c:pt idx="409">
                  <c:v>8.6506697309043742E-7</c:v>
                </c:pt>
                <c:pt idx="410">
                  <c:v>8.6126145100745457E-7</c:v>
                </c:pt>
                <c:pt idx="411">
                  <c:v>8.5747638231308755E-7</c:v>
                </c:pt>
                <c:pt idx="412">
                  <c:v>8.5371162069614471E-7</c:v>
                </c:pt>
                <c:pt idx="413">
                  <c:v>8.4996702115137487E-7</c:v>
                </c:pt>
                <c:pt idx="414">
                  <c:v>8.4624243996550654E-7</c:v>
                </c:pt>
                <c:pt idx="415">
                  <c:v>8.4253773470345764E-7</c:v>
                </c:pt>
                <c:pt idx="416">
                  <c:v>8.3885276419471709E-7</c:v>
                </c:pt>
                <c:pt idx="417">
                  <c:v>8.351873885198984E-7</c:v>
                </c:pt>
                <c:pt idx="418">
                  <c:v>8.3154146899745496E-7</c:v>
                </c:pt>
                <c:pt idx="419">
                  <c:v>8.2791486817056404E-7</c:v>
                </c:pt>
                <c:pt idx="420">
                  <c:v>8.2430744979416942E-7</c:v>
                </c:pt>
                <c:pt idx="421">
                  <c:v>8.2071907882218566E-7</c:v>
                </c:pt>
                <c:pt idx="422">
                  <c:v>8.1714962139485964E-7</c:v>
                </c:pt>
                <c:pt idx="423">
                  <c:v>8.1359894482628521E-7</c:v>
                </c:pt>
                <c:pt idx="424">
                  <c:v>8.1006691759207385E-7</c:v>
                </c:pt>
                <c:pt idx="425">
                  <c:v>8.0655340931717309E-7</c:v>
                </c:pt>
                <c:pt idx="426">
                  <c:v>8.0305829076383693E-7</c:v>
                </c:pt>
                <c:pt idx="427">
                  <c:v>7.995814338197403E-7</c:v>
                </c:pt>
                <c:pt idx="428">
                  <c:v>7.961227114862382E-7</c:v>
                </c:pt>
                <c:pt idx="429">
                  <c:v>7.92681997866771E-7</c:v>
                </c:pt>
                <c:pt idx="430">
                  <c:v>7.8925916815540515E-7</c:v>
                </c:pt>
                <c:pt idx="431">
                  <c:v>7.8585409862551679E-7</c:v>
                </c:pt>
                <c:pt idx="432">
                  <c:v>7.8246666661860978E-7</c:v>
                </c:pt>
                <c:pt idx="433">
                  <c:v>7.7909675053327008E-7</c:v>
                </c:pt>
                <c:pt idx="434">
                  <c:v>7.7574422981425116E-7</c:v>
                </c:pt>
                <c:pt idx="435">
                  <c:v>7.7240898494169458E-7</c:v>
                </c:pt>
                <c:pt idx="436">
                  <c:v>7.6909089742047466E-7</c:v>
                </c:pt>
                <c:pt idx="437">
                  <c:v>7.6578984976967529E-7</c:v>
                </c:pt>
                <c:pt idx="438">
                  <c:v>7.6250572551219026E-7</c:v>
                </c:pt>
                <c:pt idx="439">
                  <c:v>7.5923840916444834E-7</c:v>
                </c:pt>
                <c:pt idx="440">
                  <c:v>7.5598778622626134E-7</c:v>
                </c:pt>
                <c:pt idx="441">
                  <c:v>7.5275374317079184E-7</c:v>
                </c:pt>
                <c:pt idx="442">
                  <c:v>7.4953616743464203E-7</c:v>
                </c:pt>
                <c:pt idx="443">
                  <c:v>7.4633494740805832E-7</c:v>
                </c:pt>
                <c:pt idx="444">
                  <c:v>7.4314997242525113E-7</c:v>
                </c:pt>
                <c:pt idx="445">
                  <c:v>7.3998113275483401E-7</c:v>
                </c:pt>
                <c:pt idx="446">
                  <c:v>7.3682831959036736E-7</c:v>
                </c:pt>
                <c:pt idx="447">
                  <c:v>7.3369142504102316E-7</c:v>
                </c:pt>
                <c:pt idx="448">
                  <c:v>7.305703421223513E-7</c:v>
                </c:pt>
                <c:pt idx="449">
                  <c:v>7.2746496474715822E-7</c:v>
                </c:pt>
                <c:pt idx="450">
                  <c:v>7.2437518771649457E-7</c:v>
                </c:pt>
                <c:pt idx="451">
                  <c:v>7.2130090671073972E-7</c:v>
                </c:pt>
                <c:pt idx="452">
                  <c:v>7.1824201828080393E-7</c:v>
                </c:pt>
                <c:pt idx="453">
                  <c:v>7.1519841983941921E-7</c:v>
                </c:pt>
                <c:pt idx="454">
                  <c:v>7.1217000965254178E-7</c:v>
                </c:pt>
                <c:pt idx="455">
                  <c:v>7.0915668683084893E-7</c:v>
                </c:pt>
                <c:pt idx="456">
                  <c:v>7.06158351321337E-7</c:v>
                </c:pt>
                <c:pt idx="457">
                  <c:v>7.0317490389901569E-7</c:v>
                </c:pt>
                <c:pt idx="458">
                  <c:v>7.0020624615869817E-7</c:v>
                </c:pt>
                <c:pt idx="459">
                  <c:v>6.9725228050688727E-7</c:v>
                </c:pt>
                <c:pt idx="460">
                  <c:v>6.9431291015375564E-7</c:v>
                </c:pt>
                <c:pt idx="461">
                  <c:v>6.9138803910521449E-7</c:v>
                </c:pt>
                <c:pt idx="462">
                  <c:v>6.8847757215507714E-7</c:v>
                </c:pt>
                <c:pt idx="463">
                  <c:v>6.8558141487731382E-7</c:v>
                </c:pt>
                <c:pt idx="464">
                  <c:v>6.8269947361838724E-7</c:v>
                </c:pt>
                <c:pt idx="465">
                  <c:v>6.7983165548968752E-7</c:v>
                </c:pt>
                <c:pt idx="466">
                  <c:v>6.769778683600428E-7</c:v>
                </c:pt>
                <c:pt idx="467">
                  <c:v>6.741380208483217E-7</c:v>
                </c:pt>
                <c:pt idx="468">
                  <c:v>6.7131202231611833E-7</c:v>
                </c:pt>
                <c:pt idx="469">
                  <c:v>6.6849978286051675E-7</c:v>
                </c:pt>
                <c:pt idx="470">
                  <c:v>6.6570121330694641E-7</c:v>
                </c:pt>
                <c:pt idx="471">
                  <c:v>6.6291622520210706E-7</c:v>
                </c:pt>
                <c:pt idx="472">
                  <c:v>6.6014473080698278E-7</c:v>
                </c:pt>
                <c:pt idx="473">
                  <c:v>6.573866430899317E-7</c:v>
                </c:pt>
                <c:pt idx="474">
                  <c:v>6.5464187571985012E-7</c:v>
                </c:pt>
                <c:pt idx="475">
                  <c:v>6.5191034305942126E-7</c:v>
                </c:pt>
                <c:pt idx="476">
                  <c:v>6.4919196015843203E-7</c:v>
                </c:pt>
                <c:pt idx="477">
                  <c:v>6.4648664274716968E-7</c:v>
                </c:pt>
                <c:pt idx="478">
                  <c:v>6.4379430722989033E-7</c:v>
                </c:pt>
                <c:pt idx="479">
                  <c:v>6.4111487067836056E-7</c:v>
                </c:pt>
                <c:pt idx="480">
                  <c:v>6.3844825082547364E-7</c:v>
                </c:pt>
                <c:pt idx="481">
                  <c:v>6.3579436605893148E-7</c:v>
                </c:pt>
                <c:pt idx="482">
                  <c:v>6.3315313541500291E-7</c:v>
                </c:pt>
                <c:pt idx="483">
                  <c:v>6.3052447857234768E-7</c:v>
                </c:pt>
                <c:pt idx="484">
                  <c:v>6.2790831584590919E-7</c:v>
                </c:pt>
                <c:pt idx="485">
                  <c:v>6.2530456818087681E-7</c:v>
                </c:pt>
                <c:pt idx="486">
                  <c:v>6.227131571467121E-7</c:v>
                </c:pt>
                <c:pt idx="487">
                  <c:v>6.2013400493124369E-7</c:v>
                </c:pt>
                <c:pt idx="488">
                  <c:v>6.1756703433482586E-7</c:v>
                </c:pt>
                <c:pt idx="489">
                  <c:v>6.150121687645613E-7</c:v>
                </c:pt>
                <c:pt idx="490">
                  <c:v>6.1246933222858708E-7</c:v>
                </c:pt>
                <c:pt idx="491">
                  <c:v>6.0993844933042618E-7</c:v>
                </c:pt>
                <c:pt idx="492">
                  <c:v>6.0741944526339434E-7</c:v>
                </c:pt>
                <c:pt idx="493">
                  <c:v>6.0491224580507694E-7</c:v>
                </c:pt>
                <c:pt idx="494">
                  <c:v>6.0241677731185829E-7</c:v>
                </c:pt>
                <c:pt idx="495">
                  <c:v>5.9993296671351505E-7</c:v>
                </c:pt>
                <c:pt idx="496">
                  <c:v>5.9746074150786729E-7</c:v>
                </c:pt>
                <c:pt idx="497">
                  <c:v>5.9500002975548628E-7</c:v>
                </c:pt>
                <c:pt idx="498">
                  <c:v>5.9255076007446346E-7</c:v>
                </c:pt>
                <c:pt idx="499">
                  <c:v>5.9011286163523112E-7</c:v>
                </c:pt>
                <c:pt idx="500">
                  <c:v>5.8768626415544266E-7</c:v>
                </c:pt>
                <c:pt idx="501">
                  <c:v>5.8527089789490897E-7</c:v>
                </c:pt>
                <c:pt idx="502">
                  <c:v>5.8286669365058255E-7</c:v>
                </c:pt>
                <c:pt idx="503">
                  <c:v>5.8047358275160651E-7</c:v>
                </c:pt>
                <c:pt idx="504">
                  <c:v>5.7809149705440671E-7</c:v>
                </c:pt>
                <c:pt idx="505">
                  <c:v>5.7572036893784296E-7</c:v>
                </c:pt>
                <c:pt idx="506">
                  <c:v>5.7336013129840949E-7</c:v>
                </c:pt>
                <c:pt idx="507">
                  <c:v>5.7101071754548502E-7</c:v>
                </c:pt>
                <c:pt idx="508">
                  <c:v>5.6867206159664072E-7</c:v>
                </c:pt>
                <c:pt idx="509">
                  <c:v>5.6634409787298854E-7</c:v>
                </c:pt>
                <c:pt idx="510">
                  <c:v>5.6402676129458652E-7</c:v>
                </c:pt>
                <c:pt idx="511">
                  <c:v>5.617199872758901E-7</c:v>
                </c:pt>
                <c:pt idx="512">
                  <c:v>5.594237117212506E-7</c:v>
                </c:pt>
                <c:pt idx="513">
                  <c:v>5.5713787102046429E-7</c:v>
                </c:pt>
                <c:pt idx="514">
                  <c:v>5.5486240204436638E-7</c:v>
                </c:pt>
                <c:pt idx="515">
                  <c:v>5.5259724214047243E-7</c:v>
                </c:pt>
                <c:pt idx="516">
                  <c:v>5.5034232912866639E-7</c:v>
                </c:pt>
                <c:pt idx="517">
                  <c:v>5.4809760129693171E-7</c:v>
                </c:pt>
                <c:pt idx="518">
                  <c:v>5.4586299739712987E-7</c:v>
                </c:pt>
                <c:pt idx="519">
                  <c:v>5.4363845664082365E-7</c:v>
                </c:pt>
                <c:pt idx="520">
                  <c:v>5.4142391869513999E-7</c:v>
                </c:pt>
                <c:pt idx="521">
                  <c:v>5.3921932367868278E-7</c:v>
                </c:pt>
                <c:pt idx="522">
                  <c:v>5.3702461215748177E-7</c:v>
                </c:pt>
                <c:pt idx="523">
                  <c:v>5.3483972514098773E-7</c:v>
                </c:pt>
                <c:pt idx="524">
                  <c:v>5.3266460407811066E-7</c:v>
                </c:pt>
                <c:pt idx="525">
                  <c:v>5.3049919085329238E-7</c:v>
                </c:pt>
                <c:pt idx="526">
                  <c:v>5.2834342778262993E-7</c:v>
                </c:pt>
                <c:pt idx="527">
                  <c:v>5.2619725761002989E-7</c:v>
                </c:pt>
                <c:pt idx="528">
                  <c:v>5.240606235034086E-7</c:v>
                </c:pt>
                <c:pt idx="529">
                  <c:v>5.2193346905092997E-7</c:v>
                </c:pt>
                <c:pt idx="530">
                  <c:v>5.1981573825727959E-7</c:v>
                </c:pt>
                <c:pt idx="531">
                  <c:v>5.1770737553998319E-7</c:v>
                </c:pt>
                <c:pt idx="532">
                  <c:v>5.1560832572575658E-7</c:v>
                </c:pt>
                <c:pt idx="533">
                  <c:v>5.1351853404689708E-7</c:v>
                </c:pt>
                <c:pt idx="534">
                  <c:v>5.1143794613771199E-7</c:v>
                </c:pt>
                <c:pt idx="535">
                  <c:v>5.0936650803098034E-7</c:v>
                </c:pt>
                <c:pt idx="536">
                  <c:v>5.0730416615445643E-7</c:v>
                </c:pt>
                <c:pt idx="537">
                  <c:v>5.0525086732740346E-7</c:v>
                </c:pt>
                <c:pt idx="538">
                  <c:v>5.0320655875716643E-7</c:v>
                </c:pt>
                <c:pt idx="539">
                  <c:v>5.0117118803577799E-7</c:v>
                </c:pt>
                <c:pt idx="540">
                  <c:v>4.9914470313660034E-7</c:v>
                </c:pt>
                <c:pt idx="541">
                  <c:v>4.9712705241100003E-7</c:v>
                </c:pt>
                <c:pt idx="542">
                  <c:v>4.9511818458505702E-7</c:v>
                </c:pt>
                <c:pt idx="543">
                  <c:v>4.9311804875630706E-7</c:v>
                </c:pt>
                <c:pt idx="544">
                  <c:v>4.9112659439051793E-7</c:v>
                </c:pt>
                <c:pt idx="545">
                  <c:v>4.8914377131849653E-7</c:v>
                </c:pt>
                <c:pt idx="546">
                  <c:v>4.8716952973292879E-7</c:v>
                </c:pt>
                <c:pt idx="547">
                  <c:v>4.8520382018525417E-7</c:v>
                </c:pt>
                <c:pt idx="548">
                  <c:v>4.8324659358256577E-7</c:v>
                </c:pt>
                <c:pt idx="549">
                  <c:v>4.8129780118454838E-7</c:v>
                </c:pt>
                <c:pt idx="550">
                  <c:v>4.7935739460044243E-7</c:v>
                </c:pt>
                <c:pt idx="551">
                  <c:v>4.774253257860391E-7</c:v>
                </c:pt>
                <c:pt idx="552">
                  <c:v>4.7550154704070935E-7</c:v>
                </c:pt>
                <c:pt idx="553">
                  <c:v>4.7358601100445569E-7</c:v>
                </c:pt>
                <c:pt idx="554">
                  <c:v>4.7167867065500125E-7</c:v>
                </c:pt>
                <c:pt idx="555">
                  <c:v>4.6977947930490113E-7</c:v>
                </c:pt>
                <c:pt idx="556">
                  <c:v>4.6788839059868667E-7</c:v>
                </c:pt>
                <c:pt idx="557">
                  <c:v>4.6600535851003753E-7</c:v>
                </c:pt>
                <c:pt idx="558">
                  <c:v>4.6413033733897842E-7</c:v>
                </c:pt>
                <c:pt idx="559">
                  <c:v>4.6226328170910999E-7</c:v>
                </c:pt>
                <c:pt idx="560">
                  <c:v>4.604041465648603E-7</c:v>
                </c:pt>
                <c:pt idx="561">
                  <c:v>4.5855288716876812E-7</c:v>
                </c:pt>
                <c:pt idx="562">
                  <c:v>4.5670945909879206E-7</c:v>
                </c:pt>
                <c:pt idx="563">
                  <c:v>4.5487381824564361E-7</c:v>
                </c:pt>
                <c:pt idx="564">
                  <c:v>4.5304592081015119E-7</c:v>
                </c:pt>
                <c:pt idx="565">
                  <c:v>4.5122572330064545E-7</c:v>
                </c:pt>
                <c:pt idx="566">
                  <c:v>4.4941318253037286E-7</c:v>
                </c:pt>
                <c:pt idx="567">
                  <c:v>4.4760825561493442E-7</c:v>
                </c:pt>
                <c:pt idx="568">
                  <c:v>4.4581089996974851E-7</c:v>
                </c:pt>
                <c:pt idx="569">
                  <c:v>4.4402107330753919E-7</c:v>
                </c:pt>
                <c:pt idx="570">
                  <c:v>4.4223873363584892E-7</c:v>
                </c:pt>
                <c:pt idx="571">
                  <c:v>4.4046383925457566E-7</c:v>
                </c:pt>
                <c:pt idx="572">
                  <c:v>4.3869634875353366E-7</c:v>
                </c:pt>
                <c:pt idx="573">
                  <c:v>4.3693622101003797E-7</c:v>
                </c:pt>
                <c:pt idx="574">
                  <c:v>4.3518341518651243E-7</c:v>
                </c:pt>
                <c:pt idx="575">
                  <c:v>4.3343789072812172E-7</c:v>
                </c:pt>
                <c:pt idx="576">
                  <c:v>4.3169960736042394E-7</c:v>
                </c:pt>
                <c:pt idx="577">
                  <c:v>4.2996852508704929E-7</c:v>
                </c:pt>
                <c:pt idx="578">
                  <c:v>4.282446041873981E-7</c:v>
                </c:pt>
                <c:pt idx="579">
                  <c:v>4.2652780521436231E-7</c:v>
                </c:pt>
                <c:pt idx="580">
                  <c:v>4.2481808899207031E-7</c:v>
                </c:pt>
                <c:pt idx="581">
                  <c:v>4.2311541661364936E-7</c:v>
                </c:pt>
                <c:pt idx="582">
                  <c:v>4.2141974943901518E-7</c:v>
                </c:pt>
                <c:pt idx="583">
                  <c:v>4.1973104909267732E-7</c:v>
                </c:pt>
                <c:pt idx="584">
                  <c:v>4.1804927746156878E-7</c:v>
                </c:pt>
                <c:pt idx="585">
                  <c:v>4.1637439669289654E-7</c:v>
                </c:pt>
                <c:pt idx="586">
                  <c:v>4.1470636919200897E-7</c:v>
                </c:pt>
                <c:pt idx="587">
                  <c:v>4.1304515762028918E-7</c:v>
                </c:pt>
                <c:pt idx="588">
                  <c:v>4.1139072489306338E-7</c:v>
                </c:pt>
                <c:pt idx="589">
                  <c:v>4.0974303417753176E-7</c:v>
                </c:pt>
                <c:pt idx="590">
                  <c:v>4.0810204889071917E-7</c:v>
                </c:pt>
                <c:pt idx="591">
                  <c:v>4.0646773269744343E-7</c:v>
                </c:pt>
                <c:pt idx="592">
                  <c:v>4.0484004950830424E-7</c:v>
                </c:pt>
                <c:pt idx="593">
                  <c:v>4.0321896347769135E-7</c:v>
                </c:pt>
                <c:pt idx="594">
                  <c:v>4.0160443900181006E-7</c:v>
                </c:pt>
                <c:pt idx="595">
                  <c:v>3.9999644071672808E-7</c:v>
                </c:pt>
                <c:pt idx="596">
                  <c:v>3.9839493349643644E-7</c:v>
                </c:pt>
                <c:pt idx="597">
                  <c:v>3.9679988245093356E-7</c:v>
                </c:pt>
                <c:pt idx="598">
                  <c:v>3.9521125292432343E-7</c:v>
                </c:pt>
                <c:pt idx="599">
                  <c:v>3.9362901049293391E-7</c:v>
                </c:pt>
                <c:pt idx="600">
                  <c:v>3.9205312096345197E-7</c:v>
                </c:pt>
                <c:pt idx="601">
                  <c:v>3.9048355037107571E-7</c:v>
                </c:pt>
                <c:pt idx="602">
                  <c:v>3.8892026497768484E-7</c:v>
                </c:pt>
                <c:pt idx="603">
                  <c:v>3.8736323127002729E-7</c:v>
                </c:pt>
                <c:pt idx="604">
                  <c:v>3.8581241595792333E-7</c:v>
                </c:pt>
                <c:pt idx="605">
                  <c:v>3.8426778597248615E-7</c:v>
                </c:pt>
                <c:pt idx="606">
                  <c:v>3.8272930846435883E-7</c:v>
                </c:pt>
                <c:pt idx="607">
                  <c:v>3.8119695080196751E-7</c:v>
                </c:pt>
                <c:pt idx="608">
                  <c:v>3.7967068056979175E-7</c:v>
                </c:pt>
                <c:pt idx="609">
                  <c:v>3.7815046556665019E-7</c:v>
                </c:pt>
                <c:pt idx="610">
                  <c:v>3.7663627380400129E-7</c:v>
                </c:pt>
                <c:pt idx="611">
                  <c:v>3.7512807350426116E-7</c:v>
                </c:pt>
                <c:pt idx="612">
                  <c:v>3.7362583309913643E-7</c:v>
                </c:pt>
                <c:pt idx="613">
                  <c:v>3.7212952122797171E-7</c:v>
                </c:pt>
                <c:pt idx="614">
                  <c:v>3.7063910673611348E-7</c:v>
                </c:pt>
                <c:pt idx="615">
                  <c:v>3.6915455867328839E-7</c:v>
                </c:pt>
                <c:pt idx="616">
                  <c:v>3.6767584629199585E-7</c:v>
                </c:pt>
                <c:pt idx="617">
                  <c:v>3.6620293904591644E-7</c:v>
                </c:pt>
                <c:pt idx="618">
                  <c:v>3.6473580658833442E-7</c:v>
                </c:pt>
                <c:pt idx="619">
                  <c:v>3.6327441877057444E-7</c:v>
                </c:pt>
                <c:pt idx="620">
                  <c:v>3.6181874564045235E-7</c:v>
                </c:pt>
                <c:pt idx="621">
                  <c:v>3.6036875744074113E-7</c:v>
                </c:pt>
                <c:pt idx="622">
                  <c:v>3.5892442460764978E-7</c:v>
                </c:pt>
                <c:pt idx="623">
                  <c:v>3.5748571776931628E-7</c:v>
                </c:pt>
                <c:pt idx="624">
                  <c:v>3.5605260774431453E-7</c:v>
                </c:pt>
                <c:pt idx="625">
                  <c:v>3.5462506554017439E-7</c:v>
                </c:pt>
                <c:pt idx="626">
                  <c:v>3.5320306235191556E-7</c:v>
                </c:pt>
                <c:pt idx="627">
                  <c:v>3.5178656956059419E-7</c:v>
                </c:pt>
                <c:pt idx="628">
                  <c:v>3.5037555873186338E-7</c:v>
                </c:pt>
                <c:pt idx="629">
                  <c:v>3.489700016145461E-7</c:v>
                </c:pt>
                <c:pt idx="630">
                  <c:v>3.4756987013922039E-7</c:v>
                </c:pt>
                <c:pt idx="631">
                  <c:v>3.4617513641681854E-7</c:v>
                </c:pt>
                <c:pt idx="632">
                  <c:v>3.4478577273723918E-7</c:v>
                </c:pt>
                <c:pt idx="633">
                  <c:v>3.4340175156796891E-7</c:v>
                </c:pt>
                <c:pt idx="634">
                  <c:v>3.4202304555271962E-7</c:v>
                </c:pt>
                <c:pt idx="635">
                  <c:v>3.4064962751007683E-7</c:v>
                </c:pt>
                <c:pt idx="636">
                  <c:v>3.3928147043215895E-7</c:v>
                </c:pt>
                <c:pt idx="637">
                  <c:v>3.3791854748329092E-7</c:v>
                </c:pt>
                <c:pt idx="638">
                  <c:v>3.3656083199868677E-7</c:v>
                </c:pt>
                <c:pt idx="639">
                  <c:v>3.3520829748314644E-7</c:v>
                </c:pt>
                <c:pt idx="640">
                  <c:v>3.3386091760976265E-7</c:v>
                </c:pt>
                <c:pt idx="641">
                  <c:v>3.3251866621864037E-7</c:v>
                </c:pt>
                <c:pt idx="642">
                  <c:v>3.3118151731562621E-7</c:v>
                </c:pt>
                <c:pt idx="643">
                  <c:v>3.2984944507105056E-7</c:v>
                </c:pt>
                <c:pt idx="644">
                  <c:v>3.2852242381847992E-7</c:v>
                </c:pt>
                <c:pt idx="645">
                  <c:v>3.2720042805348048E-7</c:v>
                </c:pt>
                <c:pt idx="646">
                  <c:v>3.2588343243239329E-7</c:v>
                </c:pt>
                <c:pt idx="647">
                  <c:v>3.2457141177111824E-7</c:v>
                </c:pt>
                <c:pt idx="648">
                  <c:v>3.2326434104391169E-7</c:v>
                </c:pt>
                <c:pt idx="649">
                  <c:v>3.2196219538219209E-7</c:v>
                </c:pt>
                <c:pt idx="650">
                  <c:v>3.2066495007335721E-7</c:v>
                </c:pt>
                <c:pt idx="651">
                  <c:v>3.1937258055961203E-7</c:v>
                </c:pt>
                <c:pt idx="652">
                  <c:v>3.1808506243680615E-7</c:v>
                </c:pt>
                <c:pt idx="653">
                  <c:v>3.1680237145328169E-7</c:v>
                </c:pt>
                <c:pt idx="654">
                  <c:v>3.1552448350873145E-7</c:v>
                </c:pt>
                <c:pt idx="655">
                  <c:v>3.1425137465306675E-7</c:v>
                </c:pt>
                <c:pt idx="656">
                  <c:v>3.1298302108529536E-7</c:v>
                </c:pt>
                <c:pt idx="657">
                  <c:v>3.1171939915240879E-7</c:v>
                </c:pt>
                <c:pt idx="658">
                  <c:v>3.1046048534827994E-7</c:v>
                </c:pt>
                <c:pt idx="659">
                  <c:v>3.0920625631256942E-7</c:v>
                </c:pt>
                <c:pt idx="660">
                  <c:v>3.0795668882964285E-7</c:v>
                </c:pt>
                <c:pt idx="661">
                  <c:v>3.0671175982749507E-7</c:v>
                </c:pt>
                <c:pt idx="662">
                  <c:v>3.0547144637668651E-7</c:v>
                </c:pt>
                <c:pt idx="663">
                  <c:v>3.0423572568928644E-7</c:v>
                </c:pt>
                <c:pt idx="664">
                  <c:v>3.0300457511782691E-7</c:v>
                </c:pt>
                <c:pt idx="665">
                  <c:v>3.0177797215426476E-7</c:v>
                </c:pt>
                <c:pt idx="666">
                  <c:v>3.005558944289528E-7</c:v>
                </c:pt>
                <c:pt idx="667">
                  <c:v>2.9933831970962009E-7</c:v>
                </c:pt>
                <c:pt idx="668">
                  <c:v>2.9812522590036063E-7</c:v>
                </c:pt>
                <c:pt idx="669">
                  <c:v>2.9691659104063123E-7</c:v>
                </c:pt>
                <c:pt idx="670">
                  <c:v>2.9571239330425735E-7</c:v>
                </c:pt>
                <c:pt idx="671">
                  <c:v>2.945126109984475E-7</c:v>
                </c:pt>
                <c:pt idx="672">
                  <c:v>2.9331722256281688E-7</c:v>
                </c:pt>
                <c:pt idx="673">
                  <c:v>2.9212620656841825E-7</c:v>
                </c:pt>
                <c:pt idx="674">
                  <c:v>2.9093954171678174E-7</c:v>
                </c:pt>
                <c:pt idx="675">
                  <c:v>2.8975720683896289E-7</c:v>
                </c:pt>
                <c:pt idx="676">
                  <c:v>2.8857918089459808E-7</c:v>
                </c:pt>
                <c:pt idx="677">
                  <c:v>2.8740544297096873E-7</c:v>
                </c:pt>
                <c:pt idx="678">
                  <c:v>2.862359722820732E-7</c:v>
                </c:pt>
                <c:pt idx="679">
                  <c:v>2.8507074816770682E-7</c:v>
                </c:pt>
                <c:pt idx="680">
                  <c:v>2.8390975009254846E-7</c:v>
                </c:pt>
                <c:pt idx="681">
                  <c:v>2.8275295764525683E-7</c:v>
                </c:pt>
                <c:pt idx="682">
                  <c:v>2.8160035053757262E-7</c:v>
                </c:pt>
                <c:pt idx="683">
                  <c:v>2.8045190860342954E-7</c:v>
                </c:pt>
                <c:pt idx="684">
                  <c:v>2.7930761179807153E-7</c:v>
                </c:pt>
                <c:pt idx="685">
                  <c:v>2.7816744019717883E-7</c:v>
                </c:pt>
                <c:pt idx="686">
                  <c:v>2.7703137399600015E-7</c:v>
                </c:pt>
                <c:pt idx="687">
                  <c:v>2.7589939350849288E-7</c:v>
                </c:pt>
                <c:pt idx="688">
                  <c:v>2.7477147916647033E-7</c:v>
                </c:pt>
                <c:pt idx="689">
                  <c:v>2.7364761151875568E-7</c:v>
                </c:pt>
                <c:pt idx="690">
                  <c:v>2.7252777123034408E-7</c:v>
                </c:pt>
                <c:pt idx="691">
                  <c:v>2.7141193908157024E-7</c:v>
                </c:pt>
                <c:pt idx="692">
                  <c:v>2.7030009596728421E-7</c:v>
                </c:pt>
                <c:pt idx="693">
                  <c:v>2.691922228960336E-7</c:v>
                </c:pt>
                <c:pt idx="694">
                  <c:v>2.6808830098925257E-7</c:v>
                </c:pt>
                <c:pt idx="695">
                  <c:v>2.6698831148045736E-7</c:v>
                </c:pt>
                <c:pt idx="696">
                  <c:v>2.6589223571444875E-7</c:v>
                </c:pt>
                <c:pt idx="697">
                  <c:v>2.6480005514652164E-7</c:v>
                </c:pt>
                <c:pt idx="698">
                  <c:v>2.6371175134167967E-7</c:v>
                </c:pt>
                <c:pt idx="699">
                  <c:v>2.6262730597385838E-7</c:v>
                </c:pt>
                <c:pt idx="700">
                  <c:v>2.6154670082515282E-7</c:v>
                </c:pt>
                <c:pt idx="701">
                  <c:v>2.6046991778505287E-7</c:v>
                </c:pt>
                <c:pt idx="702">
                  <c:v>2.5939693884968449E-7</c:v>
                </c:pt>
                <c:pt idx="703">
                  <c:v>2.5832774612105698E-7</c:v>
                </c:pt>
                <c:pt idx="704">
                  <c:v>2.5726232180631641E-7</c:v>
                </c:pt>
                <c:pt idx="705">
                  <c:v>2.5620064821700582E-7</c:v>
                </c:pt>
                <c:pt idx="706">
                  <c:v>2.5514270776833064E-7</c:v>
                </c:pt>
                <c:pt idx="707">
                  <c:v>2.5408848297843091E-7</c:v>
                </c:pt>
                <c:pt idx="708">
                  <c:v>2.5303795646765874E-7</c:v>
                </c:pt>
                <c:pt idx="709">
                  <c:v>2.5199111095786215E-7</c:v>
                </c:pt>
                <c:pt idx="710">
                  <c:v>2.509479292716745E-7</c:v>
                </c:pt>
                <c:pt idx="711">
                  <c:v>2.4990839433181027E-7</c:v>
                </c:pt>
                <c:pt idx="712">
                  <c:v>2.4887248916036568E-7</c:v>
                </c:pt>
                <c:pt idx="713">
                  <c:v>2.4784019687812567E-7</c:v>
                </c:pt>
                <c:pt idx="714">
                  <c:v>2.4681150070387608E-7</c:v>
                </c:pt>
                <c:pt idx="715">
                  <c:v>2.4578638395372208E-7</c:v>
                </c:pt>
                <c:pt idx="716">
                  <c:v>2.4476483004041139E-7</c:v>
                </c:pt>
                <c:pt idx="717">
                  <c:v>2.437468224726635E-7</c:v>
                </c:pt>
                <c:pt idx="718">
                  <c:v>2.4273234485450366E-7</c:v>
                </c:pt>
                <c:pt idx="719">
                  <c:v>2.417213808846032E-7</c:v>
                </c:pt>
                <c:pt idx="720">
                  <c:v>2.407139143556244E-7</c:v>
                </c:pt>
                <c:pt idx="721">
                  <c:v>2.3970992915357107E-7</c:v>
                </c:pt>
                <c:pt idx="722">
                  <c:v>2.3870940925714403E-7</c:v>
                </c:pt>
                <c:pt idx="723">
                  <c:v>2.3771233873710214E-7</c:v>
                </c:pt>
                <c:pt idx="724">
                  <c:v>2.3671870175562797E-7</c:v>
                </c:pt>
                <c:pt idx="725">
                  <c:v>2.357284825656993E-7</c:v>
                </c:pt>
                <c:pt idx="726">
                  <c:v>2.3474166551046491E-7</c:v>
                </c:pt>
                <c:pt idx="727">
                  <c:v>2.3375823502262568E-7</c:v>
                </c:pt>
                <c:pt idx="728">
                  <c:v>2.3277817562382078E-7</c:v>
                </c:pt>
                <c:pt idx="729">
                  <c:v>2.3180147192401841E-7</c:v>
                </c:pt>
                <c:pt idx="730">
                  <c:v>2.3082810862091224E-7</c:v>
                </c:pt>
                <c:pt idx="731">
                  <c:v>2.2985807049932098E-7</c:v>
                </c:pt>
                <c:pt idx="732">
                  <c:v>2.2889134243059479E-7</c:v>
                </c:pt>
                <c:pt idx="733">
                  <c:v>2.279279093720248E-7</c:v>
                </c:pt>
                <c:pt idx="734">
                  <c:v>2.2696775636625814E-7</c:v>
                </c:pt>
                <c:pt idx="735">
                  <c:v>2.2601086854071751E-7</c:v>
                </c:pt>
                <c:pt idx="736">
                  <c:v>2.2505723110702509E-7</c:v>
                </c:pt>
                <c:pt idx="737">
                  <c:v>2.2410682936043105E-7</c:v>
                </c:pt>
                <c:pt idx="738">
                  <c:v>2.2315964867924693E-7</c:v>
                </c:pt>
                <c:pt idx="739">
                  <c:v>2.2221567452428326E-7</c:v>
                </c:pt>
                <c:pt idx="740">
                  <c:v>2.2127489243829151E-7</c:v>
                </c:pt>
                <c:pt idx="741">
                  <c:v>2.2033728804541042E-7</c:v>
                </c:pt>
                <c:pt idx="742">
                  <c:v>2.1940284705061702E-7</c:v>
                </c:pt>
                <c:pt idx="743">
                  <c:v>2.1847155523918162E-7</c:v>
                </c:pt>
                <c:pt idx="744">
                  <c:v>2.1754339847612751E-7</c:v>
                </c:pt>
                <c:pt idx="745">
                  <c:v>2.1661836270569415E-7</c:v>
                </c:pt>
                <c:pt idx="746">
                  <c:v>2.1569643395080548E-7</c:v>
                </c:pt>
                <c:pt idx="747">
                  <c:v>2.1477759831254149E-7</c:v>
                </c:pt>
                <c:pt idx="748">
                  <c:v>2.1386184196961478E-7</c:v>
                </c:pt>
                <c:pt idx="749">
                  <c:v>2.1294915117785058E-7</c:v>
                </c:pt>
                <c:pt idx="750">
                  <c:v>2.1203951226967114E-7</c:v>
                </c:pt>
                <c:pt idx="751">
                  <c:v>2.1113291165358387E-7</c:v>
                </c:pt>
                <c:pt idx="752">
                  <c:v>2.1022933581367387E-7</c:v>
                </c:pt>
                <c:pt idx="753">
                  <c:v>2.0932877130910021E-7</c:v>
                </c:pt>
                <c:pt idx="754">
                  <c:v>2.0843120477359566E-7</c:v>
                </c:pt>
                <c:pt idx="755">
                  <c:v>2.0753662291497126E-7</c:v>
                </c:pt>
                <c:pt idx="756">
                  <c:v>2.0664501251462384E-7</c:v>
                </c:pt>
                <c:pt idx="757">
                  <c:v>2.057563604270479E-7</c:v>
                </c:pt>
                <c:pt idx="758">
                  <c:v>2.0487065357935102E-7</c:v>
                </c:pt>
                <c:pt idx="759">
                  <c:v>2.039878789707731E-7</c:v>
                </c:pt>
                <c:pt idx="760">
                  <c:v>2.0310802367220926E-7</c:v>
                </c:pt>
                <c:pt idx="761">
                  <c:v>2.0223107482573627E-7</c:v>
                </c:pt>
                <c:pt idx="762">
                  <c:v>2.013570196441431E-7</c:v>
                </c:pt>
                <c:pt idx="763">
                  <c:v>2.0048584541046466E-7</c:v>
                </c:pt>
                <c:pt idx="764">
                  <c:v>1.9961753947751914E-7</c:v>
                </c:pt>
                <c:pt idx="765">
                  <c:v>1.9875208926744902E-7</c:v>
                </c:pt>
                <c:pt idx="766">
                  <c:v>1.9788948227126578E-7</c:v>
                </c:pt>
                <c:pt idx="767">
                  <c:v>1.9702970604839748E-7</c:v>
                </c:pt>
                <c:pt idx="768">
                  <c:v>1.9617274822624086E-7</c:v>
                </c:pt>
                <c:pt idx="769">
                  <c:v>1.9531859649971537E-7</c:v>
                </c:pt>
                <c:pt idx="770">
                  <c:v>1.9446723863082224E-7</c:v>
                </c:pt>
                <c:pt idx="771">
                  <c:v>1.9361866244820547E-7</c:v>
                </c:pt>
                <c:pt idx="772">
                  <c:v>1.9277285584671754E-7</c:v>
                </c:pt>
                <c:pt idx="773">
                  <c:v>1.9192980678698695E-7</c:v>
                </c:pt>
                <c:pt idx="774">
                  <c:v>1.9108950329499021E-7</c:v>
                </c:pt>
                <c:pt idx="775">
                  <c:v>1.9025193346162649E-7</c:v>
                </c:pt>
                <c:pt idx="776">
                  <c:v>1.8941708544229601E-7</c:v>
                </c:pt>
                <c:pt idx="777">
                  <c:v>1.8858494745648081E-7</c:v>
                </c:pt>
                <c:pt idx="778">
                  <c:v>1.8775550778732945E-7</c:v>
                </c:pt>
                <c:pt idx="779">
                  <c:v>1.8692875478124443E-7</c:v>
                </c:pt>
                <c:pt idx="780">
                  <c:v>1.8610467684747293E-7</c:v>
                </c:pt>
                <c:pt idx="781">
                  <c:v>1.8528326245770066E-7</c:v>
                </c:pt>
                <c:pt idx="782">
                  <c:v>1.8446450014564847E-7</c:v>
                </c:pt>
                <c:pt idx="783">
                  <c:v>1.8364837850667226E-7</c:v>
                </c:pt>
                <c:pt idx="784">
                  <c:v>1.8283488619736592E-7</c:v>
                </c:pt>
                <c:pt idx="785">
                  <c:v>1.8202401193516702E-7</c:v>
                </c:pt>
                <c:pt idx="786">
                  <c:v>1.8121574449796596E-7</c:v>
                </c:pt>
                <c:pt idx="787">
                  <c:v>1.8041007272371713E-7</c:v>
                </c:pt>
                <c:pt idx="788">
                  <c:v>1.7960698551005407E-7</c:v>
                </c:pt>
                <c:pt idx="789">
                  <c:v>1.7880647181390656E-7</c:v>
                </c:pt>
                <c:pt idx="790">
                  <c:v>1.780085206511214E-7</c:v>
                </c:pt>
                <c:pt idx="791">
                  <c:v>1.772131210960853E-7</c:v>
                </c:pt>
                <c:pt idx="792">
                  <c:v>1.7642026228135093E-7</c:v>
                </c:pt>
                <c:pt idx="793">
                  <c:v>1.7562993339726601E-7</c:v>
                </c:pt>
                <c:pt idx="794">
                  <c:v>1.7484212369160438E-7</c:v>
                </c:pt>
                <c:pt idx="795">
                  <c:v>1.7405682246920074E-7</c:v>
                </c:pt>
                <c:pt idx="796">
                  <c:v>1.7327401909158741E-7</c:v>
                </c:pt>
                <c:pt idx="797">
                  <c:v>1.7249370297663416E-7</c:v>
                </c:pt>
                <c:pt idx="798">
                  <c:v>1.7171586359819045E-7</c:v>
                </c:pt>
                <c:pt idx="799">
                  <c:v>1.7094049048573043E-7</c:v>
                </c:pt>
                <c:pt idx="800">
                  <c:v>1.7016757322400086E-7</c:v>
                </c:pt>
                <c:pt idx="801">
                  <c:v>1.6939710145267104E-7</c:v>
                </c:pt>
                <c:pt idx="802">
                  <c:v>1.6862906486598564E-7</c:v>
                </c:pt>
                <c:pt idx="803">
                  <c:v>1.6786345321242038E-7</c:v>
                </c:pt>
                <c:pt idx="804">
                  <c:v>1.6710025629433956E-7</c:v>
                </c:pt>
                <c:pt idx="805">
                  <c:v>1.6633946396765674E-7</c:v>
                </c:pt>
                <c:pt idx="806">
                  <c:v>1.655810661414976E-7</c:v>
                </c:pt>
                <c:pt idx="807">
                  <c:v>1.6482505277786527E-7</c:v>
                </c:pt>
                <c:pt idx="808">
                  <c:v>1.6407141389130821E-7</c:v>
                </c:pt>
                <c:pt idx="809">
                  <c:v>1.6332013954859056E-7</c:v>
                </c:pt>
                <c:pt idx="810">
                  <c:v>1.6257121986836476E-7</c:v>
                </c:pt>
                <c:pt idx="811">
                  <c:v>1.6182464502084661E-7</c:v>
                </c:pt>
                <c:pt idx="812">
                  <c:v>1.6108040522749269E-7</c:v>
                </c:pt>
                <c:pt idx="813">
                  <c:v>1.6033849076068039E-7</c:v>
                </c:pt>
                <c:pt idx="814">
                  <c:v>1.595988919433898E-7</c:v>
                </c:pt>
                <c:pt idx="815">
                  <c:v>1.5886159914888818E-7</c:v>
                </c:pt>
                <c:pt idx="816">
                  <c:v>1.5812660280041679E-7</c:v>
                </c:pt>
                <c:pt idx="817">
                  <c:v>1.5739389337087988E-7</c:v>
                </c:pt>
                <c:pt idx="818">
                  <c:v>1.5666346138253602E-7</c:v>
                </c:pt>
                <c:pt idx="819">
                  <c:v>1.5593529740669148E-7</c:v>
                </c:pt>
                <c:pt idx="820">
                  <c:v>1.5520939206339604E-7</c:v>
                </c:pt>
                <c:pt idx="821">
                  <c:v>1.544857360211408E-7</c:v>
                </c:pt>
                <c:pt idx="822">
                  <c:v>1.5376431999655845E-7</c:v>
                </c:pt>
                <c:pt idx="823">
                  <c:v>1.5304513475412552E-7</c:v>
                </c:pt>
                <c:pt idx="824">
                  <c:v>1.5232817110586675E-7</c:v>
                </c:pt>
                <c:pt idx="825">
                  <c:v>1.5161341991106147E-7</c:v>
                </c:pt>
                <c:pt idx="826">
                  <c:v>1.5090087207595264E-7</c:v>
                </c:pt>
                <c:pt idx="827">
                  <c:v>1.5019051855345717E-7</c:v>
                </c:pt>
                <c:pt idx="828">
                  <c:v>1.4948235034287916E-7</c:v>
                </c:pt>
                <c:pt idx="829">
                  <c:v>1.4877635848962444E-7</c:v>
                </c:pt>
                <c:pt idx="830">
                  <c:v>1.4807253408491763E-7</c:v>
                </c:pt>
                <c:pt idx="831">
                  <c:v>1.4737086826552119E-7</c:v>
                </c:pt>
                <c:pt idx="832">
                  <c:v>1.4667135221345626E-7</c:v>
                </c:pt>
                <c:pt idx="833">
                  <c:v>1.4597397715572561E-7</c:v>
                </c:pt>
                <c:pt idx="834">
                  <c:v>1.4527873436403862E-7</c:v>
                </c:pt>
                <c:pt idx="835">
                  <c:v>1.4458561515453825E-7</c:v>
                </c:pt>
                <c:pt idx="836">
                  <c:v>1.4389461088752964E-7</c:v>
                </c:pt>
                <c:pt idx="837">
                  <c:v>1.4320571296721115E-7</c:v>
                </c:pt>
                <c:pt idx="838">
                  <c:v>1.4251891284140685E-7</c:v>
                </c:pt>
                <c:pt idx="839">
                  <c:v>1.4183420200130122E-7</c:v>
                </c:pt>
                <c:pt idx="840">
                  <c:v>1.4115157198117546E-7</c:v>
                </c:pt>
                <c:pt idx="841">
                  <c:v>1.4047101435814587E-7</c:v>
                </c:pt>
                <c:pt idx="842">
                  <c:v>1.3979252075190426E-7</c:v>
                </c:pt>
                <c:pt idx="843">
                  <c:v>1.3911608282445959E-7</c:v>
                </c:pt>
                <c:pt idx="844">
                  <c:v>1.3844169227988201E-7</c:v>
                </c:pt>
                <c:pt idx="845">
                  <c:v>1.3776934086404845E-7</c:v>
                </c:pt>
                <c:pt idx="846">
                  <c:v>1.3709902036439015E-7</c:v>
                </c:pt>
                <c:pt idx="847">
                  <c:v>1.3643072260964176E-7</c:v>
                </c:pt>
                <c:pt idx="848">
                  <c:v>1.3576443946959231E-7</c:v>
                </c:pt>
                <c:pt idx="849">
                  <c:v>1.3510016285483808E-7</c:v>
                </c:pt>
                <c:pt idx="850">
                  <c:v>1.3443788471653678E-7</c:v>
                </c:pt>
                <c:pt idx="851">
                  <c:v>1.3377759704616418E-7</c:v>
                </c:pt>
                <c:pt idx="852">
                  <c:v>1.3311929187527158E-7</c:v>
                </c:pt>
                <c:pt idx="853">
                  <c:v>1.3246296127524558E-7</c:v>
                </c:pt>
                <c:pt idx="854">
                  <c:v>1.3180859735706942E-7</c:v>
                </c:pt>
                <c:pt idx="855">
                  <c:v>1.3115619227108566E-7</c:v>
                </c:pt>
                <c:pt idx="856">
                  <c:v>1.3050573820676111E-7</c:v>
                </c:pt>
                <c:pt idx="857">
                  <c:v>1.2985722739245281E-7</c:v>
                </c:pt>
                <c:pt idx="858">
                  <c:v>1.29210652095176E-7</c:v>
                </c:pt>
                <c:pt idx="859">
                  <c:v>1.2856600462037344E-7</c:v>
                </c:pt>
                <c:pt idx="860">
                  <c:v>1.2792327731168689E-7</c:v>
                </c:pt>
                <c:pt idx="861">
                  <c:v>1.2728246255072922E-7</c:v>
                </c:pt>
                <c:pt idx="862">
                  <c:v>1.2664355275685909E-7</c:v>
                </c:pt>
                <c:pt idx="863">
                  <c:v>1.2600654038695649E-7</c:v>
                </c:pt>
                <c:pt idx="864">
                  <c:v>1.2537141793520021E-7</c:v>
                </c:pt>
                <c:pt idx="865">
                  <c:v>1.2473817793284688E-7</c:v>
                </c:pt>
                <c:pt idx="866">
                  <c:v>1.2410681294801118E-7</c:v>
                </c:pt>
                <c:pt idx="867">
                  <c:v>1.2347731558544775E-7</c:v>
                </c:pt>
                <c:pt idx="868">
                  <c:v>1.2284967848633486E-7</c:v>
                </c:pt>
                <c:pt idx="869">
                  <c:v>1.2222389432805918E-7</c:v>
                </c:pt>
                <c:pt idx="870">
                  <c:v>1.2159995582400225E-7</c:v>
                </c:pt>
                <c:pt idx="871">
                  <c:v>1.2097785572332838E-7</c:v>
                </c:pt>
                <c:pt idx="872">
                  <c:v>1.2035758681077396E-7</c:v>
                </c:pt>
                <c:pt idx="873">
                  <c:v>1.1973914190643827E-7</c:v>
                </c:pt>
                <c:pt idx="874">
                  <c:v>1.191225138655757E-7</c:v>
                </c:pt>
                <c:pt idx="875">
                  <c:v>1.1850769557838935E-7</c:v>
                </c:pt>
                <c:pt idx="876">
                  <c:v>1.178946799698262E-7</c:v>
                </c:pt>
                <c:pt idx="877">
                  <c:v>1.172834599993734E-7</c:v>
                </c:pt>
                <c:pt idx="878">
                  <c:v>1.1667402866085624E-7</c:v>
                </c:pt>
                <c:pt idx="879">
                  <c:v>1.1606637898223748E-7</c:v>
                </c:pt>
                <c:pt idx="880">
                  <c:v>1.1546050402541765E-7</c:v>
                </c:pt>
                <c:pt idx="881">
                  <c:v>1.1485639688603721E-7</c:v>
                </c:pt>
                <c:pt idx="882">
                  <c:v>1.1425405069327981E-7</c:v>
                </c:pt>
                <c:pt idx="883">
                  <c:v>1.1365345860967694E-7</c:v>
                </c:pt>
                <c:pt idx="884">
                  <c:v>1.1305461383091389E-7</c:v>
                </c:pt>
                <c:pt idx="885">
                  <c:v>1.1245750958563693E-7</c:v>
                </c:pt>
                <c:pt idx="886">
                  <c:v>1.1186213913526208E-7</c:v>
                </c:pt>
                <c:pt idx="887">
                  <c:v>1.1126849577378482E-7</c:v>
                </c:pt>
                <c:pt idx="888">
                  <c:v>1.1067657282759136E-7</c:v>
                </c:pt>
                <c:pt idx="889">
                  <c:v>1.1008636365527097E-7</c:v>
                </c:pt>
                <c:pt idx="890">
                  <c:v>1.0949786164742981E-7</c:v>
                </c:pt>
                <c:pt idx="891">
                  <c:v>1.0891106022650583E-7</c:v>
                </c:pt>
                <c:pt idx="892">
                  <c:v>1.08325952846585E-7</c:v>
                </c:pt>
                <c:pt idx="893">
                  <c:v>1.0774253299321875E-7</c:v>
                </c:pt>
                <c:pt idx="894">
                  <c:v>1.0716079418324264E-7</c:v>
                </c:pt>
                <c:pt idx="895">
                  <c:v>1.0658072996459624E-7</c:v>
                </c:pt>
                <c:pt idx="896">
                  <c:v>1.0600233391614419E-7</c:v>
                </c:pt>
                <c:pt idx="897">
                  <c:v>1.0542559964749858E-7</c:v>
                </c:pt>
                <c:pt idx="898">
                  <c:v>1.0485052079884247E-7</c:v>
                </c:pt>
                <c:pt idx="899">
                  <c:v>1.0427709104075445E-7</c:v>
                </c:pt>
                <c:pt idx="900">
                  <c:v>1.0370530407403451E-7</c:v>
                </c:pt>
                <c:pt idx="901">
                  <c:v>1.031351536295311E-7</c:v>
                </c:pt>
                <c:pt idx="902">
                  <c:v>1.0256663346796927E-7</c:v>
                </c:pt>
                <c:pt idx="903">
                  <c:v>1.0199973737977993E-7</c:v>
                </c:pt>
                <c:pt idx="904">
                  <c:v>1.0143445918493026E-7</c:v>
                </c:pt>
                <c:pt idx="905">
                  <c:v>1.0087079273275549E-7</c:v>
                </c:pt>
                <c:pt idx="906">
                  <c:v>1.0030873190179129E-7</c:v>
                </c:pt>
                <c:pt idx="907">
                  <c:v>9.9748270599607901E-8</c:v>
                </c:pt>
                <c:pt idx="908">
                  <c:v>9.9189402762644674E-8</c:v>
                </c:pt>
                <c:pt idx="909">
                  <c:v>9.8632122356046367E-8</c:v>
                </c:pt>
                <c:pt idx="910">
                  <c:v>9.8076423373500035E-8</c:v>
                </c:pt>
                <c:pt idx="911">
                  <c:v>9.7522299837073353E-8</c:v>
                </c:pt>
                <c:pt idx="912">
                  <c:v>9.6969745797053717E-8</c:v>
                </c:pt>
                <c:pt idx="913">
                  <c:v>9.6418755331788545E-8</c:v>
                </c:pt>
                <c:pt idx="914">
                  <c:v>9.5869322547526756E-8</c:v>
                </c:pt>
                <c:pt idx="915">
                  <c:v>9.5321441578260998E-8</c:v>
                </c:pt>
                <c:pt idx="916">
                  <c:v>9.4775106585571109E-8</c:v>
                </c:pt>
                <c:pt idx="917">
                  <c:v>9.4230311758468685E-8</c:v>
                </c:pt>
                <c:pt idx="918">
                  <c:v>9.3687051313242402E-8</c:v>
                </c:pt>
                <c:pt idx="919">
                  <c:v>9.314531949330468E-8</c:v>
                </c:pt>
                <c:pt idx="920">
                  <c:v>9.2605110569039053E-8</c:v>
                </c:pt>
                <c:pt idx="921">
                  <c:v>9.2066418837648728E-8</c:v>
                </c:pt>
                <c:pt idx="922">
                  <c:v>9.1529238623006049E-8</c:v>
                </c:pt>
                <c:pt idx="923">
                  <c:v>9.0993564275502979E-8</c:v>
                </c:pt>
                <c:pt idx="924">
                  <c:v>9.0459390171902559E-8</c:v>
                </c:pt>
                <c:pt idx="925">
                  <c:v>8.992671071519149E-8</c:v>
                </c:pt>
                <c:pt idx="926">
                  <c:v>8.939552033443314E-8</c:v>
                </c:pt>
                <c:pt idx="927">
                  <c:v>8.8865813484622284E-8</c:v>
                </c:pt>
                <c:pt idx="928">
                  <c:v>8.8337584646540149E-8</c:v>
                </c:pt>
                <c:pt idx="929">
                  <c:v>8.7810828326610759E-8</c:v>
                </c:pt>
                <c:pt idx="930">
                  <c:v>8.7285539056758077E-8</c:v>
                </c:pt>
                <c:pt idx="931">
                  <c:v>8.6761711394264049E-8</c:v>
                </c:pt>
                <c:pt idx="932">
                  <c:v>8.6239339921627745E-8</c:v>
                </c:pt>
                <c:pt idx="933">
                  <c:v>8.571841924642507E-8</c:v>
                </c:pt>
                <c:pt idx="934">
                  <c:v>8.5198944001169848E-8</c:v>
                </c:pt>
                <c:pt idx="935">
                  <c:v>8.4680908843175426E-8</c:v>
                </c:pt>
                <c:pt idx="936">
                  <c:v>8.4164308454417245E-8</c:v>
                </c:pt>
                <c:pt idx="937">
                  <c:v>8.3649137541396505E-8</c:v>
                </c:pt>
                <c:pt idx="938">
                  <c:v>8.3135390835004386E-8</c:v>
                </c:pt>
                <c:pt idx="939">
                  <c:v>8.2623063090387549E-8</c:v>
                </c:pt>
                <c:pt idx="940">
                  <c:v>8.211214908681406E-8</c:v>
                </c:pt>
                <c:pt idx="941">
                  <c:v>8.1602643627540461E-8</c:v>
                </c:pt>
                <c:pt idx="942">
                  <c:v>8.1094541539679672E-8</c:v>
                </c:pt>
                <c:pt idx="943">
                  <c:v>8.0587837674069585E-8</c:v>
                </c:pt>
                <c:pt idx="944">
                  <c:v>8.008252690514276E-8</c:v>
                </c:pt>
                <c:pt idx="945">
                  <c:v>7.9578604130796638E-8</c:v>
                </c:pt>
                <c:pt idx="946">
                  <c:v>7.9076064272264891E-8</c:v>
                </c:pt>
                <c:pt idx="947">
                  <c:v>7.8574902273989406E-8</c:v>
                </c:pt>
                <c:pt idx="948">
                  <c:v>7.8075113103493029E-8</c:v>
                </c:pt>
                <c:pt idx="949">
                  <c:v>7.7576691751253451E-8</c:v>
                </c:pt>
                <c:pt idx="950">
                  <c:v>7.7079633230577501E-8</c:v>
                </c:pt>
                <c:pt idx="951">
                  <c:v>7.6583932577476462E-8</c:v>
                </c:pt>
                <c:pt idx="952">
                  <c:v>7.608958485054214E-8</c:v>
                </c:pt>
                <c:pt idx="953">
                  <c:v>7.5596585130823764E-8</c:v>
                </c:pt>
                <c:pt idx="954">
                  <c:v>7.5104928521705552E-8</c:v>
                </c:pt>
                <c:pt idx="955">
                  <c:v>7.4614610148785134E-8</c:v>
                </c:pt>
                <c:pt idx="956">
                  <c:v>7.4125625159752797E-8</c:v>
                </c:pt>
                <c:pt idx="957">
                  <c:v>7.3637968724271314E-8</c:v>
                </c:pt>
                <c:pt idx="958">
                  <c:v>7.3151636033856829E-8</c:v>
                </c:pt>
                <c:pt idx="959">
                  <c:v>7.2666622301760202E-8</c:v>
                </c:pt>
                <c:pt idx="960">
                  <c:v>7.2182922762849188E-8</c:v>
                </c:pt>
                <c:pt idx="961">
                  <c:v>7.1700532673491524E-8</c:v>
                </c:pt>
                <c:pt idx="962">
                  <c:v>7.1219447311438521E-8</c:v>
                </c:pt>
                <c:pt idx="963">
                  <c:v>7.0739661975709545E-8</c:v>
                </c:pt>
                <c:pt idx="964">
                  <c:v>7.0261171986477183E-8</c:v>
                </c:pt>
                <c:pt idx="965">
                  <c:v>6.9783972684953076E-8</c:v>
                </c:pt>
                <c:pt idx="966">
                  <c:v>6.9308059433274561E-8</c:v>
                </c:pt>
                <c:pt idx="967">
                  <c:v>6.8833427614392019E-8</c:v>
                </c:pt>
                <c:pt idx="968">
                  <c:v>6.8360072631956771E-8</c:v>
                </c:pt>
                <c:pt idx="969">
                  <c:v>6.7887989910209911E-8</c:v>
                </c:pt>
                <c:pt idx="970">
                  <c:v>6.7417174893871709E-8</c:v>
                </c:pt>
                <c:pt idx="971">
                  <c:v>6.6947623048031606E-8</c:v>
                </c:pt>
                <c:pt idx="972">
                  <c:v>6.6479329858039265E-8</c:v>
                </c:pt>
                <c:pt idx="973">
                  <c:v>6.6012290829395791E-8</c:v>
                </c:pt>
                <c:pt idx="974">
                  <c:v>6.5546501487646001E-8</c:v>
                </c:pt>
                <c:pt idx="975">
                  <c:v>6.5081957378271298E-8</c:v>
                </c:pt>
                <c:pt idx="976">
                  <c:v>6.4618654066583043E-8</c:v>
                </c:pt>
                <c:pt idx="977">
                  <c:v>6.4156587137616881E-8</c:v>
                </c:pt>
                <c:pt idx="978">
                  <c:v>6.3695752196027383E-8</c:v>
                </c:pt>
                <c:pt idx="979">
                  <c:v>6.3236144865983739E-8</c:v>
                </c:pt>
                <c:pt idx="980">
                  <c:v>6.2777760791065574E-8</c:v>
                </c:pt>
                <c:pt idx="981">
                  <c:v>6.2320595634160114E-8</c:v>
                </c:pt>
                <c:pt idx="982">
                  <c:v>6.1864645077359189E-8</c:v>
                </c:pt>
                <c:pt idx="983">
                  <c:v>6.1409904821857567E-8</c:v>
                </c:pt>
                <c:pt idx="984">
                  <c:v>6.0956370587851505E-8</c:v>
                </c:pt>
                <c:pt idx="985">
                  <c:v>6.0504038114438018E-8</c:v>
                </c:pt>
                <c:pt idx="986">
                  <c:v>6.0052903159514986E-8</c:v>
                </c:pt>
                <c:pt idx="987">
                  <c:v>5.960296149968141E-8</c:v>
                </c:pt>
                <c:pt idx="988">
                  <c:v>5.9154208930138812E-8</c:v>
                </c:pt>
                <c:pt idx="989">
                  <c:v>5.8706641264592895E-8</c:v>
                </c:pt>
                <c:pt idx="990">
                  <c:v>5.8260254335155851E-8</c:v>
                </c:pt>
                <c:pt idx="991">
                  <c:v>5.7815043992249502E-8</c:v>
                </c:pt>
                <c:pt idx="992">
                  <c:v>5.7371006104508725E-8</c:v>
                </c:pt>
                <c:pt idx="993">
                  <c:v>5.6928136558685577E-8</c:v>
                </c:pt>
                <c:pt idx="994">
                  <c:v>5.6486431259554197E-8</c:v>
                </c:pt>
                <c:pt idx="995">
                  <c:v>5.6045886129815986E-8</c:v>
                </c:pt>
                <c:pt idx="996">
                  <c:v>5.5606497110005636E-8</c:v>
                </c:pt>
                <c:pt idx="997">
                  <c:v>5.5168260158397475E-8</c:v>
                </c:pt>
                <c:pt idx="998">
                  <c:v>5.4731171250912587E-8</c:v>
                </c:pt>
                <c:pt idx="999">
                  <c:v>5.4295226381026558E-8</c:v>
                </c:pt>
                <c:pt idx="1000">
                  <c:v>5.3860421559677403E-8</c:v>
                </c:pt>
                <c:pt idx="1001">
                  <c:v>5.3426752815174582E-8</c:v>
                </c:pt>
                <c:pt idx="1002">
                  <c:v>5.2994216193108114E-8</c:v>
                </c:pt>
                <c:pt idx="1003">
                  <c:v>5.2562807756258498E-8</c:v>
                </c:pt>
                <c:pt idx="1004">
                  <c:v>5.2132523584507107E-8</c:v>
                </c:pt>
                <c:pt idx="1005">
                  <c:v>5.1703359774747144E-8</c:v>
                </c:pt>
                <c:pt idx="1006">
                  <c:v>5.1275312440795133E-8</c:v>
                </c:pt>
                <c:pt idx="1007">
                  <c:v>5.084837771330296E-8</c:v>
                </c:pt>
                <c:pt idx="1008">
                  <c:v>5.0422551739670317E-8</c:v>
                </c:pt>
                <c:pt idx="1009">
                  <c:v>4.9997830683958016E-8</c:v>
                </c:pt>
                <c:pt idx="1010">
                  <c:v>4.9574210726801297E-8</c:v>
                </c:pt>
                <c:pt idx="1011">
                  <c:v>4.9151688065324215E-8</c:v>
                </c:pt>
                <c:pt idx="1012">
                  <c:v>4.8730258913054199E-8</c:v>
                </c:pt>
                <c:pt idx="1013">
                  <c:v>4.8309919499837224E-8</c:v>
                </c:pt>
                <c:pt idx="1014">
                  <c:v>4.7890666071753439E-8</c:v>
                </c:pt>
                <c:pt idx="1015">
                  <c:v>4.7472494891033531E-8</c:v>
                </c:pt>
                <c:pt idx="1016">
                  <c:v>4.7055402235975136E-8</c:v>
                </c:pt>
                <c:pt idx="1017">
                  <c:v>4.6639384400860309E-8</c:v>
                </c:pt>
                <c:pt idx="1018">
                  <c:v>4.6224437695872977E-8</c:v>
                </c:pt>
                <c:pt idx="1019">
                  <c:v>4.5810558447017314E-8</c:v>
                </c:pt>
                <c:pt idx="1020">
                  <c:v>4.5397742996036331E-8</c:v>
                </c:pt>
                <c:pt idx="1021">
                  <c:v>4.4985987700331059E-8</c:v>
                </c:pt>
                <c:pt idx="1022">
                  <c:v>4.457528893288012E-8</c:v>
                </c:pt>
                <c:pt idx="1023">
                  <c:v>4.4165643082159948E-8</c:v>
                </c:pt>
                <c:pt idx="1024">
                  <c:v>4.3757046552065391E-8</c:v>
                </c:pt>
                <c:pt idx="1025">
                  <c:v>4.3349495761830673E-8</c:v>
                </c:pt>
                <c:pt idx="1026">
                  <c:v>4.2942987145951157E-8</c:v>
                </c:pt>
                <c:pt idx="1027">
                  <c:v>4.2537517154105047E-8</c:v>
                </c:pt>
                <c:pt idx="1028">
                  <c:v>4.2133082251076273E-8</c:v>
                </c:pt>
                <c:pt idx="1029">
                  <c:v>4.1729678916677042E-8</c:v>
                </c:pt>
                <c:pt idx="1030">
                  <c:v>4.1327303645671468E-8</c:v>
                </c:pt>
                <c:pt idx="1031">
                  <c:v>4.0925952947699402E-8</c:v>
                </c:pt>
                <c:pt idx="1032">
                  <c:v>4.0525623347200655E-8</c:v>
                </c:pt>
                <c:pt idx="1033">
                  <c:v>4.0126311383339876E-8</c:v>
                </c:pt>
                <c:pt idx="1034">
                  <c:v>3.9728013609931568E-8</c:v>
                </c:pt>
                <c:pt idx="1035">
                  <c:v>3.9330726595366034E-8</c:v>
                </c:pt>
                <c:pt idx="1036">
                  <c:v>3.8934446922535101E-8</c:v>
                </c:pt>
                <c:pt idx="1037">
                  <c:v>3.853917118875894E-8</c:v>
                </c:pt>
                <c:pt idx="1038">
                  <c:v>3.8144896005712868E-8</c:v>
                </c:pt>
                <c:pt idx="1039">
                  <c:v>3.7751617999354723E-8</c:v>
                </c:pt>
                <c:pt idx="1040">
                  <c:v>3.7359333809852781E-8</c:v>
                </c:pt>
                <c:pt idx="1041">
                  <c:v>3.6968040091514039E-8</c:v>
                </c:pt>
                <c:pt idx="1042">
                  <c:v>3.6577733512712606E-8</c:v>
                </c:pt>
                <c:pt idx="1043">
                  <c:v>3.618841075581909E-8</c:v>
                </c:pt>
                <c:pt idx="1044">
                  <c:v>3.5800068517129878E-8</c:v>
                </c:pt>
                <c:pt idx="1045">
                  <c:v>3.5412703506797218E-8</c:v>
                </c:pt>
                <c:pt idx="1046">
                  <c:v>3.5026312448759457E-8</c:v>
                </c:pt>
                <c:pt idx="1047">
                  <c:v>3.4640892080671793E-8</c:v>
                </c:pt>
                <c:pt idx="1048">
                  <c:v>3.4256439153837386E-8</c:v>
                </c:pt>
                <c:pt idx="1049">
                  <c:v>3.3872950433138912E-8</c:v>
                </c:pt>
                <c:pt idx="1050">
                  <c:v>3.3490422696970519E-8</c:v>
                </c:pt>
                <c:pt idx="1051">
                  <c:v>3.3108852737170228E-8</c:v>
                </c:pt>
                <c:pt idx="1052">
                  <c:v>3.2728237358952485E-8</c:v>
                </c:pt>
                <c:pt idx="1053">
                  <c:v>3.2348573380841531E-8</c:v>
                </c:pt>
                <c:pt idx="1054">
                  <c:v>3.1969857634604693E-8</c:v>
                </c:pt>
                <c:pt idx="1055">
                  <c:v>3.1592086965186443E-8</c:v>
                </c:pt>
                <c:pt idx="1056">
                  <c:v>3.1215258230642606E-8</c:v>
                </c:pt>
                <c:pt idx="1057">
                  <c:v>3.0839368302075058E-8</c:v>
                </c:pt>
                <c:pt idx="1058">
                  <c:v>3.0464414063566825E-8</c:v>
                </c:pt>
                <c:pt idx="1059">
                  <c:v>3.0090392412117362E-8</c:v>
                </c:pt>
                <c:pt idx="1060">
                  <c:v>2.9717300257578508E-8</c:v>
                </c:pt>
                <c:pt idx="1061">
                  <c:v>2.9345134522590594E-8</c:v>
                </c:pt>
                <c:pt idx="1062">
                  <c:v>2.8973892142519081E-8</c:v>
                </c:pt>
                <c:pt idx="1063">
                  <c:v>2.8603570065391193E-8</c:v>
                </c:pt>
                <c:pt idx="1064">
                  <c:v>2.8234165251833516E-8</c:v>
                </c:pt>
                <c:pt idx="1065">
                  <c:v>2.7865674675009451E-8</c:v>
                </c:pt>
                <c:pt idx="1066">
                  <c:v>2.7498095320557309E-8</c:v>
                </c:pt>
                <c:pt idx="1067">
                  <c:v>2.7131424186528579E-8</c:v>
                </c:pt>
                <c:pt idx="1068">
                  <c:v>2.6765658283326654E-8</c:v>
                </c:pt>
                <c:pt idx="1069">
                  <c:v>2.6400794633645952E-8</c:v>
                </c:pt>
                <c:pt idx="1070">
                  <c:v>2.6036830272411231E-8</c:v>
                </c:pt>
                <c:pt idx="1071">
                  <c:v>2.5673762246717466E-8</c:v>
                </c:pt>
                <c:pt idx="1072">
                  <c:v>2.5311587615769864E-8</c:v>
                </c:pt>
                <c:pt idx="1073">
                  <c:v>2.4950303450824355E-8</c:v>
                </c:pt>
                <c:pt idx="1074">
                  <c:v>2.4589906835128369E-8</c:v>
                </c:pt>
                <c:pt idx="1075">
                  <c:v>2.4230394863861969E-8</c:v>
                </c:pt>
                <c:pt idx="1076">
                  <c:v>2.3871764644079325E-8</c:v>
                </c:pt>
                <c:pt idx="1077">
                  <c:v>2.3514013294650481E-8</c:v>
                </c:pt>
                <c:pt idx="1078">
                  <c:v>2.3157137946203552E-8</c:v>
                </c:pt>
                <c:pt idx="1079">
                  <c:v>2.2801135741067193E-8</c:v>
                </c:pt>
                <c:pt idx="1080">
                  <c:v>2.244600383321325E-8</c:v>
                </c:pt>
                <c:pt idx="1081">
                  <c:v>2.2091739388200053E-8</c:v>
                </c:pt>
                <c:pt idx="1082">
                  <c:v>2.1738339583115826E-8</c:v>
                </c:pt>
                <c:pt idx="1083">
                  <c:v>2.1385801606522326E-8</c:v>
                </c:pt>
                <c:pt idx="1084">
                  <c:v>2.1034122658399061E-8</c:v>
                </c:pt>
                <c:pt idx="1085">
                  <c:v>2.0683299950087677E-8</c:v>
                </c:pt>
                <c:pt idx="1086">
                  <c:v>2.0333330704236563E-8</c:v>
                </c:pt>
                <c:pt idx="1087">
                  <c:v>1.9984212154746097E-8</c:v>
                </c:pt>
                <c:pt idx="1088">
                  <c:v>1.9635941546713712E-8</c:v>
                </c:pt>
                <c:pt idx="1089">
                  <c:v>1.9288516136379811E-8</c:v>
                </c:pt>
                <c:pt idx="1090">
                  <c:v>1.894193319107354E-8</c:v>
                </c:pt>
                <c:pt idx="1091">
                  <c:v>1.8596189989159157E-8</c:v>
                </c:pt>
                <c:pt idx="1092">
                  <c:v>1.8251283819982553E-8</c:v>
                </c:pt>
                <c:pt idx="1093">
                  <c:v>1.7907211983818141E-8</c:v>
                </c:pt>
                <c:pt idx="1094">
                  <c:v>1.7563971791815996E-8</c:v>
                </c:pt>
                <c:pt idx="1095">
                  <c:v>1.7221560565949437E-8</c:v>
                </c:pt>
                <c:pt idx="1096">
                  <c:v>1.6879975638962584E-8</c:v>
                </c:pt>
                <c:pt idx="1097">
                  <c:v>1.6539214354318612E-8</c:v>
                </c:pt>
                <c:pt idx="1098">
                  <c:v>1.6199274066148012E-8</c:v>
                </c:pt>
                <c:pt idx="1099">
                  <c:v>1.5860152139197209E-8</c:v>
                </c:pt>
                <c:pt idx="1100">
                  <c:v>1.5521845948777571E-8</c:v>
                </c:pt>
                <c:pt idx="1101">
                  <c:v>1.5184352880714513E-8</c:v>
                </c:pt>
                <c:pt idx="1102">
                  <c:v>1.4847670331297104E-8</c:v>
                </c:pt>
                <c:pt idx="1103">
                  <c:v>1.4511795707227835E-8</c:v>
                </c:pt>
                <c:pt idx="1104">
                  <c:v>1.4176726425572541E-8</c:v>
                </c:pt>
                <c:pt idx="1105">
                  <c:v>1.3842459913710959E-8</c:v>
                </c:pt>
                <c:pt idx="1106">
                  <c:v>1.3508993609287134E-8</c:v>
                </c:pt>
                <c:pt idx="1107">
                  <c:v>1.3176324960160536E-8</c:v>
                </c:pt>
                <c:pt idx="1108">
                  <c:v>1.2844451424357027E-8</c:v>
                </c:pt>
                <c:pt idx="1109">
                  <c:v>1.2513370470020433E-8</c:v>
                </c:pt>
                <c:pt idx="1110">
                  <c:v>1.2183079575364147E-8</c:v>
                </c:pt>
                <c:pt idx="1111">
                  <c:v>1.1853576228623265E-8</c:v>
                </c:pt>
                <c:pt idx="1112">
                  <c:v>1.1524857928006661E-8</c:v>
                </c:pt>
                <c:pt idx="1113">
                  <c:v>1.119692218164956E-8</c:v>
                </c:pt>
                <c:pt idx="1114">
                  <c:v>1.0869766507566405E-8</c:v>
                </c:pt>
                <c:pt idx="1115">
                  <c:v>1.0543388433603791E-8</c:v>
                </c:pt>
                <c:pt idx="1116">
                  <c:v>1.0217785497393774E-8</c:v>
                </c:pt>
                <c:pt idx="1117">
                  <c:v>9.892955246307447E-9</c:v>
                </c:pt>
                <c:pt idx="1118">
                  <c:v>9.568895237408766E-9</c:v>
                </c:pt>
                <c:pt idx="1119">
                  <c:v>9.2456030374085861E-9</c:v>
                </c:pt>
                <c:pt idx="1120">
                  <c:v>8.9230762226189902E-9</c:v>
                </c:pt>
                <c:pt idx="1121">
                  <c:v>8.6013123789078844E-9</c:v>
                </c:pt>
                <c:pt idx="1122">
                  <c:v>8.2803091016538563E-9</c:v>
                </c:pt>
                <c:pt idx="1123">
                  <c:v>7.9600639957011923E-9</c:v>
                </c:pt>
                <c:pt idx="1124">
                  <c:v>7.6405746753151261E-9</c:v>
                </c:pt>
                <c:pt idx="1125">
                  <c:v>7.3218387641375871E-9</c:v>
                </c:pt>
                <c:pt idx="1126">
                  <c:v>7.0038538951428699E-9</c:v>
                </c:pt>
                <c:pt idx="1127">
                  <c:v>6.6866177105937554E-9</c:v>
                </c:pt>
                <c:pt idx="1128">
                  <c:v>6.3701278619978118E-9</c:v>
                </c:pt>
                <c:pt idx="1129">
                  <c:v>6.0543820100638724E-9</c:v>
                </c:pt>
                <c:pt idx="1130">
                  <c:v>5.7393778246588097E-9</c:v>
                </c:pt>
                <c:pt idx="1131">
                  <c:v>5.4251129847646353E-9</c:v>
                </c:pt>
                <c:pt idx="1132">
                  <c:v>5.1115851784356966E-9</c:v>
                </c:pt>
                <c:pt idx="1133">
                  <c:v>4.7987921027560512E-9</c:v>
                </c:pt>
                <c:pt idx="1134">
                  <c:v>4.4867314637973887E-9</c:v>
                </c:pt>
                <c:pt idx="1135">
                  <c:v>4.1754009765767884E-9</c:v>
                </c:pt>
                <c:pt idx="1136">
                  <c:v>3.8647983650149788E-9</c:v>
                </c:pt>
                <c:pt idx="1137">
                  <c:v>3.5549213618947641E-9</c:v>
                </c:pt>
                <c:pt idx="1138">
                  <c:v>3.2457677088195454E-9</c:v>
                </c:pt>
                <c:pt idx="1139">
                  <c:v>2.9373351561722263E-9</c:v>
                </c:pt>
                <c:pt idx="1140">
                  <c:v>2.629621463074341E-9</c:v>
                </c:pt>
                <c:pt idx="1141">
                  <c:v>2.3226243973453034E-9</c:v>
                </c:pt>
                <c:pt idx="1142">
                  <c:v>2.0163417354619569E-9</c:v>
                </c:pt>
                <c:pt idx="1143">
                  <c:v>1.7107712625181567E-9</c:v>
                </c:pt>
                <c:pt idx="1144">
                  <c:v>1.4059107721850233E-9</c:v>
                </c:pt>
                <c:pt idx="1145">
                  <c:v>1.1017580666708435E-9</c:v>
                </c:pt>
                <c:pt idx="1146">
                  <c:v>7.9831095668157859E-10</c:v>
                </c:pt>
                <c:pt idx="1147">
                  <c:v>4.9556726138146656E-10</c:v>
                </c:pt>
                <c:pt idx="1148">
                  <c:v>1.9352480835385078E-10</c:v>
                </c:pt>
                <c:pt idx="1149">
                  <c:v>-1.0781856643786791E-10</c:v>
                </c:pt>
                <c:pt idx="1150">
                  <c:v>-4.0846501868890429E-10</c:v>
                </c:pt>
                <c:pt idx="1151">
                  <c:v>-7.0841669579169144E-10</c:v>
                </c:pt>
                <c:pt idx="1152">
                  <c:v>-1.0076757368742137E-9</c:v>
                </c:pt>
                <c:pt idx="1153">
                  <c:v>-1.3062442728381574E-9</c:v>
                </c:pt>
                <c:pt idx="1154">
                  <c:v>-1.6041244263967948E-9</c:v>
                </c:pt>
                <c:pt idx="1155">
                  <c:v>-1.9013183121128243E-9</c:v>
                </c:pt>
                <c:pt idx="1156">
                  <c:v>-2.1978280364356978E-9</c:v>
                </c:pt>
                <c:pt idx="1157">
                  <c:v>-2.49365569773921E-9</c:v>
                </c:pt>
                <c:pt idx="1158">
                  <c:v>-2.7888033863583987E-9</c:v>
                </c:pt>
                <c:pt idx="1159">
                  <c:v>-3.0832731846265808E-9</c:v>
                </c:pt>
                <c:pt idx="1160">
                  <c:v>-3.3770671669120684E-9</c:v>
                </c:pt>
                <c:pt idx="1161">
                  <c:v>-3.6701873996546522E-9</c:v>
                </c:pt>
                <c:pt idx="1162">
                  <c:v>-3.9626359414020277E-9</c:v>
                </c:pt>
                <c:pt idx="1163">
                  <c:v>-4.2544148428458343E-9</c:v>
                </c:pt>
                <c:pt idx="1164">
                  <c:v>-4.5455261468577188E-9</c:v>
                </c:pt>
                <c:pt idx="1165">
                  <c:v>-4.8359718885249407E-9</c:v>
                </c:pt>
                <c:pt idx="1166">
                  <c:v>-5.1257540951861249E-9</c:v>
                </c:pt>
                <c:pt idx="1167">
                  <c:v>-5.4148747864664912E-9</c:v>
                </c:pt>
                <c:pt idx="1168">
                  <c:v>-5.7033359743130851E-9</c:v>
                </c:pt>
                <c:pt idx="1169">
                  <c:v>-5.9911396630297998E-9</c:v>
                </c:pt>
                <c:pt idx="1170">
                  <c:v>-6.2782878493121976E-9</c:v>
                </c:pt>
                <c:pt idx="1171">
                  <c:v>-6.5647825222821196E-9</c:v>
                </c:pt>
                <c:pt idx="1172">
                  <c:v>-6.8506256635221384E-9</c:v>
                </c:pt>
                <c:pt idx="1173">
                  <c:v>-7.1358192471098645E-9</c:v>
                </c:pt>
                <c:pt idx="1174">
                  <c:v>-7.4203652396518806E-9</c:v>
                </c:pt>
                <c:pt idx="1175">
                  <c:v>-7.7042656003178898E-9</c:v>
                </c:pt>
                <c:pt idx="1176">
                  <c:v>-7.9875222808741946E-9</c:v>
                </c:pt>
                <c:pt idx="1177">
                  <c:v>-8.2701372257174006E-9</c:v>
                </c:pt>
                <c:pt idx="1178">
                  <c:v>-8.5521123719077293E-9</c:v>
                </c:pt>
                <c:pt idx="1179">
                  <c:v>-8.8334496492022147E-9</c:v>
                </c:pt>
                <c:pt idx="1180">
                  <c:v>-9.1141509800877244E-9</c:v>
                </c:pt>
                <c:pt idx="1181">
                  <c:v>-9.3942182798137984E-9</c:v>
                </c:pt>
                <c:pt idx="1182">
                  <c:v>-9.6736534564252832E-9</c:v>
                </c:pt>
                <c:pt idx="1183">
                  <c:v>-9.952458410794923E-9</c:v>
                </c:pt>
                <c:pt idx="1184">
                  <c:v>-1.0230635036655573E-8</c:v>
                </c:pt>
                <c:pt idx="1185">
                  <c:v>-1.0508185220632482E-8</c:v>
                </c:pt>
                <c:pt idx="1186">
                  <c:v>-1.0785110842275151E-8</c:v>
                </c:pt>
                <c:pt idx="1187">
                  <c:v>-1.1061413774089244E-8</c:v>
                </c:pt>
                <c:pt idx="1188">
                  <c:v>-1.1337095881568222E-8</c:v>
                </c:pt>
                <c:pt idx="1189">
                  <c:v>-1.1612159023224745E-8</c:v>
                </c:pt>
                <c:pt idx="1190">
                  <c:v>-1.1886605050622157E-8</c:v>
                </c:pt>
                <c:pt idx="1191">
                  <c:v>-1.2160435808405564E-8</c:v>
                </c:pt>
                <c:pt idx="1192">
                  <c:v>-1.2433653134332734E-8</c:v>
                </c:pt>
                <c:pt idx="1193">
                  <c:v>-1.2706258859305152E-8</c:v>
                </c:pt>
                <c:pt idx="1194">
                  <c:v>-1.2978254807398446E-8</c:v>
                </c:pt>
                <c:pt idx="1195">
                  <c:v>-1.3249642795893084E-8</c:v>
                </c:pt>
                <c:pt idx="1196">
                  <c:v>-1.3520424635304635E-8</c:v>
                </c:pt>
                <c:pt idx="1197">
                  <c:v>-1.3790602129414003E-8</c:v>
                </c:pt>
                <c:pt idx="1198">
                  <c:v>-1.406017707529749E-8</c:v>
                </c:pt>
                <c:pt idx="1199">
                  <c:v>-1.4329151263356576E-8</c:v>
                </c:pt>
                <c:pt idx="1200">
                  <c:v>-1.4597526477347802E-8</c:v>
                </c:pt>
                <c:pt idx="1201">
                  <c:v>-1.4865304494412149E-8</c:v>
                </c:pt>
                <c:pt idx="1202">
                  <c:v>-1.5132487085104705E-8</c:v>
                </c:pt>
                <c:pt idx="1203">
                  <c:v>-1.5399076013423668E-8</c:v>
                </c:pt>
                <c:pt idx="1204">
                  <c:v>-1.5665073036839658E-8</c:v>
                </c:pt>
                <c:pt idx="1205">
                  <c:v>-1.5930479906324587E-8</c:v>
                </c:pt>
                <c:pt idx="1206">
                  <c:v>-1.6195298366380517E-8</c:v>
                </c:pt>
                <c:pt idx="1207">
                  <c:v>-1.6459530155068342E-8</c:v>
                </c:pt>
                <c:pt idx="1208">
                  <c:v>-1.6723177004036149E-8</c:v>
                </c:pt>
                <c:pt idx="1209">
                  <c:v>-1.6986240638547878E-8</c:v>
                </c:pt>
                <c:pt idx="1210">
                  <c:v>-1.7248722777511224E-8</c:v>
                </c:pt>
                <c:pt idx="1211">
                  <c:v>-1.7510625133506015E-8</c:v>
                </c:pt>
                <c:pt idx="1212">
                  <c:v>-1.7771949412811922E-8</c:v>
                </c:pt>
                <c:pt idx="1213">
                  <c:v>-1.8032697315436353E-8</c:v>
                </c:pt>
                <c:pt idx="1214">
                  <c:v>-1.8292870535142097E-8</c:v>
                </c:pt>
                <c:pt idx="1215">
                  <c:v>-1.8552470759474815E-8</c:v>
                </c:pt>
                <c:pt idx="1216">
                  <c:v>-1.8811499669790323E-8</c:v>
                </c:pt>
                <c:pt idx="1217">
                  <c:v>-1.9069958941282023E-8</c:v>
                </c:pt>
                <c:pt idx="1218">
                  <c:v>-1.9327850243007805E-8</c:v>
                </c:pt>
                <c:pt idx="1219">
                  <c:v>-1.9585175237917052E-8</c:v>
                </c:pt>
                <c:pt idx="1220">
                  <c:v>-1.9841935582877433E-8</c:v>
                </c:pt>
                <c:pt idx="1221">
                  <c:v>-2.0098132928701589E-8</c:v>
                </c:pt>
                <c:pt idx="1222">
                  <c:v>-2.0353768920173703E-8</c:v>
                </c:pt>
                <c:pt idx="1223">
                  <c:v>-2.0608845196075795E-8</c:v>
                </c:pt>
                <c:pt idx="1224">
                  <c:v>-2.0863363389214117E-8</c:v>
                </c:pt>
                <c:pt idx="1225">
                  <c:v>-2.1117325126445202E-8</c:v>
                </c:pt>
                <c:pt idx="1226">
                  <c:v>-2.1370732028701818E-8</c:v>
                </c:pt>
                <c:pt idx="1227">
                  <c:v>-2.1623585711019019E-8</c:v>
                </c:pt>
                <c:pt idx="1228">
                  <c:v>-2.1875887782559573E-8</c:v>
                </c:pt>
                <c:pt idx="1229">
                  <c:v>-2.2127639846639919E-8</c:v>
                </c:pt>
                <c:pt idx="1230">
                  <c:v>-2.2378843500755341E-8</c:v>
                </c:pt>
                <c:pt idx="1231">
                  <c:v>-2.2629500336605471E-8</c:v>
                </c:pt>
                <c:pt idx="1232">
                  <c:v>-2.2879611940119488E-8</c:v>
                </c:pt>
                <c:pt idx="1233">
                  <c:v>-2.3129179891481096E-8</c:v>
                </c:pt>
                <c:pt idx="1234">
                  <c:v>-2.3378205765153662E-8</c:v>
                </c:pt>
                <c:pt idx="1235">
                  <c:v>-2.3626691129904901E-8</c:v>
                </c:pt>
                <c:pt idx="1236">
                  <c:v>-2.387463754883164E-8</c:v>
                </c:pt>
                <c:pt idx="1237">
                  <c:v>-2.4122046579384347E-8</c:v>
                </c:pt>
                <c:pt idx="1238">
                  <c:v>-2.4368919773391726E-8</c:v>
                </c:pt>
                <c:pt idx="1239">
                  <c:v>-2.4615258677084884E-8</c:v>
                </c:pt>
                <c:pt idx="1240">
                  <c:v>-2.4861064831121672E-8</c:v>
                </c:pt>
                <c:pt idx="1241">
                  <c:v>-2.5106339770610679E-8</c:v>
                </c:pt>
                <c:pt idx="1242">
                  <c:v>-2.535108502513523E-8</c:v>
                </c:pt>
                <c:pt idx="1243">
                  <c:v>-2.5595302118777239E-8</c:v>
                </c:pt>
                <c:pt idx="1244">
                  <c:v>-2.5838992570141018E-8</c:v>
                </c:pt>
                <c:pt idx="1245">
                  <c:v>-2.608215789237674E-8</c:v>
                </c:pt>
                <c:pt idx="1246">
                  <c:v>-2.6324799593203975E-8</c:v>
                </c:pt>
                <c:pt idx="1247">
                  <c:v>-2.6566919174935127E-8</c:v>
                </c:pt>
                <c:pt idx="1248">
                  <c:v>-2.6808518134498629E-8</c:v>
                </c:pt>
                <c:pt idx="1249">
                  <c:v>-2.7049597963462114E-8</c:v>
                </c:pt>
                <c:pt idx="1250">
                  <c:v>-2.7290160148055337E-8</c:v>
                </c:pt>
                <c:pt idx="1251">
                  <c:v>-2.7530206169193222E-8</c:v>
                </c:pt>
                <c:pt idx="1252">
                  <c:v>-2.7769737502498635E-8</c:v>
                </c:pt>
                <c:pt idx="1253">
                  <c:v>-2.8008755618324894E-8</c:v>
                </c:pt>
                <c:pt idx="1254">
                  <c:v>-2.8247261981778593E-8</c:v>
                </c:pt>
                <c:pt idx="1255">
                  <c:v>-2.8485258052741816E-8</c:v>
                </c:pt>
                <c:pt idx="1256">
                  <c:v>-2.872274528589462E-8</c:v>
                </c:pt>
                <c:pt idx="1257">
                  <c:v>-2.8959725130737197E-8</c:v>
                </c:pt>
                <c:pt idx="1258">
                  <c:v>-2.9196199031612063E-8</c:v>
                </c:pt>
                <c:pt idx="1259">
                  <c:v>-2.9432168427725965E-8</c:v>
                </c:pt>
                <c:pt idx="1260">
                  <c:v>-2.9667634753171903E-8</c:v>
                </c:pt>
                <c:pt idx="1261">
                  <c:v>-2.9902599436950761E-8</c:v>
                </c:pt>
                <c:pt idx="1262">
                  <c:v>-3.0137063902993129E-8</c:v>
                </c:pt>
                <c:pt idx="1263">
                  <c:v>-3.0371029570180818E-8</c:v>
                </c:pt>
                <c:pt idx="1264">
                  <c:v>-3.0604497852368312E-8</c:v>
                </c:pt>
                <c:pt idx="1265">
                  <c:v>-3.0837470158404165E-8</c:v>
                </c:pt>
                <c:pt idx="1266">
                  <c:v>-3.1069947892152234E-8</c:v>
                </c:pt>
                <c:pt idx="1267">
                  <c:v>-3.1301932452512843E-8</c:v>
                </c:pt>
                <c:pt idx="1268">
                  <c:v>-3.1533425233443771E-8</c:v>
                </c:pt>
                <c:pt idx="1269">
                  <c:v>-3.1764427623981299E-8</c:v>
                </c:pt>
                <c:pt idx="1270">
                  <c:v>-3.1994941008260914E-8</c:v>
                </c:pt>
                <c:pt idx="1271">
                  <c:v>-3.2224966765538182E-8</c:v>
                </c:pt>
                <c:pt idx="1272">
                  <c:v>-3.245450627020927E-8</c:v>
                </c:pt>
                <c:pt idx="1273">
                  <c:v>-3.2683560891831523E-8</c:v>
                </c:pt>
                <c:pt idx="1274">
                  <c:v>-3.2912131995143887E-8</c:v>
                </c:pt>
                <c:pt idx="1275">
                  <c:v>-3.3140220940087254E-8</c:v>
                </c:pt>
                <c:pt idx="1276">
                  <c:v>-3.3367829081824646E-8</c:v>
                </c:pt>
                <c:pt idx="1277">
                  <c:v>-3.3594957770761363E-8</c:v>
                </c:pt>
                <c:pt idx="1278">
                  <c:v>-3.3821608352565094E-8</c:v>
                </c:pt>
                <c:pt idx="1279">
                  <c:v>-3.4047782168185656E-8</c:v>
                </c:pt>
                <c:pt idx="1280">
                  <c:v>-3.4273480553875069E-8</c:v>
                </c:pt>
                <c:pt idx="1281">
                  <c:v>-3.4498704841207129E-8</c:v>
                </c:pt>
                <c:pt idx="1282">
                  <c:v>-3.4723456357097013E-8</c:v>
                </c:pt>
                <c:pt idx="1283">
                  <c:v>-3.4947736423821027E-8</c:v>
                </c:pt>
                <c:pt idx="1284">
                  <c:v>-3.5171546359035812E-8</c:v>
                </c:pt>
                <c:pt idx="1285">
                  <c:v>-3.5394887475797902E-8</c:v>
                </c:pt>
                <c:pt idx="1286">
                  <c:v>-3.5617761082582888E-8</c:v>
                </c:pt>
                <c:pt idx="1287">
                  <c:v>-3.5840168483304502E-8</c:v>
                </c:pt>
                <c:pt idx="1288">
                  <c:v>-3.6062110977333916E-8</c:v>
                </c:pt>
                <c:pt idx="1289">
                  <c:v>-3.6283589859518372E-8</c:v>
                </c:pt>
                <c:pt idx="1290">
                  <c:v>-3.6504606420200507E-8</c:v>
                </c:pt>
                <c:pt idx="1291">
                  <c:v>-3.6725161945236777E-8</c:v>
                </c:pt>
                <c:pt idx="1292">
                  <c:v>-3.6945257716016316E-8</c:v>
                </c:pt>
                <c:pt idx="1293">
                  <c:v>-3.7164895009479561E-8</c:v>
                </c:pt>
                <c:pt idx="1294">
                  <c:v>-3.7384075098136747E-8</c:v>
                </c:pt>
                <c:pt idx="1295">
                  <c:v>-3.7602799250086234E-8</c:v>
                </c:pt>
                <c:pt idx="1296">
                  <c:v>-3.7821068729033099E-8</c:v>
                </c:pt>
                <c:pt idx="1297">
                  <c:v>-3.8038884794307095E-8</c:v>
                </c:pt>
                <c:pt idx="1298">
                  <c:v>-3.8256248700881093E-8</c:v>
                </c:pt>
                <c:pt idx="1299">
                  <c:v>-3.8473161699388909E-8</c:v>
                </c:pt>
                <c:pt idx="1300">
                  <c:v>-3.8689625036143479E-8</c:v>
                </c:pt>
                <c:pt idx="1301">
                  <c:v>-3.8905639953154673E-8</c:v>
                </c:pt>
                <c:pt idx="1302">
                  <c:v>-3.9121207688147109E-8</c:v>
                </c:pt>
                <c:pt idx="1303">
                  <c:v>-3.9336329474577954E-8</c:v>
                </c:pt>
                <c:pt idx="1304">
                  <c:v>-3.9551006541654438E-8</c:v>
                </c:pt>
                <c:pt idx="1305">
                  <c:v>-3.9765240114351548E-8</c:v>
                </c:pt>
                <c:pt idx="1306">
                  <c:v>-3.9979031413429459E-8</c:v>
                </c:pt>
                <c:pt idx="1307">
                  <c:v>-4.0192381655450862E-8</c:v>
                </c:pt>
                <c:pt idx="1308">
                  <c:v>-4.040529205279836E-8</c:v>
                </c:pt>
                <c:pt idx="1309">
                  <c:v>-4.0617763813691653E-8</c:v>
                </c:pt>
                <c:pt idx="1310">
                  <c:v>-4.0829798142204653E-8</c:v>
                </c:pt>
                <c:pt idx="1311">
                  <c:v>-4.1041396238282588E-8</c:v>
                </c:pt>
                <c:pt idx="1312">
                  <c:v>-4.1252559297758935E-8</c:v>
                </c:pt>
                <c:pt idx="1313">
                  <c:v>-4.1463288512372405E-8</c:v>
                </c:pt>
                <c:pt idx="1314">
                  <c:v>-4.167358506978364E-8</c:v>
                </c:pt>
                <c:pt idx="1315">
                  <c:v>-4.1883450153591958E-8</c:v>
                </c:pt>
                <c:pt idx="1316">
                  <c:v>-4.2092884943352188E-8</c:v>
                </c:pt>
                <c:pt idx="1317">
                  <c:v>-4.2301890614590949E-8</c:v>
                </c:pt>
                <c:pt idx="1318">
                  <c:v>-4.2510468338823368E-8</c:v>
                </c:pt>
                <c:pt idx="1319">
                  <c:v>-4.2718619283569473E-8</c:v>
                </c:pt>
                <c:pt idx="1320">
                  <c:v>-4.2926344612370417E-8</c:v>
                </c:pt>
                <c:pt idx="1321">
                  <c:v>-4.3133645484804903E-8</c:v>
                </c:pt>
                <c:pt idx="1322">
                  <c:v>-4.3340523056505112E-8</c:v>
                </c:pt>
                <c:pt idx="1323">
                  <c:v>-4.3546978479173108E-8</c:v>
                </c:pt>
                <c:pt idx="1324">
                  <c:v>-4.3753012900596722E-8</c:v>
                </c:pt>
                <c:pt idx="1325">
                  <c:v>-4.3958627464665401E-8</c:v>
                </c:pt>
                <c:pt idx="1326">
                  <c:v>-4.4163823311386355E-8</c:v>
                </c:pt>
                <c:pt idx="1327">
                  <c:v>-4.4368601576900065E-8</c:v>
                </c:pt>
                <c:pt idx="1328">
                  <c:v>-4.4572963393496239E-8</c:v>
                </c:pt>
                <c:pt idx="1329">
                  <c:v>-4.477690988962928E-8</c:v>
                </c:pt>
                <c:pt idx="1330">
                  <c:v>-4.4980442189933988E-8</c:v>
                </c:pt>
                <c:pt idx="1331">
                  <c:v>-4.5183561415241099E-8</c:v>
                </c:pt>
                <c:pt idx="1332">
                  <c:v>-4.5386268682592505E-8</c:v>
                </c:pt>
                <c:pt idx="1333">
                  <c:v>-4.5588565105256909E-8</c:v>
                </c:pt>
                <c:pt idx="1334">
                  <c:v>-4.5790451792744849E-8</c:v>
                </c:pt>
                <c:pt idx="1335">
                  <c:v>-4.5991929850824041E-8</c:v>
                </c:pt>
                <c:pt idx="1336">
                  <c:v>-4.6193000381534492E-8</c:v>
                </c:pt>
                <c:pt idx="1337">
                  <c:v>-4.6393664483203594E-8</c:v>
                </c:pt>
                <c:pt idx="1338">
                  <c:v>-4.6593923250461083E-8</c:v>
                </c:pt>
                <c:pt idx="1339">
                  <c:v>-4.6793777774253978E-8</c:v>
                </c:pt>
                <c:pt idx="1340">
                  <c:v>-4.6993229141861468E-8</c:v>
                </c:pt>
                <c:pt idx="1341">
                  <c:v>-4.7192278436909678E-8</c:v>
                </c:pt>
                <c:pt idx="1342">
                  <c:v>-4.7390926739386356E-8</c:v>
                </c:pt>
                <c:pt idx="1343">
                  <c:v>-4.758917512565562E-8</c:v>
                </c:pt>
                <c:pt idx="1344">
                  <c:v>-4.7787024668472391E-8</c:v>
                </c:pt>
                <c:pt idx="1345">
                  <c:v>-4.7984476436997024E-8</c:v>
                </c:pt>
                <c:pt idx="1346">
                  <c:v>-4.8181531496809739E-8</c:v>
                </c:pt>
                <c:pt idx="1347">
                  <c:v>-4.8378190909924971E-8</c:v>
                </c:pt>
                <c:pt idx="1348">
                  <c:v>-4.8574455734805626E-8</c:v>
                </c:pt>
                <c:pt idx="1349">
                  <c:v>-4.8770327026377428E-8</c:v>
                </c:pt>
                <c:pt idx="1350">
                  <c:v>-4.8965805836043036E-8</c:v>
                </c:pt>
                <c:pt idx="1351">
                  <c:v>-4.9160893211696167E-8</c:v>
                </c:pt>
                <c:pt idx="1352">
                  <c:v>-4.935559019773565E-8</c:v>
                </c:pt>
                <c:pt idx="1353">
                  <c:v>-4.9549897835079328E-8</c:v>
                </c:pt>
                <c:pt idx="1354">
                  <c:v>-4.9743817161178104E-8</c:v>
                </c:pt>
                <c:pt idx="1355">
                  <c:v>-4.9937349210029695E-8</c:v>
                </c:pt>
                <c:pt idx="1356">
                  <c:v>-5.0130495012192379E-8</c:v>
                </c:pt>
                <c:pt idx="1357">
                  <c:v>-5.0323255594798915E-8</c:v>
                </c:pt>
                <c:pt idx="1358">
                  <c:v>-5.0515631981569895E-8</c:v>
                </c:pt>
                <c:pt idx="1359">
                  <c:v>-5.0707625192827609E-8</c:v>
                </c:pt>
                <c:pt idx="1360">
                  <c:v>-5.0899236245509383E-8</c:v>
                </c:pt>
                <c:pt idx="1361">
                  <c:v>-5.1090466153181196E-8</c:v>
                </c:pt>
                <c:pt idx="1362">
                  <c:v>-5.1281315926051022E-8</c:v>
                </c:pt>
                <c:pt idx="1363">
                  <c:v>-5.1471786570982022E-8</c:v>
                </c:pt>
                <c:pt idx="1364">
                  <c:v>-5.1661879091506128E-8</c:v>
                </c:pt>
                <c:pt idx="1365">
                  <c:v>-5.1851594487837068E-8</c:v>
                </c:pt>
                <c:pt idx="1366">
                  <c:v>-5.2040933756883427E-8</c:v>
                </c:pt>
                <c:pt idx="1367">
                  <c:v>-5.2229897892262073E-8</c:v>
                </c:pt>
                <c:pt idx="1368">
                  <c:v>-5.2418487884310781E-8</c:v>
                </c:pt>
                <c:pt idx="1369">
                  <c:v>-5.2606704720101527E-8</c:v>
                </c:pt>
                <c:pt idx="1370">
                  <c:v>-5.2794549383453353E-8</c:v>
                </c:pt>
                <c:pt idx="1371">
                  <c:v>-5.2982022854944994E-8</c:v>
                </c:pt>
                <c:pt idx="1372">
                  <c:v>-5.3169126111928004E-8</c:v>
                </c:pt>
                <c:pt idx="1373">
                  <c:v>-5.3355860128539208E-8</c:v>
                </c:pt>
                <c:pt idx="1374">
                  <c:v>-5.3542225875713582E-8</c:v>
                </c:pt>
                <c:pt idx="1375">
                  <c:v>-5.3728224321196847E-8</c:v>
                </c:pt>
                <c:pt idx="1376">
                  <c:v>-5.3913856429557833E-8</c:v>
                </c:pt>
                <c:pt idx="1377">
                  <c:v>-5.409912316220132E-8</c:v>
                </c:pt>
                <c:pt idx="1378">
                  <c:v>-5.4284025477380116E-8</c:v>
                </c:pt>
                <c:pt idx="1379">
                  <c:v>-5.4468564330207764E-8</c:v>
                </c:pt>
                <c:pt idx="1380">
                  <c:v>-5.4652740672670722E-8</c:v>
                </c:pt>
                <c:pt idx="1381">
                  <c:v>-5.4836555453640648E-8</c:v>
                </c:pt>
                <c:pt idx="1382">
                  <c:v>-5.502000961888664E-8</c:v>
                </c:pt>
                <c:pt idx="1383">
                  <c:v>-5.5203104111087353E-8</c:v>
                </c:pt>
                <c:pt idx="1384">
                  <c:v>-5.5385839869843269E-8</c:v>
                </c:pt>
                <c:pt idx="1385">
                  <c:v>-5.5568217831688573E-8</c:v>
                </c:pt>
                <c:pt idx="1386">
                  <c:v>-5.5750238930103139E-8</c:v>
                </c:pt>
                <c:pt idx="1387">
                  <c:v>-5.5931904095524733E-8</c:v>
                </c:pt>
                <c:pt idx="1388">
                  <c:v>-5.6113214255360558E-8</c:v>
                </c:pt>
                <c:pt idx="1389">
                  <c:v>-5.6294170333999341E-8</c:v>
                </c:pt>
                <c:pt idx="1390">
                  <c:v>-5.6474773252823061E-8</c:v>
                </c:pt>
                <c:pt idx="1391">
                  <c:v>-5.6655023930218502E-8</c:v>
                </c:pt>
                <c:pt idx="1392">
                  <c:v>-5.6834923281589239E-8</c:v>
                </c:pt>
                <c:pt idx="1393">
                  <c:v>-5.701447221936699E-8</c:v>
                </c:pt>
                <c:pt idx="1394">
                  <c:v>-5.719367165302334E-8</c:v>
                </c:pt>
                <c:pt idx="1395">
                  <c:v>-5.7372522489081198E-8</c:v>
                </c:pt>
                <c:pt idx="1396">
                  <c:v>-5.7551025631126262E-8</c:v>
                </c:pt>
                <c:pt idx="1397">
                  <c:v>-5.7729181979818413E-8</c:v>
                </c:pt>
                <c:pt idx="1398">
                  <c:v>-5.7906992432903181E-8</c:v>
                </c:pt>
                <c:pt idx="1399">
                  <c:v>-5.8084457885222893E-8</c:v>
                </c:pt>
                <c:pt idx="1400">
                  <c:v>-5.8261579228728089E-8</c:v>
                </c:pt>
                <c:pt idx="1401">
                  <c:v>-5.8438357352488613E-8</c:v>
                </c:pt>
                <c:pt idx="1402">
                  <c:v>-5.8614793142704805E-8</c:v>
                </c:pt>
                <c:pt idx="1403">
                  <c:v>-5.8790887482718704E-8</c:v>
                </c:pt>
                <c:pt idx="1404">
                  <c:v>-5.8966641253024877E-8</c:v>
                </c:pt>
                <c:pt idx="1405">
                  <c:v>-5.9142055331281649E-8</c:v>
                </c:pt>
                <c:pt idx="1406">
                  <c:v>-5.9317130592321924E-8</c:v>
                </c:pt>
                <c:pt idx="1407">
                  <c:v>-5.9491867908164256E-8</c:v>
                </c:pt>
                <c:pt idx="1408">
                  <c:v>-5.9666268148023513E-8</c:v>
                </c:pt>
                <c:pt idx="1409">
                  <c:v>-5.9840332178321742E-8</c:v>
                </c:pt>
                <c:pt idx="1410">
                  <c:v>-6.0014060862699037E-8</c:v>
                </c:pt>
                <c:pt idx="1411">
                  <c:v>-6.0187455062024058E-8</c:v>
                </c:pt>
                <c:pt idx="1412">
                  <c:v>-6.0360515634404935E-8</c:v>
                </c:pt>
                <c:pt idx="1413">
                  <c:v>-6.053324343519973E-8</c:v>
                </c:pt>
                <c:pt idx="1414">
                  <c:v>-6.0705639317026937E-8</c:v>
                </c:pt>
                <c:pt idx="1415">
                  <c:v>-6.0877704129776217E-8</c:v>
                </c:pt>
                <c:pt idx="1416">
                  <c:v>-6.10494387206187E-8</c:v>
                </c:pt>
                <c:pt idx="1417">
                  <c:v>-6.1220843934017542E-8</c:v>
                </c:pt>
                <c:pt idx="1418">
                  <c:v>-6.1391920611738112E-8</c:v>
                </c:pt>
                <c:pt idx="1419">
                  <c:v>-6.1562669592858527E-8</c:v>
                </c:pt>
                <c:pt idx="1420">
                  <c:v>-6.1733091713779855E-8</c:v>
                </c:pt>
                <c:pt idx="1421">
                  <c:v>-6.1903187808236415E-8</c:v>
                </c:pt>
                <c:pt idx="1422">
                  <c:v>-6.2072958707305832E-8</c:v>
                </c:pt>
                <c:pt idx="1423">
                  <c:v>-6.2242405239419285E-8</c:v>
                </c:pt>
                <c:pt idx="1424">
                  <c:v>-6.2411528230371692E-8</c:v>
                </c:pt>
                <c:pt idx="1425">
                  <c:v>-6.2580328503331628E-8</c:v>
                </c:pt>
                <c:pt idx="1426">
                  <c:v>-6.2748806878851448E-8</c:v>
                </c:pt>
                <c:pt idx="1427">
                  <c:v>-6.2916964174877134E-8</c:v>
                </c:pt>
                <c:pt idx="1428">
                  <c:v>-6.3084801206758378E-8</c:v>
                </c:pt>
                <c:pt idx="1429">
                  <c:v>-6.325231878725838E-8</c:v>
                </c:pt>
                <c:pt idx="1430">
                  <c:v>-6.3419517726563557E-8</c:v>
                </c:pt>
                <c:pt idx="1431">
                  <c:v>-6.3586398832293805E-8</c:v>
                </c:pt>
                <c:pt idx="1432">
                  <c:v>-6.375296290951155E-8</c:v>
                </c:pt>
                <c:pt idx="1433">
                  <c:v>-6.3919210760732094E-8</c:v>
                </c:pt>
                <c:pt idx="1434">
                  <c:v>-6.4085143185932848E-8</c:v>
                </c:pt>
                <c:pt idx="1435">
                  <c:v>-6.4250760982563248E-8</c:v>
                </c:pt>
                <c:pt idx="1436">
                  <c:v>-6.4416064945554267E-8</c:v>
                </c:pt>
                <c:pt idx="1437">
                  <c:v>-6.4581055867327647E-8</c:v>
                </c:pt>
                <c:pt idx="1438">
                  <c:v>-6.4745734537805958E-8</c:v>
                </c:pt>
                <c:pt idx="1439">
                  <c:v>-6.4910101744421522E-8</c:v>
                </c:pt>
                <c:pt idx="1440">
                  <c:v>-6.5074158272126138E-8</c:v>
                </c:pt>
                <c:pt idx="1441">
                  <c:v>-6.5237904903400423E-8</c:v>
                </c:pt>
                <c:pt idx="1442">
                  <c:v>-6.5401342418262991E-8</c:v>
                </c:pt>
                <c:pt idx="1443">
                  <c:v>-6.5564471594279856E-8</c:v>
                </c:pt>
                <c:pt idx="1444">
                  <c:v>-6.5727293206573701E-8</c:v>
                </c:pt>
                <c:pt idx="1445">
                  <c:v>-6.5889808027832981E-8</c:v>
                </c:pt>
                <c:pt idx="1446">
                  <c:v>-6.6052016828321242E-8</c:v>
                </c:pt>
                <c:pt idx="1447">
                  <c:v>-6.6213920375886038E-8</c:v>
                </c:pt>
                <c:pt idx="1448">
                  <c:v>-6.6375519435968282E-8</c:v>
                </c:pt>
                <c:pt idx="1449">
                  <c:v>-6.6536814771611091E-8</c:v>
                </c:pt>
                <c:pt idx="1450">
                  <c:v>-6.6697807143468807E-8</c:v>
                </c:pt>
                <c:pt idx="1451">
                  <c:v>-6.685849730981603E-8</c:v>
                </c:pt>
                <c:pt idx="1452">
                  <c:v>-6.7018886026556636E-8</c:v>
                </c:pt>
                <c:pt idx="1453">
                  <c:v>-6.7178974047232338E-8</c:v>
                </c:pt>
                <c:pt idx="1454">
                  <c:v>-6.7338762123032054E-8</c:v>
                </c:pt>
                <c:pt idx="1455">
                  <c:v>-6.7498251002800103E-8</c:v>
                </c:pt>
                <c:pt idx="1456">
                  <c:v>-6.7657441433045601E-8</c:v>
                </c:pt>
                <c:pt idx="1457">
                  <c:v>-6.7816334157950665E-8</c:v>
                </c:pt>
                <c:pt idx="1458">
                  <c:v>-6.7974929919379426E-8</c:v>
                </c:pt>
                <c:pt idx="1459">
                  <c:v>-6.8133229456886636E-8</c:v>
                </c:pt>
                <c:pt idx="1460">
                  <c:v>-6.8291233507726223E-8</c:v>
                </c:pt>
                <c:pt idx="1461">
                  <c:v>-6.8448942806859876E-8</c:v>
                </c:pt>
                <c:pt idx="1462">
                  <c:v>-6.8606358086965667E-8</c:v>
                </c:pt>
                <c:pt idx="1463">
                  <c:v>-6.8763480078446487E-8</c:v>
                </c:pt>
                <c:pt idx="1464">
                  <c:v>-6.8920309509438616E-8</c:v>
                </c:pt>
                <c:pt idx="1465">
                  <c:v>-6.9076847105819963E-8</c:v>
                </c:pt>
                <c:pt idx="1466">
                  <c:v>-6.9233093591218742E-8</c:v>
                </c:pt>
                <c:pt idx="1467">
                  <c:v>-6.9389049687021587E-8</c:v>
                </c:pt>
                <c:pt idx="1468">
                  <c:v>-6.954471611238197E-8</c:v>
                </c:pt>
                <c:pt idx="1469">
                  <c:v>-6.9700093584228629E-8</c:v>
                </c:pt>
                <c:pt idx="1470">
                  <c:v>-6.9855182817273461E-8</c:v>
                </c:pt>
                <c:pt idx="1471">
                  <c:v>-7.0009984524020239E-8</c:v>
                </c:pt>
                <c:pt idx="1472">
                  <c:v>-7.0164499414772343E-8</c:v>
                </c:pt>
                <c:pt idx="1473">
                  <c:v>-7.0318728197641151E-8</c:v>
                </c:pt>
                <c:pt idx="1474">
                  <c:v>-7.0472671578554125E-8</c:v>
                </c:pt>
                <c:pt idx="1475">
                  <c:v>-7.0626330261262819E-8</c:v>
                </c:pt>
                <c:pt idx="1476">
                  <c:v>-7.0779704947350991E-8</c:v>
                </c:pt>
                <c:pt idx="1477">
                  <c:v>-7.0932796336242532E-8</c:v>
                </c:pt>
                <c:pt idx="1478">
                  <c:v>-7.1085605125209577E-8</c:v>
                </c:pt>
                <c:pt idx="1479">
                  <c:v>-7.1238132009380236E-8</c:v>
                </c:pt>
                <c:pt idx="1480">
                  <c:v>-7.139037768174676E-8</c:v>
                </c:pt>
                <c:pt idx="1481">
                  <c:v>-7.1542342833173162E-8</c:v>
                </c:pt>
                <c:pt idx="1482">
                  <c:v>-7.1694028152403252E-8</c:v>
                </c:pt>
                <c:pt idx="1483">
                  <c:v>-7.1845434326068263E-8</c:v>
                </c:pt>
                <c:pt idx="1484">
                  <c:v>-7.1996562038694826E-8</c:v>
                </c:pt>
                <c:pt idx="1485">
                  <c:v>-7.2147411972712479E-8</c:v>
                </c:pt>
                <c:pt idx="1486">
                  <c:v>-7.2297984808461566E-8</c:v>
                </c:pt>
                <c:pt idx="1487">
                  <c:v>-7.2448281224200808E-8</c:v>
                </c:pt>
                <c:pt idx="1488">
                  <c:v>-7.2598301896114939E-8</c:v>
                </c:pt>
                <c:pt idx="1489">
                  <c:v>-7.2748047498322356E-8</c:v>
                </c:pt>
                <c:pt idx="1490">
                  <c:v>-7.2897518702882664E-8</c:v>
                </c:pt>
                <c:pt idx="1491">
                  <c:v>-7.3046716179804271E-8</c:v>
                </c:pt>
                <c:pt idx="1492">
                  <c:v>-7.3195640597051707E-8</c:v>
                </c:pt>
                <c:pt idx="1493">
                  <c:v>-7.3344292620553435E-8</c:v>
                </c:pt>
                <c:pt idx="1494">
                  <c:v>-7.3492672914208943E-8</c:v>
                </c:pt>
                <c:pt idx="1495">
                  <c:v>-7.3640782139896406E-8</c:v>
                </c:pt>
                <c:pt idx="1496">
                  <c:v>-7.37886209574799E-8</c:v>
                </c:pt>
                <c:pt idx="1497">
                  <c:v>-7.3936190024816936E-8</c:v>
                </c:pt>
                <c:pt idx="1498">
                  <c:v>-7.4083489997765586E-8</c:v>
                </c:pt>
                <c:pt idx="1499">
                  <c:v>-7.4230521530191797E-8</c:v>
                </c:pt>
                <c:pt idx="1500">
                  <c:v>-7.4377285273976916E-8</c:v>
                </c:pt>
                <c:pt idx="1501">
                  <c:v>-7.4523781879024441E-8</c:v>
                </c:pt>
                <c:pt idx="1502">
                  <c:v>-7.4670011993267792E-8</c:v>
                </c:pt>
                <c:pt idx="1503">
                  <c:v>-7.4815976262676741E-8</c:v>
                </c:pt>
                <c:pt idx="1504">
                  <c:v>-7.4961675331265406E-8</c:v>
                </c:pt>
                <c:pt idx="1505">
                  <c:v>-7.5107109841098658E-8</c:v>
                </c:pt>
                <c:pt idx="1506">
                  <c:v>-7.5252280432299425E-8</c:v>
                </c:pt>
                <c:pt idx="1507">
                  <c:v>-7.5397187743056027E-8</c:v>
                </c:pt>
                <c:pt idx="1508">
                  <c:v>-7.554183240962855E-8</c:v>
                </c:pt>
                <c:pt idx="1509">
                  <c:v>-7.5686215066356567E-8</c:v>
                </c:pt>
                <c:pt idx="1510">
                  <c:v>-7.5830336345665516E-8</c:v>
                </c:pt>
                <c:pt idx="1511">
                  <c:v>-7.5974196878073885E-8</c:v>
                </c:pt>
                <c:pt idx="1512">
                  <c:v>-7.6117797292200121E-8</c:v>
                </c:pt>
                <c:pt idx="1513">
                  <c:v>-7.6261138214769328E-8</c:v>
                </c:pt>
                <c:pt idx="1514">
                  <c:v>-7.6404220270620347E-8</c:v>
                </c:pt>
                <c:pt idx="1515">
                  <c:v>-7.6547044082712375E-8</c:v>
                </c:pt>
                <c:pt idx="1516">
                  <c:v>-7.6689610272131763E-8</c:v>
                </c:pt>
                <c:pt idx="1517">
                  <c:v>-7.683191945809893E-8</c:v>
                </c:pt>
                <c:pt idx="1518">
                  <c:v>-7.6973972257974858E-8</c:v>
                </c:pt>
                <c:pt idx="1519">
                  <c:v>-7.7115769287267938E-8</c:v>
                </c:pt>
                <c:pt idx="1520">
                  <c:v>-7.7257311159640595E-8</c:v>
                </c:pt>
                <c:pt idx="1521">
                  <c:v>-7.7398598486916018E-8</c:v>
                </c:pt>
                <c:pt idx="1522">
                  <c:v>-7.7539631879084492E-8</c:v>
                </c:pt>
                <c:pt idx="1523">
                  <c:v>-7.768041194431034E-8</c:v>
                </c:pt>
                <c:pt idx="1524">
                  <c:v>-7.7820939288938194E-8</c:v>
                </c:pt>
                <c:pt idx="1525">
                  <c:v>-7.7961214517499876E-8</c:v>
                </c:pt>
                <c:pt idx="1526">
                  <c:v>-7.8101238232720313E-8</c:v>
                </c:pt>
                <c:pt idx="1527">
                  <c:v>-7.8241011035524621E-8</c:v>
                </c:pt>
                <c:pt idx="1528">
                  <c:v>-7.838053352504431E-8</c:v>
                </c:pt>
                <c:pt idx="1529">
                  <c:v>-7.8519806298623453E-8</c:v>
                </c:pt>
                <c:pt idx="1530">
                  <c:v>-7.8658829951825632E-8</c:v>
                </c:pt>
                <c:pt idx="1531">
                  <c:v>-7.8797605078439723E-8</c:v>
                </c:pt>
                <c:pt idx="1532">
                  <c:v>-7.8936132270486567E-8</c:v>
                </c:pt>
                <c:pt idx="1533">
                  <c:v>-7.9074412118225467E-8</c:v>
                </c:pt>
                <c:pt idx="1534">
                  <c:v>-7.921244521015984E-8</c:v>
                </c:pt>
                <c:pt idx="1535">
                  <c:v>-7.9350232133044154E-8</c:v>
                </c:pt>
                <c:pt idx="1536">
                  <c:v>-7.9487773471889705E-8</c:v>
                </c:pt>
                <c:pt idx="1537">
                  <c:v>-7.9625069809971205E-8</c:v>
                </c:pt>
                <c:pt idx="1538">
                  <c:v>-7.9762121728832542E-8</c:v>
                </c:pt>
                <c:pt idx="1539">
                  <c:v>-7.9898929808293194E-8</c:v>
                </c:pt>
                <c:pt idx="1540">
                  <c:v>-8.003549462645451E-8</c:v>
                </c:pt>
                <c:pt idx="1541">
                  <c:v>-8.0171816759705378E-8</c:v>
                </c:pt>
                <c:pt idx="1542">
                  <c:v>-8.0307896782728774E-8</c:v>
                </c:pt>
                <c:pt idx="1543">
                  <c:v>-8.0443735268507413E-8</c:v>
                </c:pt>
                <c:pt idx="1544">
                  <c:v>-8.0579332788330172E-8</c:v>
                </c:pt>
                <c:pt idx="1545">
                  <c:v>-8.071468991179775E-8</c:v>
                </c:pt>
                <c:pt idx="1546">
                  <c:v>-8.0849807206828731E-8</c:v>
                </c:pt>
                <c:pt idx="1547">
                  <c:v>-8.098468523966587E-8</c:v>
                </c:pt>
                <c:pt idx="1548">
                  <c:v>-8.111932457488155E-8</c:v>
                </c:pt>
                <c:pt idx="1549">
                  <c:v>-8.1253725775383942E-8</c:v>
                </c:pt>
                <c:pt idx="1550">
                  <c:v>-8.1387889402422847E-8</c:v>
                </c:pt>
                <c:pt idx="1551">
                  <c:v>-8.1521816015595638E-8</c:v>
                </c:pt>
                <c:pt idx="1552">
                  <c:v>-8.165550617285291E-8</c:v>
                </c:pt>
                <c:pt idx="1553">
                  <c:v>-8.1788960430504448E-8</c:v>
                </c:pt>
                <c:pt idx="1554">
                  <c:v>-8.1922179343224895E-8</c:v>
                </c:pt>
                <c:pt idx="1555">
                  <c:v>-8.2055163464059664E-8</c:v>
                </c:pt>
                <c:pt idx="1556">
                  <c:v>-8.2187913344430632E-8</c:v>
                </c:pt>
                <c:pt idx="1557">
                  <c:v>-8.232042953414167E-8</c:v>
                </c:pt>
                <c:pt idx="1558">
                  <c:v>-8.2452712581384626E-8</c:v>
                </c:pt>
                <c:pt idx="1559">
                  <c:v>-8.2584763032744767E-8</c:v>
                </c:pt>
                <c:pt idx="1560">
                  <c:v>-8.2716581433206492E-8</c:v>
                </c:pt>
                <c:pt idx="1561">
                  <c:v>-8.2848168326159171E-8</c:v>
                </c:pt>
                <c:pt idx="1562">
                  <c:v>-8.2979524253402267E-8</c:v>
                </c:pt>
                <c:pt idx="1563">
                  <c:v>-8.3110649755151438E-8</c:v>
                </c:pt>
                <c:pt idx="1564">
                  <c:v>-8.324154537004359E-8</c:v>
                </c:pt>
                <c:pt idx="1565">
                  <c:v>-8.3372211635143021E-8</c:v>
                </c:pt>
                <c:pt idx="1566">
                  <c:v>-8.3502649085946263E-8</c:v>
                </c:pt>
                <c:pt idx="1567">
                  <c:v>-8.3632858256387959E-8</c:v>
                </c:pt>
                <c:pt idx="1568">
                  <c:v>-8.3762839678846395E-8</c:v>
                </c:pt>
                <c:pt idx="1569">
                  <c:v>-8.3892593884148583E-8</c:v>
                </c:pt>
                <c:pt idx="1570">
                  <c:v>-8.4022121401576056E-8</c:v>
                </c:pt>
                <c:pt idx="1571">
                  <c:v>-8.4151422758870005E-8</c:v>
                </c:pt>
                <c:pt idx="1572">
                  <c:v>-8.4280498482236838E-8</c:v>
                </c:pt>
                <c:pt idx="1573">
                  <c:v>-8.4409349096353393E-8</c:v>
                </c:pt>
                <c:pt idx="1574">
                  <c:v>-8.4537975124372324E-8</c:v>
                </c:pt>
                <c:pt idx="1575">
                  <c:v>-8.466637708792733E-8</c:v>
                </c:pt>
                <c:pt idx="1576">
                  <c:v>-8.4794555507138848E-8</c:v>
                </c:pt>
                <c:pt idx="1577">
                  <c:v>-8.4922510900618589E-8</c:v>
                </c:pt>
                <c:pt idx="1578">
                  <c:v>-8.5050243785475362E-8</c:v>
                </c:pt>
                <c:pt idx="1579">
                  <c:v>-8.5177754677320266E-8</c:v>
                </c:pt>
                <c:pt idx="1580">
                  <c:v>-8.5305044090271553E-8</c:v>
                </c:pt>
                <c:pt idx="1581">
                  <c:v>-8.5432112536960089E-8</c:v>
                </c:pt>
                <c:pt idx="1582">
                  <c:v>-8.555896052853447E-8</c:v>
                </c:pt>
                <c:pt idx="1583">
                  <c:v>-8.5685588574666106E-8</c:v>
                </c:pt>
                <c:pt idx="1584">
                  <c:v>-8.5811997183554425E-8</c:v>
                </c:pt>
                <c:pt idx="1585">
                  <c:v>-8.5938186861931752E-8</c:v>
                </c:pt>
                <c:pt idx="1586">
                  <c:v>-8.6064158115068711E-8</c:v>
                </c:pt>
                <c:pt idx="1587">
                  <c:v>-8.618991144677907E-8</c:v>
                </c:pt>
                <c:pt idx="1588">
                  <c:v>-8.6315447359424808E-8</c:v>
                </c:pt>
                <c:pt idx="1589">
                  <c:v>-8.644076635392124E-8</c:v>
                </c:pt>
                <c:pt idx="1590">
                  <c:v>-8.6565868929741817E-8</c:v>
                </c:pt>
                <c:pt idx="1591">
                  <c:v>-8.669075558492325E-8</c:v>
                </c:pt>
                <c:pt idx="1592">
                  <c:v>-8.6815426816070449E-8</c:v>
                </c:pt>
                <c:pt idx="1593">
                  <c:v>-8.6939883118361415E-8</c:v>
                </c:pt>
                <c:pt idx="1594">
                  <c:v>-8.706412498555226E-8</c:v>
                </c:pt>
                <c:pt idx="1595">
                  <c:v>-8.7188152909981903E-8</c:v>
                </c:pt>
                <c:pt idx="1596">
                  <c:v>-8.7311967382577221E-8</c:v>
                </c:pt>
                <c:pt idx="1597">
                  <c:v>-8.7435568892857586E-8</c:v>
                </c:pt>
                <c:pt idx="1598">
                  <c:v>-8.7558957928940001E-8</c:v>
                </c:pt>
                <c:pt idx="1599">
                  <c:v>-8.7682134977543771E-8</c:v>
                </c:pt>
                <c:pt idx="1600">
                  <c:v>-8.7805100523995323E-8</c:v>
                </c:pt>
                <c:pt idx="1601">
                  <c:v>-8.7927855052232957E-8</c:v>
                </c:pt>
                <c:pt idx="1602">
                  <c:v>-8.8050399044811658E-8</c:v>
                </c:pt>
                <c:pt idx="1603">
                  <c:v>-8.8172732982907791E-8</c:v>
                </c:pt>
                <c:pt idx="1604">
                  <c:v>-8.8294857346324E-8</c:v>
                </c:pt>
                <c:pt idx="1605">
                  <c:v>-8.8416772613493533E-8</c:v>
                </c:pt>
                <c:pt idx="1606">
                  <c:v>-8.8538479261485343E-8</c:v>
                </c:pt>
                <c:pt idx="1607">
                  <c:v>-8.8659977766008499E-8</c:v>
                </c:pt>
                <c:pt idx="1608">
                  <c:v>-8.878126860141691E-8</c:v>
                </c:pt>
                <c:pt idx="1609">
                  <c:v>-8.8902352240713956E-8</c:v>
                </c:pt>
                <c:pt idx="1610">
                  <c:v>-8.9023229155557084E-8</c:v>
                </c:pt>
                <c:pt idx="1611">
                  <c:v>-8.9143899816262462E-8</c:v>
                </c:pt>
                <c:pt idx="1612">
                  <c:v>-8.9264364691809522E-8</c:v>
                </c:pt>
                <c:pt idx="1613">
                  <c:v>-8.9384624249845393E-8</c:v>
                </c:pt>
                <c:pt idx="1614">
                  <c:v>-8.9504678956689584E-8</c:v>
                </c:pt>
                <c:pt idx="1615">
                  <c:v>-8.9624529277338488E-8</c:v>
                </c:pt>
                <c:pt idx="1616">
                  <c:v>-8.9744175675469983E-8</c:v>
                </c:pt>
                <c:pt idx="1617">
                  <c:v>-8.9863618613447618E-8</c:v>
                </c:pt>
                <c:pt idx="1618">
                  <c:v>-8.9982858552325257E-8</c:v>
                </c:pt>
                <c:pt idx="1619">
                  <c:v>-9.0101895951851671E-8</c:v>
                </c:pt>
                <c:pt idx="1620">
                  <c:v>-9.0220731270474734E-8</c:v>
                </c:pt>
                <c:pt idx="1621">
                  <c:v>-9.033936496534591E-8</c:v>
                </c:pt>
                <c:pt idx="1622">
                  <c:v>-9.0457797492324805E-8</c:v>
                </c:pt>
                <c:pt idx="1623">
                  <c:v>-9.0576029305983243E-8</c:v>
                </c:pt>
                <c:pt idx="1624">
                  <c:v>-9.0694060859609981E-8</c:v>
                </c:pt>
                <c:pt idx="1625">
                  <c:v>-9.0811892605214634E-8</c:v>
                </c:pt>
                <c:pt idx="1626">
                  <c:v>-9.0929524993532472E-8</c:v>
                </c:pt>
                <c:pt idx="1627">
                  <c:v>-9.1046958474028398E-8</c:v>
                </c:pt>
                <c:pt idx="1628">
                  <c:v>-9.1164193494901254E-8</c:v>
                </c:pt>
                <c:pt idx="1629">
                  <c:v>-9.1281230503088372E-8</c:v>
                </c:pt>
                <c:pt idx="1630">
                  <c:v>-9.1398069944269492E-8</c:v>
                </c:pt>
                <c:pt idx="1631">
                  <c:v>-9.1514712262871246E-8</c:v>
                </c:pt>
                <c:pt idx="1632">
                  <c:v>-9.1631157902071238E-8</c:v>
                </c:pt>
                <c:pt idx="1633">
                  <c:v>-9.1747407303802397E-8</c:v>
                </c:pt>
                <c:pt idx="1634">
                  <c:v>-9.1863460908756974E-8</c:v>
                </c:pt>
                <c:pt idx="1635">
                  <c:v>-9.1979319156390908E-8</c:v>
                </c:pt>
                <c:pt idx="1636">
                  <c:v>-9.2094982484927851E-8</c:v>
                </c:pt>
                <c:pt idx="1637">
                  <c:v>-9.2210451331363482E-8</c:v>
                </c:pt>
                <c:pt idx="1638">
                  <c:v>-9.2325726131469414E-8</c:v>
                </c:pt>
                <c:pt idx="1639">
                  <c:v>-9.2440807319797384E-8</c:v>
                </c:pt>
                <c:pt idx="1640">
                  <c:v>-9.255569532968357E-8</c:v>
                </c:pt>
                <c:pt idx="1641">
                  <c:v>-9.2670390593252195E-8</c:v>
                </c:pt>
                <c:pt idx="1642">
                  <c:v>-9.2784893541420153E-8</c:v>
                </c:pt>
                <c:pt idx="1643">
                  <c:v>-9.2899204603900599E-8</c:v>
                </c:pt>
                <c:pt idx="1644">
                  <c:v>-9.3013324209207223E-8</c:v>
                </c:pt>
                <c:pt idx="1645">
                  <c:v>-9.3127252784658233E-8</c:v>
                </c:pt>
                <c:pt idx="1646">
                  <c:v>-9.3240990756380157E-8</c:v>
                </c:pt>
                <c:pt idx="1647">
                  <c:v>-9.3354538549312271E-8</c:v>
                </c:pt>
                <c:pt idx="1648">
                  <c:v>-9.3467896587209991E-8</c:v>
                </c:pt>
                <c:pt idx="1649">
                  <c:v>-9.3581065292649414E-8</c:v>
                </c:pt>
                <c:pt idx="1650">
                  <c:v>-9.3694045087030818E-8</c:v>
                </c:pt>
                <c:pt idx="1651">
                  <c:v>-9.3806836390582617E-8</c:v>
                </c:pt>
                <c:pt idx="1652">
                  <c:v>-9.3919439622365663E-8</c:v>
                </c:pt>
                <c:pt idx="1653">
                  <c:v>-9.4031855200276634E-8</c:v>
                </c:pt>
                <c:pt idx="1654">
                  <c:v>-9.414408354105227E-8</c:v>
                </c:pt>
                <c:pt idx="1655">
                  <c:v>-9.4256125060273062E-8</c:v>
                </c:pt>
                <c:pt idx="1656">
                  <c:v>-9.4367980172367124E-8</c:v>
                </c:pt>
                <c:pt idx="1657">
                  <c:v>-9.4479649290614086E-8</c:v>
                </c:pt>
                <c:pt idx="1658">
                  <c:v>-9.4591132827148841E-8</c:v>
                </c:pt>
                <c:pt idx="1659">
                  <c:v>-9.470243119296538E-8</c:v>
                </c:pt>
                <c:pt idx="1660">
                  <c:v>-9.4813544797920592E-8</c:v>
                </c:pt>
                <c:pt idx="1661">
                  <c:v>-9.4924474050737997E-8</c:v>
                </c:pt>
                <c:pt idx="1662">
                  <c:v>-9.5035219359011531E-8</c:v>
                </c:pt>
                <c:pt idx="1663">
                  <c:v>-9.5145781129209354E-8</c:v>
                </c:pt>
                <c:pt idx="1664">
                  <c:v>-9.5256159766677364E-8</c:v>
                </c:pt>
                <c:pt idx="1665">
                  <c:v>-9.5366355675643268E-8</c:v>
                </c:pt>
                <c:pt idx="1666">
                  <c:v>-9.5476369259219891E-8</c:v>
                </c:pt>
                <c:pt idx="1667">
                  <c:v>-9.5586200919409164E-8</c:v>
                </c:pt>
                <c:pt idx="1668">
                  <c:v>-9.5695851057105625E-8</c:v>
                </c:pt>
                <c:pt idx="1669">
                  <c:v>-9.5805320072100159E-8</c:v>
                </c:pt>
                <c:pt idx="1670">
                  <c:v>-9.5914608363083574E-8</c:v>
                </c:pt>
                <c:pt idx="1671">
                  <c:v>-9.6023716327650385E-8</c:v>
                </c:pt>
                <c:pt idx="1672">
                  <c:v>-9.6132644362302127E-8</c:v>
                </c:pt>
                <c:pt idx="1673">
                  <c:v>-9.6241392862451422E-8</c:v>
                </c:pt>
                <c:pt idx="1674">
                  <c:v>-9.6349962222424983E-8</c:v>
                </c:pt>
                <c:pt idx="1675">
                  <c:v>-9.645835283546774E-8</c:v>
                </c:pt>
                <c:pt idx="1676">
                  <c:v>-9.656656509374605E-8</c:v>
                </c:pt>
                <c:pt idx="1677">
                  <c:v>-9.6674599388351357E-8</c:v>
                </c:pt>
                <c:pt idx="1678">
                  <c:v>-9.6782456109303831E-8</c:v>
                </c:pt>
                <c:pt idx="1679">
                  <c:v>-9.6890135645555589E-8</c:v>
                </c:pt>
                <c:pt idx="1680">
                  <c:v>-9.6997638384994596E-8</c:v>
                </c:pt>
                <c:pt idx="1681">
                  <c:v>-9.7104964714447803E-8</c:v>
                </c:pt>
                <c:pt idx="1682">
                  <c:v>-9.7212115019684838E-8</c:v>
                </c:pt>
                <c:pt idx="1683">
                  <c:v>-9.7319089685421501E-8</c:v>
                </c:pt>
                <c:pt idx="1684">
                  <c:v>-9.7425889095322913E-8</c:v>
                </c:pt>
                <c:pt idx="1685">
                  <c:v>-9.7532513632007371E-8</c:v>
                </c:pt>
                <c:pt idx="1686">
                  <c:v>-9.7638963677049518E-8</c:v>
                </c:pt>
                <c:pt idx="1687">
                  <c:v>-9.7745239610983804E-8</c:v>
                </c:pt>
                <c:pt idx="1688">
                  <c:v>-9.7851341813307933E-8</c:v>
                </c:pt>
                <c:pt idx="1689">
                  <c:v>-9.7957270662486102E-8</c:v>
                </c:pt>
                <c:pt idx="1690">
                  <c:v>-9.8063026535952631E-8</c:v>
                </c:pt>
                <c:pt idx="1691">
                  <c:v>-9.8168609810115157E-8</c:v>
                </c:pt>
                <c:pt idx="1692">
                  <c:v>-9.8274020860357917E-8</c:v>
                </c:pt>
                <c:pt idx="1693">
                  <c:v>-9.8379260061045334E-8</c:v>
                </c:pt>
                <c:pt idx="1694">
                  <c:v>-9.8484327785525007E-8</c:v>
                </c:pt>
                <c:pt idx="1695">
                  <c:v>-9.858922440613131E-8</c:v>
                </c:pt>
                <c:pt idx="1696">
                  <c:v>-9.8693950294188652E-8</c:v>
                </c:pt>
                <c:pt idx="1697">
                  <c:v>-9.8798505820014516E-8</c:v>
                </c:pt>
                <c:pt idx="1698">
                  <c:v>-9.8902891352922998E-8</c:v>
                </c:pt>
                <c:pt idx="1699">
                  <c:v>-9.9007107261228004E-8</c:v>
                </c:pt>
                <c:pt idx="1700">
                  <c:v>-9.911115391224643E-8</c:v>
                </c:pt>
                <c:pt idx="1701">
                  <c:v>-9.921503167230151E-8</c:v>
                </c:pt>
                <c:pt idx="1702">
                  <c:v>-9.9318740906725848E-8</c:v>
                </c:pt>
                <c:pt idx="1703">
                  <c:v>-9.9422281979864908E-8</c:v>
                </c:pt>
                <c:pt idx="1704">
                  <c:v>-9.9525655255079915E-8</c:v>
                </c:pt>
                <c:pt idx="1705">
                  <c:v>-9.9628861094751286E-8</c:v>
                </c:pt>
                <c:pt idx="1706">
                  <c:v>-9.9731899860281747E-8</c:v>
                </c:pt>
                <c:pt idx="1707">
                  <c:v>-9.9834771912099315E-8</c:v>
                </c:pt>
                <c:pt idx="1708">
                  <c:v>-9.9937477609660699E-8</c:v>
                </c:pt>
                <c:pt idx="1709">
                  <c:v>-1.0004001731145432E-7</c:v>
                </c:pt>
                <c:pt idx="1710">
                  <c:v>-1.001423913750034E-7</c:v>
                </c:pt>
                <c:pt idx="1711">
                  <c:v>-1.0024460015686928E-7</c:v>
                </c:pt>
                <c:pt idx="1712">
                  <c:v>-1.0034664401265418E-7</c:v>
                </c:pt>
                <c:pt idx="1713">
                  <c:v>-1.004485232970046E-7</c:v>
                </c:pt>
                <c:pt idx="1714">
                  <c:v>-1.0055023836361436E-7</c:v>
                </c:pt>
                <c:pt idx="1715">
                  <c:v>-1.0065178956522738E-7</c:v>
                </c:pt>
                <c:pt idx="1716">
                  <c:v>-1.0075317725364121E-7</c:v>
                </c:pt>
                <c:pt idx="1717">
                  <c:v>-1.0085440177970963E-7</c:v>
                </c:pt>
                <c:pt idx="1718">
                  <c:v>-1.0095546349334602E-7</c:v>
                </c:pt>
                <c:pt idx="1719">
                  <c:v>-1.0105636274352616E-7</c:v>
                </c:pt>
                <c:pt idx="1720">
                  <c:v>-1.0115709987829133E-7</c:v>
                </c:pt>
                <c:pt idx="1721">
                  <c:v>-1.0125767524475141E-7</c:v>
                </c:pt>
                <c:pt idx="1722">
                  <c:v>-1.0135808918908763E-7</c:v>
                </c:pt>
                <c:pt idx="1723">
                  <c:v>-1.0145834205655571E-7</c:v>
                </c:pt>
                <c:pt idx="1724">
                  <c:v>-1.0155843419148899E-7</c:v>
                </c:pt>
                <c:pt idx="1725">
                  <c:v>-1.0165836593730093E-7</c:v>
                </c:pt>
                <c:pt idx="1726">
                  <c:v>-1.0175813763648851E-7</c:v>
                </c:pt>
                <c:pt idx="1727">
                  <c:v>-1.0185774963063488E-7</c:v>
                </c:pt>
                <c:pt idx="1728">
                  <c:v>-1.0195720226041249E-7</c:v>
                </c:pt>
                <c:pt idx="1729">
                  <c:v>-1.0205649586558582E-7</c:v>
                </c:pt>
                <c:pt idx="1730">
                  <c:v>-1.021556307850144E-7</c:v>
                </c:pt>
                <c:pt idx="1731">
                  <c:v>-1.0225460735665563E-7</c:v>
                </c:pt>
                <c:pt idx="1732">
                  <c:v>-1.0235342591756769E-7</c:v>
                </c:pt>
                <c:pt idx="1733">
                  <c:v>-1.0245208680391246E-7</c:v>
                </c:pt>
                <c:pt idx="1734">
                  <c:v>-1.0255059035095835E-7</c:v>
                </c:pt>
                <c:pt idx="1735">
                  <c:v>-1.0264893689308298E-7</c:v>
                </c:pt>
                <c:pt idx="1736">
                  <c:v>-1.0274712676377635E-7</c:v>
                </c:pt>
                <c:pt idx="1737">
                  <c:v>-1.0284516029564337E-7</c:v>
                </c:pt>
                <c:pt idx="1738">
                  <c:v>-1.0294303782040674E-7</c:v>
                </c:pt>
                <c:pt idx="1739">
                  <c:v>-1.0304075966891006E-7</c:v>
                </c:pt>
                <c:pt idx="1740">
                  <c:v>-1.0313832617112006E-7</c:v>
                </c:pt>
                <c:pt idx="1741">
                  <c:v>-1.0323573765612986E-7</c:v>
                </c:pt>
                <c:pt idx="1742">
                  <c:v>-1.0333299445216165E-7</c:v>
                </c:pt>
                <c:pt idx="1743">
                  <c:v>-1.034300968865692E-7</c:v>
                </c:pt>
                <c:pt idx="1744">
                  <c:v>-1.0352704528584096E-7</c:v>
                </c:pt>
                <c:pt idx="1745">
                  <c:v>-1.036238399756025E-7</c:v>
                </c:pt>
                <c:pt idx="1746">
                  <c:v>-1.037204812806196E-7</c:v>
                </c:pt>
                <c:pt idx="1747">
                  <c:v>-1.0381696952480059E-7</c:v>
                </c:pt>
                <c:pt idx="1748">
                  <c:v>-1.0391330503119926E-7</c:v>
                </c:pt>
                <c:pt idx="1749">
                  <c:v>-1.0400948812201764E-7</c:v>
                </c:pt>
                <c:pt idx="1750">
                  <c:v>-1.0410551911860847E-7</c:v>
                </c:pt>
                <c:pt idx="1751">
                  <c:v>-1.0420139834147809E-7</c:v>
                </c:pt>
                <c:pt idx="1752">
                  <c:v>-1.0429712611028909E-7</c:v>
                </c:pt>
                <c:pt idx="1753">
                  <c:v>-1.0439270274386276E-7</c:v>
                </c:pt>
                <c:pt idx="1754">
                  <c:v>-1.0448812856018204E-7</c:v>
                </c:pt>
                <c:pt idx="1755">
                  <c:v>-1.0458340387639396E-7</c:v>
                </c:pt>
                <c:pt idx="1756">
                  <c:v>-1.0467852900881238E-7</c:v>
                </c:pt>
                <c:pt idx="1757">
                  <c:v>-1.0477350427292062E-7</c:v>
                </c:pt>
                <c:pt idx="1758">
                  <c:v>-1.0486832998337388E-7</c:v>
                </c:pt>
                <c:pt idx="1759">
                  <c:v>-1.0496300645400222E-7</c:v>
                </c:pt>
                <c:pt idx="1760">
                  <c:v>-1.0505753399781274E-7</c:v>
                </c:pt>
                <c:pt idx="1761">
                  <c:v>-1.0515191292699251E-7</c:v>
                </c:pt>
                <c:pt idx="1762">
                  <c:v>-1.0524614355291089E-7</c:v>
                </c:pt>
                <c:pt idx="1763">
                  <c:v>-1.0534022618612231E-7</c:v>
                </c:pt>
                <c:pt idx="1764">
                  <c:v>-1.054341611363687E-7</c:v>
                </c:pt>
                <c:pt idx="1765">
                  <c:v>-1.0552794871258197E-7</c:v>
                </c:pt>
                <c:pt idx="1766">
                  <c:v>-1.0562158922288682E-7</c:v>
                </c:pt>
                <c:pt idx="1767">
                  <c:v>-1.0571508297460296E-7</c:v>
                </c:pt>
                <c:pt idx="1768">
                  <c:v>-1.0580843027424784E-7</c:v>
                </c:pt>
                <c:pt idx="1769">
                  <c:v>-1.0590163142753913E-7</c:v>
                </c:pt>
                <c:pt idx="1770">
                  <c:v>-1.0599468673939711E-7</c:v>
                </c:pt>
                <c:pt idx="1771">
                  <c:v>-1.0608759651394717E-7</c:v>
                </c:pt>
                <c:pt idx="1772">
                  <c:v>-1.0618036105452264E-7</c:v>
                </c:pt>
                <c:pt idx="1773">
                  <c:v>-1.0627298066366667E-7</c:v>
                </c:pt>
                <c:pt idx="1774">
                  <c:v>-1.0636545564313523E-7</c:v>
                </c:pt>
                <c:pt idx="1775">
                  <c:v>-1.064577862938993E-7</c:v>
                </c:pt>
                <c:pt idx="1776">
                  <c:v>-1.0654997291614729E-7</c:v>
                </c:pt>
                <c:pt idx="1777">
                  <c:v>-1.0664201580928774E-7</c:v>
                </c:pt>
                <c:pt idx="1778">
                  <c:v>-1.0673391527195141E-7</c:v>
                </c:pt>
                <c:pt idx="1779">
                  <c:v>-1.0682567160199397E-7</c:v>
                </c:pt>
                <c:pt idx="1780">
                  <c:v>-1.0691728509649825E-7</c:v>
                </c:pt>
                <c:pt idx="1781">
                  <c:v>-1.0700875605177676E-7</c:v>
                </c:pt>
                <c:pt idx="1782">
                  <c:v>-1.07100084763374E-7</c:v>
                </c:pt>
                <c:pt idx="1783">
                  <c:v>-1.0719127152606886E-7</c:v>
                </c:pt>
                <c:pt idx="1784">
                  <c:v>-1.0728231663387706E-7</c:v>
                </c:pt>
                <c:pt idx="1785">
                  <c:v>-1.0737322038005349E-7</c:v>
                </c:pt>
                <c:pt idx="1786">
                  <c:v>-1.0746398305709449E-7</c:v>
                </c:pt>
                <c:pt idx="1787">
                  <c:v>-1.0755460495674034E-7</c:v>
                </c:pt>
                <c:pt idx="1788">
                  <c:v>-1.0764508636997751E-7</c:v>
                </c:pt>
                <c:pt idx="1789">
                  <c:v>-1.0773542758704102E-7</c:v>
                </c:pt>
                <c:pt idx="1790">
                  <c:v>-1.0782562889741681E-7</c:v>
                </c:pt>
                <c:pt idx="1791">
                  <c:v>-1.0791569058984393E-7</c:v>
                </c:pt>
                <c:pt idx="1792">
                  <c:v>-1.0800561295231707E-7</c:v>
                </c:pt>
                <c:pt idx="1793">
                  <c:v>-1.0809539627208855E-7</c:v>
                </c:pt>
                <c:pt idx="1794">
                  <c:v>-1.08185040835671E-7</c:v>
                </c:pt>
                <c:pt idx="1795">
                  <c:v>-1.0827454692883935E-7</c:v>
                </c:pt>
                <c:pt idx="1796">
                  <c:v>-1.0836391483663314E-7</c:v>
                </c:pt>
                <c:pt idx="1797">
                  <c:v>-1.0845314484335891E-7</c:v>
                </c:pt>
                <c:pt idx="1798">
                  <c:v>-1.0854223723259246E-7</c:v>
                </c:pt>
                <c:pt idx="1799">
                  <c:v>-1.0863119228718091E-7</c:v>
                </c:pt>
                <c:pt idx="1800">
                  <c:v>-1.0872001028924524E-7</c:v>
                </c:pt>
                <c:pt idx="1801">
                  <c:v>-1.0880869152018215E-7</c:v>
                </c:pt>
                <c:pt idx="1802">
                  <c:v>-1.0889723626066675E-7</c:v>
                </c:pt>
                <c:pt idx="1803">
                  <c:v>-1.0898564479065434E-7</c:v>
                </c:pt>
                <c:pt idx="1804">
                  <c:v>-1.0907391738938289E-7</c:v>
                </c:pt>
                <c:pt idx="1805">
                  <c:v>-1.0916205433537522E-7</c:v>
                </c:pt>
                <c:pt idx="1806">
                  <c:v>-1.0925005590644108E-7</c:v>
                </c:pt>
                <c:pt idx="1807">
                  <c:v>-1.0933792237967943E-7</c:v>
                </c:pt>
                <c:pt idx="1808">
                  <c:v>-1.0942565403148062E-7</c:v>
                </c:pt>
                <c:pt idx="1809">
                  <c:v>-1.0951325113752846E-7</c:v>
                </c:pt>
                <c:pt idx="1810">
                  <c:v>-1.0960071397280264E-7</c:v>
                </c:pt>
                <c:pt idx="1811">
                  <c:v>-1.0968804281158056E-7</c:v>
                </c:pt>
                <c:pt idx="1812">
                  <c:v>-1.097752379274397E-7</c:v>
                </c:pt>
                <c:pt idx="1813">
                  <c:v>-1.0986229959325966E-7</c:v>
                </c:pt>
                <c:pt idx="1814">
                  <c:v>-1.0994922808122442E-7</c:v>
                </c:pt>
                <c:pt idx="1815">
                  <c:v>-1.1003602366282431E-7</c:v>
                </c:pt>
                <c:pt idx="1816">
                  <c:v>-1.101226866088582E-7</c:v>
                </c:pt>
                <c:pt idx="1817">
                  <c:v>-1.1020921718943567E-7</c:v>
                </c:pt>
                <c:pt idx="1818">
                  <c:v>-1.10295615673979E-7</c:v>
                </c:pt>
                <c:pt idx="1819">
                  <c:v>-1.1038188233122539E-7</c:v>
                </c:pt>
                <c:pt idx="1820">
                  <c:v>-1.1046801742922888E-7</c:v>
                </c:pt>
                <c:pt idx="1821">
                  <c:v>-1.1055402123536271E-7</c:v>
                </c:pt>
                <c:pt idx="1822">
                  <c:v>-1.1063989401632103E-7</c:v>
                </c:pt>
                <c:pt idx="1823">
                  <c:v>-1.1072563603812132E-7</c:v>
                </c:pt>
                <c:pt idx="1824">
                  <c:v>-1.1081124756610614E-7</c:v>
                </c:pt>
                <c:pt idx="1825">
                  <c:v>-1.1089672886494551E-7</c:v>
                </c:pt>
                <c:pt idx="1826">
                  <c:v>-1.1098208019863867E-7</c:v>
                </c:pt>
                <c:pt idx="1827">
                  <c:v>-1.1106730183051617E-7</c:v>
                </c:pt>
                <c:pt idx="1828">
                  <c:v>-1.1115239402324216E-7</c:v>
                </c:pt>
                <c:pt idx="1829">
                  <c:v>-1.1123735703881594E-7</c:v>
                </c:pt>
                <c:pt idx="1830">
                  <c:v>-1.1132219113857448E-7</c:v>
                </c:pt>
                <c:pt idx="1831">
                  <c:v>-1.1140689658319417E-7</c:v>
                </c:pt>
                <c:pt idx="1832">
                  <c:v>-1.1149147363269269E-7</c:v>
                </c:pt>
                <c:pt idx="1833">
                  <c:v>-1.1157592254643134E-7</c:v>
                </c:pt>
                <c:pt idx="1834">
                  <c:v>-1.1166024358311678E-7</c:v>
                </c:pt>
                <c:pt idx="1835">
                  <c:v>-1.1174443700080307E-7</c:v>
                </c:pt>
                <c:pt idx="1836">
                  <c:v>-1.1182850305689376E-7</c:v>
                </c:pt>
                <c:pt idx="1837">
                  <c:v>-1.119124420081436E-7</c:v>
                </c:pt>
                <c:pt idx="1838">
                  <c:v>-1.1199625411066085E-7</c:v>
                </c:pt>
                <c:pt idx="1839">
                  <c:v>-1.1207993961990879E-7</c:v>
                </c:pt>
                <c:pt idx="1840">
                  <c:v>-1.1216349879070822E-7</c:v>
                </c:pt>
                <c:pt idx="1841">
                  <c:v>-1.122469318772389E-7</c:v>
                </c:pt>
                <c:pt idx="1842">
                  <c:v>-1.1233023913304169E-7</c:v>
                </c:pt>
                <c:pt idx="1843">
                  <c:v>-1.1241342081102055E-7</c:v>
                </c:pt>
                <c:pt idx="1844">
                  <c:v>-1.1249647716344434E-7</c:v>
                </c:pt>
                <c:pt idx="1845">
                  <c:v>-1.1257940844194875E-7</c:v>
                </c:pt>
                <c:pt idx="1846">
                  <c:v>-1.1266221489753827E-7</c:v>
                </c:pt>
                <c:pt idx="1847">
                  <c:v>-1.1274489678058797E-7</c:v>
                </c:pt>
                <c:pt idx="1848">
                  <c:v>-1.1282745434084556E-7</c:v>
                </c:pt>
                <c:pt idx="1849">
                  <c:v>-1.1290988782743314E-7</c:v>
                </c:pt>
                <c:pt idx="1850">
                  <c:v>-1.1299219748884913E-7</c:v>
                </c:pt>
                <c:pt idx="1851">
                  <c:v>-1.1307438357297009E-7</c:v>
                </c:pt>
                <c:pt idx="1852">
                  <c:v>-1.1315644632705274E-7</c:v>
                </c:pt>
                <c:pt idx="1853">
                  <c:v>-1.1323838599773559E-7</c:v>
                </c:pt>
                <c:pt idx="1854">
                  <c:v>-1.1332020283104103E-7</c:v>
                </c:pt>
                <c:pt idx="1855">
                  <c:v>-1.1340189707237698E-7</c:v>
                </c:pt>
                <c:pt idx="1856">
                  <c:v>-1.134834689665388E-7</c:v>
                </c:pt>
                <c:pt idx="1857">
                  <c:v>-1.1356491875771121E-7</c:v>
                </c:pt>
                <c:pt idx="1858">
                  <c:v>-1.1364624668947E-7</c:v>
                </c:pt>
                <c:pt idx="1859">
                  <c:v>-1.1372745300478395E-7</c:v>
                </c:pt>
                <c:pt idx="1860">
                  <c:v>-1.1380853794601645E-7</c:v>
                </c:pt>
                <c:pt idx="1861">
                  <c:v>-1.1388950175492762E-7</c:v>
                </c:pt>
                <c:pt idx="1862">
                  <c:v>-1.1397034467267577E-7</c:v>
                </c:pt>
                <c:pt idx="1863">
                  <c:v>-1.1405106693981955E-7</c:v>
                </c:pt>
                <c:pt idx="1864">
                  <c:v>-1.1413166879631945E-7</c:v>
                </c:pt>
                <c:pt idx="1865">
                  <c:v>-1.142121504815396E-7</c:v>
                </c:pt>
                <c:pt idx="1866">
                  <c:v>-1.1429251223424985E-7</c:v>
                </c:pt>
                <c:pt idx="1867">
                  <c:v>-1.1437275429262715E-7</c:v>
                </c:pt>
                <c:pt idx="1868">
                  <c:v>-1.1445287689425753E-7</c:v>
                </c:pt>
                <c:pt idx="1869">
                  <c:v>-1.145328802761379E-7</c:v>
                </c:pt>
                <c:pt idx="1870">
                  <c:v>-1.1461276467467765E-7</c:v>
                </c:pt>
                <c:pt idx="1871">
                  <c:v>-1.146925303257005E-7</c:v>
                </c:pt>
                <c:pt idx="1872">
                  <c:v>-1.1477217746444608E-7</c:v>
                </c:pt>
                <c:pt idx="1873">
                  <c:v>-1.1485170632557204E-7</c:v>
                </c:pt>
                <c:pt idx="1874">
                  <c:v>-1.1493111714315532E-7</c:v>
                </c:pt>
                <c:pt idx="1875">
                  <c:v>-1.1501041015069419E-7</c:v>
                </c:pt>
                <c:pt idx="1876">
                  <c:v>-1.1508958558110981E-7</c:v>
                </c:pt>
                <c:pt idx="1877">
                  <c:v>-1.1516864366674807E-7</c:v>
                </c:pt>
                <c:pt idx="1878">
                  <c:v>-1.1524758463938111E-7</c:v>
                </c:pt>
                <c:pt idx="1879">
                  <c:v>-1.153264087302092E-7</c:v>
                </c:pt>
                <c:pt idx="1880">
                  <c:v>-1.1540511616986227E-7</c:v>
                </c:pt>
                <c:pt idx="1881">
                  <c:v>-1.1548370718840182E-7</c:v>
                </c:pt>
                <c:pt idx="1882">
                  <c:v>-1.1556218201532241E-7</c:v>
                </c:pt>
                <c:pt idx="1883">
                  <c:v>-1.1564054087955326E-7</c:v>
                </c:pt>
                <c:pt idx="1884">
                  <c:v>-1.1571878400946033E-7</c:v>
                </c:pt>
                <c:pt idx="1885">
                  <c:v>-1.1579691163284739E-7</c:v>
                </c:pt>
                <c:pt idx="1886">
                  <c:v>-1.1587492397695819E-7</c:v>
                </c:pt>
                <c:pt idx="1887">
                  <c:v>-1.159528212684779E-7</c:v>
                </c:pt>
                <c:pt idx="1888">
                  <c:v>-1.1603060373353469E-7</c:v>
                </c:pt>
                <c:pt idx="1889">
                  <c:v>-1.1610827159770157E-7</c:v>
                </c:pt>
                <c:pt idx="1890">
                  <c:v>-1.1618582508599774E-7</c:v>
                </c:pt>
                <c:pt idx="1891">
                  <c:v>-1.1626326442289056E-7</c:v>
                </c:pt>
                <c:pt idx="1892">
                  <c:v>-1.1634058983229693E-7</c:v>
                </c:pt>
                <c:pt idx="1893">
                  <c:v>-1.1641780153758494E-7</c:v>
                </c:pt>
                <c:pt idx="1894">
                  <c:v>-1.1649489976157561E-7</c:v>
                </c:pt>
                <c:pt idx="1895">
                  <c:v>-1.1657188472654433E-7</c:v>
                </c:pt>
                <c:pt idx="1896">
                  <c:v>-1.166487566542226E-7</c:v>
                </c:pt>
                <c:pt idx="1897">
                  <c:v>-1.1672551576579956E-7</c:v>
                </c:pt>
                <c:pt idx="1898">
                  <c:v>-1.1680216228192357E-7</c:v>
                </c:pt>
                <c:pt idx="1899">
                  <c:v>-1.1687869642270383E-7</c:v>
                </c:pt>
                <c:pt idx="1900">
                  <c:v>-1.1695511840771193E-7</c:v>
                </c:pt>
                <c:pt idx="1901">
                  <c:v>-1.1703142845598347E-7</c:v>
                </c:pt>
                <c:pt idx="1902">
                  <c:v>-1.1710762678601961E-7</c:v>
                </c:pt>
                <c:pt idx="1903">
                  <c:v>-1.1718371361578858E-7</c:v>
                </c:pt>
                <c:pt idx="1904">
                  <c:v>-1.1725968916272733E-7</c:v>
                </c:pt>
                <c:pt idx="1905">
                  <c:v>-1.1733555364374302E-7</c:v>
                </c:pt>
                <c:pt idx="1906">
                  <c:v>-1.1741130727521459E-7</c:v>
                </c:pt>
                <c:pt idx="1907">
                  <c:v>-1.1748695027299426E-7</c:v>
                </c:pt>
                <c:pt idx="1908">
                  <c:v>-1.1756248285240914E-7</c:v>
                </c:pt>
                <c:pt idx="1909">
                  <c:v>-1.1763790522826276E-7</c:v>
                </c:pt>
                <c:pt idx="1910">
                  <c:v>-1.1771321761483657E-7</c:v>
                </c:pt>
                <c:pt idx="1911">
                  <c:v>-1.1778842022589135E-7</c:v>
                </c:pt>
                <c:pt idx="1912">
                  <c:v>-1.1786351327466891E-7</c:v>
                </c:pt>
                <c:pt idx="1913">
                  <c:v>-1.1793849697389359E-7</c:v>
                </c:pt>
                <c:pt idx="1914">
                  <c:v>-1.1801337153577357E-7</c:v>
                </c:pt>
                <c:pt idx="1915">
                  <c:v>-1.1808813717200267E-7</c:v>
                </c:pt>
                <c:pt idx="1916">
                  <c:v>-1.1816279409376143E-7</c:v>
                </c:pt>
                <c:pt idx="1917">
                  <c:v>-1.1823734251171918E-7</c:v>
                </c:pt>
                <c:pt idx="1918">
                  <c:v>-1.1831178263603489E-7</c:v>
                </c:pt>
                <c:pt idx="1919">
                  <c:v>-1.1838611467635915E-7</c:v>
                </c:pt>
                <c:pt idx="1920">
                  <c:v>-1.1846033884183541E-7</c:v>
                </c:pt>
                <c:pt idx="1921">
                  <c:v>-1.185344553411014E-7</c:v>
                </c:pt>
                <c:pt idx="1922">
                  <c:v>-1.1860846438229093E-7</c:v>
                </c:pt>
                <c:pt idx="1923">
                  <c:v>-1.1868236617303486E-7</c:v>
                </c:pt>
                <c:pt idx="1924">
                  <c:v>-1.1875616092046291E-7</c:v>
                </c:pt>
                <c:pt idx="1925">
                  <c:v>-1.1882984883120511E-7</c:v>
                </c:pt>
                <c:pt idx="1926">
                  <c:v>-1.1890343011139288E-7</c:v>
                </c:pt>
                <c:pt idx="1927">
                  <c:v>-1.1897690496666108E-7</c:v>
                </c:pt>
                <c:pt idx="1928">
                  <c:v>-1.1905027360214885E-7</c:v>
                </c:pt>
                <c:pt idx="1929">
                  <c:v>-1.1912353622250142E-7</c:v>
                </c:pt>
                <c:pt idx="1930">
                  <c:v>-1.1919669303187139E-7</c:v>
                </c:pt>
                <c:pt idx="1931">
                  <c:v>-1.1926974423392012E-7</c:v>
                </c:pt>
                <c:pt idx="1932">
                  <c:v>-1.1934269003181929E-7</c:v>
                </c:pt>
                <c:pt idx="1933">
                  <c:v>-1.1941553062825223E-7</c:v>
                </c:pt>
                <c:pt idx="1934">
                  <c:v>-1.1948826622541522E-7</c:v>
                </c:pt>
                <c:pt idx="1935">
                  <c:v>-1.1956089702501907E-7</c:v>
                </c:pt>
                <c:pt idx="1936">
                  <c:v>-1.1963342322829052E-7</c:v>
                </c:pt>
                <c:pt idx="1937">
                  <c:v>-1.197058450359734E-7</c:v>
                </c:pt>
                <c:pt idx="1938">
                  <c:v>-1.1977816264833033E-7</c:v>
                </c:pt>
                <c:pt idx="1939">
                  <c:v>-1.1985037626514383E-7</c:v>
                </c:pt>
                <c:pt idx="1940">
                  <c:v>-1.1992248608571793E-7</c:v>
                </c:pt>
                <c:pt idx="1941">
                  <c:v>-1.1999449230887937E-7</c:v>
                </c:pt>
                <c:pt idx="1942">
                  <c:v>-1.2006639513297905E-7</c:v>
                </c:pt>
                <c:pt idx="1943">
                  <c:v>-1.2013819475589342E-7</c:v>
                </c:pt>
                <c:pt idx="1944">
                  <c:v>-1.2020989137502579E-7</c:v>
                </c:pt>
                <c:pt idx="1945">
                  <c:v>-1.2028148518730771E-7</c:v>
                </c:pt>
                <c:pt idx="1946">
                  <c:v>-1.2035297638920027E-7</c:v>
                </c:pt>
                <c:pt idx="1947">
                  <c:v>-1.2042436517669549E-7</c:v>
                </c:pt>
                <c:pt idx="1948">
                  <c:v>-1.2049565174531787E-7</c:v>
                </c:pt>
                <c:pt idx="1949">
                  <c:v>-1.2056683629012523E-7</c:v>
                </c:pt>
                <c:pt idx="1950">
                  <c:v>-1.2063791900571048E-7</c:v>
                </c:pt>
                <c:pt idx="1951">
                  <c:v>-1.2070890008620284E-7</c:v>
                </c:pt>
                <c:pt idx="1952">
                  <c:v>-1.2077977972526907E-7</c:v>
                </c:pt>
                <c:pt idx="1953">
                  <c:v>-1.2085055811611497E-7</c:v>
                </c:pt>
                <c:pt idx="1954">
                  <c:v>-1.2092123545148636E-7</c:v>
                </c:pt>
                <c:pt idx="1955">
                  <c:v>-1.2099181192367088E-7</c:v>
                </c:pt>
                <c:pt idx="1956">
                  <c:v>-1.2106228772449892E-7</c:v>
                </c:pt>
                <c:pt idx="1957">
                  <c:v>-1.211326630453449E-7</c:v>
                </c:pt>
                <c:pt idx="1958">
                  <c:v>-1.2120293807712893E-7</c:v>
                </c:pt>
                <c:pt idx="1959">
                  <c:v>-1.212731130103178E-7</c:v>
                </c:pt>
                <c:pt idx="1960">
                  <c:v>-1.2134318803492629E-7</c:v>
                </c:pt>
                <c:pt idx="1961">
                  <c:v>-1.2141316334051856E-7</c:v>
                </c:pt>
                <c:pt idx="1962">
                  <c:v>-1.2148303911620944E-7</c:v>
                </c:pt>
                <c:pt idx="1963">
                  <c:v>-1.2155281555066562E-7</c:v>
                </c:pt>
                <c:pt idx="1964">
                  <c:v>-1.2162249283210686E-7</c:v>
                </c:pt>
                <c:pt idx="1965">
                  <c:v>-1.2169207114830755E-7</c:v>
                </c:pt>
                <c:pt idx="1966">
                  <c:v>-1.2176155068659764E-7</c:v>
                </c:pt>
                <c:pt idx="1967">
                  <c:v>-1.2183093163386412E-7</c:v>
                </c:pt>
                <c:pt idx="1968">
                  <c:v>-1.2190021417655219E-7</c:v>
                </c:pt>
                <c:pt idx="1969">
                  <c:v>-1.219693985006665E-7</c:v>
                </c:pt>
                <c:pt idx="1970">
                  <c:v>-1.2203848479177242E-7</c:v>
                </c:pt>
                <c:pt idx="1971">
                  <c:v>-1.2210747323499737E-7</c:v>
                </c:pt>
                <c:pt idx="1972">
                  <c:v>-1.2217636401503184E-7</c:v>
                </c:pt>
                <c:pt idx="1973">
                  <c:v>-1.2224515731613089E-7</c:v>
                </c:pt>
                <c:pt idx="1974">
                  <c:v>-1.2231385332211521E-7</c:v>
                </c:pt>
                <c:pt idx="1975">
                  <c:v>-1.2238245221637236E-7</c:v>
                </c:pt>
                <c:pt idx="1976">
                  <c:v>-1.2245095418185814E-7</c:v>
                </c:pt>
                <c:pt idx="1977">
                  <c:v>-1.2251935940109754E-7</c:v>
                </c:pt>
                <c:pt idx="1978">
                  <c:v>-1.2258766805618621E-7</c:v>
                </c:pt>
                <c:pt idx="1979">
                  <c:v>-1.2265588032879159E-7</c:v>
                </c:pt>
                <c:pt idx="1980">
                  <c:v>-1.2272399640015405E-7</c:v>
                </c:pt>
                <c:pt idx="1981">
                  <c:v>-1.2279201645108823E-7</c:v>
                </c:pt>
                <c:pt idx="1982">
                  <c:v>-1.2285994066198404E-7</c:v>
                </c:pt>
                <c:pt idx="1983">
                  <c:v>-1.2292776921280804E-7</c:v>
                </c:pt>
                <c:pt idx="1984">
                  <c:v>-1.2299550228310463E-7</c:v>
                </c:pt>
                <c:pt idx="1985">
                  <c:v>-1.2306314005199702E-7</c:v>
                </c:pt>
                <c:pt idx="1986">
                  <c:v>-1.2313068269818872E-7</c:v>
                </c:pt>
                <c:pt idx="1987">
                  <c:v>-1.231981303999645E-7</c:v>
                </c:pt>
                <c:pt idx="1988">
                  <c:v>-1.2326548333519155E-7</c:v>
                </c:pt>
                <c:pt idx="1989">
                  <c:v>-1.2333274168132098E-7</c:v>
                </c:pt>
                <c:pt idx="1990">
                  <c:v>-1.2339990561538847E-7</c:v>
                </c:pt>
                <c:pt idx="1991">
                  <c:v>-1.2346697531401591E-7</c:v>
                </c:pt>
                <c:pt idx="1992">
                  <c:v>-1.2353395095341224E-7</c:v>
                </c:pt>
                <c:pt idx="1993">
                  <c:v>-1.2360083270937482E-7</c:v>
                </c:pt>
                <c:pt idx="1994">
                  <c:v>-1.2366762075729038E-7</c:v>
                </c:pt>
                <c:pt idx="1995">
                  <c:v>-1.2373431527213646E-7</c:v>
                </c:pt>
                <c:pt idx="1996">
                  <c:v>-1.2380091642848225E-7</c:v>
                </c:pt>
                <c:pt idx="1997">
                  <c:v>-1.2386742440048984E-7</c:v>
                </c:pt>
                <c:pt idx="1998">
                  <c:v>-1.2393383936191542E-7</c:v>
                </c:pt>
                <c:pt idx="1999">
                  <c:v>-1.2400016148611051E-7</c:v>
                </c:pt>
                <c:pt idx="2000">
                  <c:v>-1.2406639094602268E-7</c:v>
                </c:pt>
              </c:numCache>
            </c:numRef>
          </c:yVal>
          <c:smooth val="0"/>
          <c:extLst>
            <c:ext xmlns:c16="http://schemas.microsoft.com/office/drawing/2014/chart" uri="{C3380CC4-5D6E-409C-BE32-E72D297353CC}">
              <c16:uniqueId val="{00000000-62D7-0549-B786-16B8007E377C}"/>
            </c:ext>
          </c:extLst>
        </c:ser>
        <c:dLbls>
          <c:showLegendKey val="0"/>
          <c:showVal val="0"/>
          <c:showCatName val="0"/>
          <c:showSerName val="0"/>
          <c:showPercent val="0"/>
          <c:showBubbleSize val="0"/>
        </c:dLbls>
        <c:axId val="117761920"/>
        <c:axId val="117653504"/>
      </c:scatterChart>
      <c:valAx>
        <c:axId val="117761920"/>
        <c:scaling>
          <c:orientation val="minMax"/>
        </c:scaling>
        <c:delete val="0"/>
        <c:axPos val="b"/>
        <c:title>
          <c:tx>
            <c:rich>
              <a:bodyPr/>
              <a:lstStyle/>
              <a:p>
                <a:pPr>
                  <a:defRPr sz="1100" b="0" i="0" u="none" strike="noStrike" baseline="0">
                    <a:solidFill>
                      <a:srgbClr val="000000"/>
                    </a:solidFill>
                    <a:latin typeface="Calibri"/>
                    <a:ea typeface="Calibri"/>
                    <a:cs typeface="Calibri"/>
                  </a:defRPr>
                </a:pPr>
                <a:r>
                  <a:rPr lang="en-US" sz="1100" b="1" i="0" u="none" strike="noStrike" baseline="0">
                    <a:effectLst/>
                  </a:rPr>
                  <a:t>PHOTOSYNTHETIC PHOTON FLUX DENSITY</a:t>
                </a:r>
                <a:r>
                  <a:rPr lang="en-US" sz="1000" b="1" i="0" u="none" strike="noStrike" baseline="0">
                    <a:solidFill>
                      <a:srgbClr val="000000"/>
                    </a:solidFill>
                    <a:latin typeface="Arial"/>
                    <a:cs typeface="Arial"/>
                  </a:rPr>
                  <a:t> [</a:t>
                </a:r>
                <a:r>
                  <a:rPr lang="en-US" sz="1000" b="1" i="0" u="none" strike="noStrike" baseline="0">
                    <a:solidFill>
                      <a:srgbClr val="000000"/>
                    </a:solidFill>
                    <a:latin typeface="Symbol"/>
                    <a:cs typeface="Arial"/>
                  </a:rPr>
                  <a:t>m</a:t>
                </a:r>
                <a:r>
                  <a:rPr lang="en-US" sz="1000" b="1" i="0" u="none" strike="noStrike" baseline="0">
                    <a:solidFill>
                      <a:srgbClr val="000000"/>
                    </a:solidFill>
                    <a:latin typeface="Arial"/>
                    <a:cs typeface="Arial"/>
                  </a:rPr>
                  <a:t>mol (photons) m</a:t>
                </a:r>
                <a:r>
                  <a:rPr lang="en-US" sz="1000" b="1" i="0" u="none" strike="noStrike" baseline="30000">
                    <a:solidFill>
                      <a:srgbClr val="000000"/>
                    </a:solidFill>
                    <a:latin typeface="Arial"/>
                    <a:cs typeface="Arial"/>
                  </a:rPr>
                  <a:t>-2</a:t>
                </a:r>
                <a:r>
                  <a:rPr lang="en-US" sz="1000" b="1" i="0" u="none" strike="noStrike" baseline="0">
                    <a:solidFill>
                      <a:srgbClr val="000000"/>
                    </a:solidFill>
                    <a:latin typeface="Arial"/>
                    <a:cs typeface="Arial"/>
                  </a:rPr>
                  <a:t> s</a:t>
                </a:r>
                <a:r>
                  <a:rPr lang="en-US" sz="1000" b="1" i="0" u="none" strike="noStrike" baseline="30000">
                    <a:solidFill>
                      <a:srgbClr val="000000"/>
                    </a:solidFill>
                    <a:latin typeface="Arial"/>
                    <a:cs typeface="Arial"/>
                  </a:rPr>
                  <a:t>-1</a:t>
                </a:r>
                <a:r>
                  <a:rPr lang="en-US" sz="1000" b="1" i="0" u="none" strike="noStrike" baseline="0">
                    <a:solidFill>
                      <a:srgbClr val="000000"/>
                    </a:solidFill>
                    <a:latin typeface="Arial"/>
                    <a:cs typeface="Arial"/>
                  </a:rPr>
                  <a:t>]</a:t>
                </a:r>
                <a:endParaRPr lang="en-US"/>
              </a:p>
            </c:rich>
          </c:tx>
          <c:layout>
            <c:manualLayout>
              <c:xMode val="edge"/>
              <c:yMode val="edge"/>
              <c:x val="0.31068008259872198"/>
              <c:y val="0.8625460201313218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653504"/>
        <c:crosses val="autoZero"/>
        <c:crossBetween val="midCat"/>
        <c:majorUnit val="250"/>
      </c:valAx>
      <c:valAx>
        <c:axId val="117653504"/>
        <c:scaling>
          <c:orientation val="minMax"/>
        </c:scaling>
        <c:delete val="0"/>
        <c:axPos val="l"/>
        <c:title>
          <c:tx>
            <c:rich>
              <a:bodyPr/>
              <a:lstStyle/>
              <a:p>
                <a:pPr>
                  <a:defRPr sz="1100" b="0" i="0" u="none" strike="noStrike" baseline="0">
                    <a:solidFill>
                      <a:srgbClr val="000000"/>
                    </a:solidFill>
                    <a:latin typeface="Calibri"/>
                    <a:ea typeface="Calibri"/>
                    <a:cs typeface="Calibri"/>
                  </a:defRPr>
                </a:pPr>
                <a:r>
                  <a:rPr lang="en-US" sz="1000" b="1" i="0" u="none" strike="noStrike" baseline="0">
                    <a:solidFill>
                      <a:srgbClr val="000000"/>
                    </a:solidFill>
                    <a:latin typeface="Arial"/>
                    <a:cs typeface="Arial"/>
                  </a:rPr>
                  <a:t>QUANTUM YIELD</a:t>
                </a:r>
              </a:p>
              <a:p>
                <a:pPr>
                  <a:defRPr sz="1100" b="0" i="0" u="none" strike="noStrike" baseline="0">
                    <a:solidFill>
                      <a:srgbClr val="000000"/>
                    </a:solidFill>
                    <a:latin typeface="Calibri"/>
                    <a:ea typeface="Calibri"/>
                    <a:cs typeface="Calibri"/>
                  </a:defRPr>
                </a:pPr>
                <a:r>
                  <a:rPr lang="en-US" sz="1000" b="1" i="0" u="none" strike="noStrike" baseline="0">
                    <a:solidFill>
                      <a:srgbClr val="000000"/>
                    </a:solidFill>
                    <a:latin typeface="Arial"/>
                    <a:cs typeface="Arial"/>
                  </a:rPr>
                  <a:t>[</a:t>
                </a:r>
                <a:r>
                  <a:rPr lang="en-US" sz="1000" b="1" i="0" u="none" strike="noStrike" baseline="0">
                    <a:solidFill>
                      <a:srgbClr val="000000"/>
                    </a:solidFill>
                    <a:latin typeface="Symbol"/>
                    <a:cs typeface="Arial"/>
                  </a:rPr>
                  <a:t>m</a:t>
                </a:r>
                <a:r>
                  <a:rPr lang="en-US" sz="1000" b="1" i="0" u="none" strike="noStrike" baseline="0">
                    <a:solidFill>
                      <a:srgbClr val="000000"/>
                    </a:solidFill>
                    <a:latin typeface="Arial"/>
                    <a:cs typeface="Arial"/>
                  </a:rPr>
                  <a:t>mol (CO</a:t>
                </a:r>
                <a:r>
                  <a:rPr lang="en-US" sz="1000" b="1" i="0" u="none" strike="noStrike" baseline="-25000">
                    <a:solidFill>
                      <a:srgbClr val="000000"/>
                    </a:solidFill>
                    <a:latin typeface="Arial"/>
                    <a:cs typeface="Arial"/>
                  </a:rPr>
                  <a:t>2</a:t>
                </a:r>
                <a:r>
                  <a:rPr lang="en-US" sz="1000" b="1" i="0" u="none" strike="noStrike" baseline="0">
                    <a:solidFill>
                      <a:srgbClr val="000000"/>
                    </a:solidFill>
                    <a:latin typeface="Arial"/>
                    <a:cs typeface="Arial"/>
                  </a:rPr>
                  <a:t>) </a:t>
                </a:r>
                <a:r>
                  <a:rPr lang="en-US" sz="1000" b="1" i="0" u="none" strike="noStrike" baseline="0">
                    <a:solidFill>
                      <a:srgbClr val="000000"/>
                    </a:solidFill>
                    <a:latin typeface="Symbol"/>
                    <a:cs typeface="Arial"/>
                  </a:rPr>
                  <a:t>m</a:t>
                </a:r>
                <a:r>
                  <a:rPr lang="en-US" sz="1000" b="1" i="0" u="none" strike="noStrike" baseline="0">
                    <a:solidFill>
                      <a:srgbClr val="000000"/>
                    </a:solidFill>
                    <a:latin typeface="Arial"/>
                    <a:cs typeface="Arial"/>
                  </a:rPr>
                  <a:t>mol</a:t>
                </a:r>
                <a:r>
                  <a:rPr lang="en-US" sz="1000" b="1" i="0" u="none" strike="noStrike" baseline="30000">
                    <a:solidFill>
                      <a:srgbClr val="000000"/>
                    </a:solidFill>
                    <a:latin typeface="Arial"/>
                    <a:cs typeface="Arial"/>
                  </a:rPr>
                  <a:t>-1</a:t>
                </a:r>
                <a:r>
                  <a:rPr lang="en-US" sz="1000" b="1" i="0" u="none" strike="noStrike" baseline="0">
                    <a:solidFill>
                      <a:srgbClr val="000000"/>
                    </a:solidFill>
                    <a:latin typeface="Arial"/>
                    <a:cs typeface="Arial"/>
                  </a:rPr>
                  <a:t> (photons)]</a:t>
                </a:r>
                <a:endParaRPr lang="en-US"/>
              </a:p>
            </c:rich>
          </c:tx>
          <c:layout>
            <c:manualLayout>
              <c:xMode val="edge"/>
              <c:yMode val="edge"/>
              <c:x val="6.5352637371941438E-3"/>
              <c:y val="0.10054773456348259"/>
            </c:manualLayout>
          </c:layout>
          <c:overlay val="0"/>
          <c:spPr>
            <a:noFill/>
            <a:ln w="25400">
              <a:noFill/>
            </a:ln>
          </c:spPr>
        </c:title>
        <c:numFmt formatCode="0.000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761920"/>
        <c:crosses val="autoZero"/>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0.98425196899999989" l="0.78740157499999996" r="0.78740157499999996" t="0.98425196899999989" header="0.4921259850000001" footer="0.4921259850000001"/>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560070</xdr:colOff>
      <xdr:row>16</xdr:row>
      <xdr:rowOff>0</xdr:rowOff>
    </xdr:from>
    <xdr:to>
      <xdr:col>9</xdr:col>
      <xdr:colOff>510555</xdr:colOff>
      <xdr:row>16</xdr:row>
      <xdr:rowOff>0</xdr:rowOff>
    </xdr:to>
    <xdr:sp macro="" textlink="">
      <xdr:nvSpPr>
        <xdr:cNvPr id="1025" name="Text Box 1">
          <a:extLst>
            <a:ext uri="{FF2B5EF4-FFF2-40B4-BE49-F238E27FC236}">
              <a16:creationId xmlns:a16="http://schemas.microsoft.com/office/drawing/2014/main" id="{00000000-0008-0000-0000-000001040000}"/>
            </a:ext>
          </a:extLst>
        </xdr:cNvPr>
        <xdr:cNvSpPr txBox="1">
          <a:spLocks noChangeArrowheads="1"/>
        </xdr:cNvSpPr>
      </xdr:nvSpPr>
      <xdr:spPr bwMode="auto">
        <a:xfrm>
          <a:off x="6162675" y="2800350"/>
          <a:ext cx="1905000" cy="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pt-BR" sz="1200" b="0" i="0" strike="noStrike">
              <a:solidFill>
                <a:srgbClr val="000000"/>
              </a:solidFill>
              <a:latin typeface="Times New Roman"/>
              <a:cs typeface="Times New Roman"/>
            </a:rPr>
            <a:t>(1)</a:t>
          </a:r>
        </a:p>
      </xdr:txBody>
    </xdr:sp>
    <xdr:clientData/>
  </xdr:twoCellAnchor>
  <xdr:twoCellAnchor>
    <xdr:from>
      <xdr:col>19</xdr:col>
      <xdr:colOff>60960</xdr:colOff>
      <xdr:row>6</xdr:row>
      <xdr:rowOff>7620</xdr:rowOff>
    </xdr:from>
    <xdr:to>
      <xdr:col>28</xdr:col>
      <xdr:colOff>472440</xdr:colOff>
      <xdr:row>21</xdr:row>
      <xdr:rowOff>144780</xdr:rowOff>
    </xdr:to>
    <xdr:graphicFrame macro="">
      <xdr:nvGraphicFramePr>
        <xdr:cNvPr id="1048" name="Chart 2">
          <a:extLst>
            <a:ext uri="{FF2B5EF4-FFF2-40B4-BE49-F238E27FC236}">
              <a16:creationId xmlns:a16="http://schemas.microsoft.com/office/drawing/2014/main" id="{00000000-0008-0000-0000-000018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68580</xdr:colOff>
      <xdr:row>22</xdr:row>
      <xdr:rowOff>38100</xdr:rowOff>
    </xdr:from>
    <xdr:to>
      <xdr:col>28</xdr:col>
      <xdr:colOff>487680</xdr:colOff>
      <xdr:row>39</xdr:row>
      <xdr:rowOff>76200</xdr:rowOff>
    </xdr:to>
    <xdr:graphicFrame macro="">
      <xdr:nvGraphicFramePr>
        <xdr:cNvPr id="1049" name="Chart 9">
          <a:extLst>
            <a:ext uri="{FF2B5EF4-FFF2-40B4-BE49-F238E27FC236}">
              <a16:creationId xmlns:a16="http://schemas.microsoft.com/office/drawing/2014/main" id="{00000000-0008-0000-0000-000019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009"/>
  <sheetViews>
    <sheetView tabSelected="1" topLeftCell="A13" workbookViewId="0">
      <selection activeCell="E20" sqref="E20"/>
    </sheetView>
  </sheetViews>
  <sheetFormatPr baseColWidth="10" defaultColWidth="9.1640625" defaultRowHeight="13" x14ac:dyDescent="0.15"/>
  <cols>
    <col min="1" max="1" width="22" style="11" customWidth="1"/>
    <col min="2" max="2" width="18.83203125" style="11" customWidth="1"/>
    <col min="3" max="3" width="19.5" style="11" customWidth="1"/>
    <col min="4" max="4" width="14.5" style="11" customWidth="1"/>
    <col min="5" max="5" width="21.5" style="11" customWidth="1"/>
    <col min="6" max="6" width="20.1640625" style="11" customWidth="1"/>
    <col min="7" max="7" width="24.5" style="1" bestFit="1" customWidth="1"/>
    <col min="8" max="9" width="9.1640625" style="1"/>
    <col min="10" max="10" width="21.83203125" style="1" customWidth="1"/>
    <col min="11" max="12" width="18.1640625" style="1" bestFit="1" customWidth="1"/>
    <col min="13" max="13" width="27" style="1" bestFit="1" customWidth="1"/>
    <col min="14" max="14" width="13.83203125" style="1" bestFit="1" customWidth="1"/>
    <col min="15" max="15" width="15.6640625" style="1" bestFit="1" customWidth="1"/>
    <col min="16" max="19" width="14.5" style="1" customWidth="1"/>
    <col min="20" max="16384" width="9.1640625" style="1"/>
  </cols>
  <sheetData>
    <row r="1" spans="1:29" x14ac:dyDescent="0.15">
      <c r="A1" s="19" t="s">
        <v>72</v>
      </c>
      <c r="B1" s="2"/>
      <c r="C1" s="2"/>
      <c r="D1" s="2"/>
      <c r="E1" s="2"/>
      <c r="F1" s="2"/>
      <c r="G1" s="2"/>
      <c r="H1" s="2"/>
      <c r="I1" s="2"/>
      <c r="J1" s="2"/>
      <c r="K1" s="2"/>
      <c r="L1" s="2"/>
      <c r="M1" s="2"/>
      <c r="N1" s="2"/>
      <c r="O1" s="2"/>
      <c r="P1" s="2"/>
      <c r="Q1" s="2"/>
      <c r="R1" s="2"/>
      <c r="S1" s="2"/>
      <c r="T1" s="2"/>
      <c r="U1" s="2"/>
      <c r="V1" s="2"/>
      <c r="W1" s="2"/>
      <c r="X1" s="2"/>
      <c r="Y1" s="2"/>
      <c r="Z1" s="2"/>
      <c r="AA1" s="2"/>
      <c r="AB1" s="2"/>
      <c r="AC1" s="3"/>
    </row>
    <row r="2" spans="1:29" x14ac:dyDescent="0.15">
      <c r="A2" s="32" t="s">
        <v>24</v>
      </c>
      <c r="B2" s="5"/>
      <c r="C2" s="5"/>
      <c r="D2" s="5"/>
      <c r="E2" s="5"/>
      <c r="F2" s="5"/>
      <c r="G2" s="5"/>
      <c r="H2" s="5"/>
      <c r="I2" s="5"/>
      <c r="J2" s="5"/>
      <c r="K2" s="5"/>
      <c r="L2" s="5"/>
      <c r="M2" s="5"/>
      <c r="N2" s="5"/>
      <c r="O2" s="5"/>
      <c r="P2" s="5"/>
      <c r="Q2" s="5"/>
      <c r="R2" s="5"/>
      <c r="S2" s="5"/>
      <c r="T2" s="5"/>
      <c r="U2" s="5"/>
      <c r="V2" s="5"/>
      <c r="W2" s="5"/>
      <c r="X2" s="5"/>
      <c r="Y2" s="5"/>
      <c r="Z2" s="5"/>
      <c r="AA2" s="5"/>
      <c r="AB2" s="5"/>
      <c r="AC2" s="6"/>
    </row>
    <row r="3" spans="1:29" x14ac:dyDescent="0.15">
      <c r="A3" s="21"/>
      <c r="B3" s="8"/>
      <c r="C3" s="8"/>
      <c r="D3" s="8"/>
      <c r="E3" s="8"/>
      <c r="F3" s="8"/>
      <c r="G3" s="8"/>
      <c r="H3" s="8"/>
      <c r="I3" s="8"/>
      <c r="J3" s="8"/>
      <c r="K3" s="8"/>
      <c r="L3" s="8"/>
      <c r="M3" s="8"/>
      <c r="N3" s="8"/>
      <c r="O3" s="8"/>
      <c r="P3" s="8"/>
      <c r="Q3" s="8"/>
      <c r="R3" s="8"/>
      <c r="S3" s="8"/>
      <c r="T3" s="8"/>
      <c r="U3" s="8"/>
      <c r="V3" s="8"/>
      <c r="W3" s="8"/>
      <c r="X3" s="8"/>
      <c r="Y3" s="8"/>
      <c r="Z3" s="8"/>
      <c r="AA3" s="8"/>
      <c r="AB3" s="8"/>
      <c r="AC3" s="9"/>
    </row>
    <row r="4" spans="1:29" x14ac:dyDescent="0.15">
      <c r="B4" s="1"/>
      <c r="C4" s="1"/>
      <c r="D4" s="1"/>
      <c r="E4" s="1"/>
      <c r="F4" s="1"/>
    </row>
    <row r="5" spans="1:29" x14ac:dyDescent="0.15">
      <c r="A5" s="1"/>
      <c r="B5" s="1"/>
      <c r="C5" s="1"/>
      <c r="D5" s="1"/>
      <c r="E5" s="1"/>
      <c r="F5" s="1"/>
      <c r="J5" s="10" t="s">
        <v>20</v>
      </c>
    </row>
    <row r="6" spans="1:29" x14ac:dyDescent="0.15">
      <c r="A6" s="1"/>
      <c r="B6" s="1"/>
      <c r="C6" s="1"/>
      <c r="D6" s="1"/>
      <c r="E6" s="1"/>
      <c r="F6" s="1"/>
    </row>
    <row r="7" spans="1:29" ht="15" x14ac:dyDescent="0.2">
      <c r="A7" s="19" t="s">
        <v>1</v>
      </c>
      <c r="B7" s="2"/>
      <c r="C7" s="2"/>
      <c r="D7" s="2"/>
      <c r="E7" s="3"/>
      <c r="F7" s="1"/>
      <c r="J7" s="58" t="s">
        <v>0</v>
      </c>
      <c r="K7" s="22" t="s">
        <v>55</v>
      </c>
      <c r="L7" s="22" t="s">
        <v>29</v>
      </c>
      <c r="M7" s="22" t="s">
        <v>83</v>
      </c>
      <c r="N7" s="22" t="s">
        <v>15</v>
      </c>
      <c r="O7" s="22" t="s">
        <v>16</v>
      </c>
      <c r="P7" s="22" t="s">
        <v>56</v>
      </c>
      <c r="Q7" s="22" t="s">
        <v>57</v>
      </c>
      <c r="R7" s="22" t="s">
        <v>56</v>
      </c>
      <c r="S7" s="22" t="s">
        <v>57</v>
      </c>
    </row>
    <row r="8" spans="1:29" ht="16" x14ac:dyDescent="0.2">
      <c r="A8" s="4"/>
      <c r="B8" s="5"/>
      <c r="C8" s="5"/>
      <c r="D8" s="5"/>
      <c r="E8" s="6"/>
      <c r="F8" s="1"/>
      <c r="J8" s="23" t="s">
        <v>32</v>
      </c>
      <c r="K8" s="23" t="s">
        <v>33</v>
      </c>
      <c r="L8" s="23" t="s">
        <v>33</v>
      </c>
      <c r="M8" s="23" t="s">
        <v>58</v>
      </c>
      <c r="N8" s="23" t="s">
        <v>59</v>
      </c>
      <c r="O8" s="23" t="s">
        <v>60</v>
      </c>
      <c r="P8" s="51" t="s">
        <v>84</v>
      </c>
      <c r="Q8" s="51" t="s">
        <v>84</v>
      </c>
      <c r="R8" s="51" t="s">
        <v>85</v>
      </c>
      <c r="S8" s="51" t="s">
        <v>85</v>
      </c>
    </row>
    <row r="9" spans="1:29" ht="15" x14ac:dyDescent="0.2">
      <c r="A9" s="46" t="s">
        <v>73</v>
      </c>
      <c r="B9" s="20"/>
      <c r="C9" s="5"/>
      <c r="D9" s="5"/>
      <c r="E9" s="6"/>
      <c r="F9" s="1"/>
      <c r="J9" s="38">
        <v>0</v>
      </c>
      <c r="K9" s="75">
        <f>B20</f>
        <v>-8.2014839999999996E-4</v>
      </c>
      <c r="L9" s="34">
        <f>$F$39*((1-$F$40*J9)/(1+$F$41*J9))*(J9-$F$42)</f>
        <v>-8.8310201773770841E-4</v>
      </c>
      <c r="M9" s="35">
        <f>$F$39*((1-2*$F$40*J9-$F$40*$F$41*(J9^2)+($F$41+$F$40)*$F$42)/(1+$F$41*J9)^2)</f>
        <v>1.5021179797789412E-5</v>
      </c>
      <c r="N9" s="44">
        <f t="shared" ref="N9:N72" si="0">(L59-L9)</f>
        <v>5.576390802005945E-4</v>
      </c>
      <c r="O9" s="45" t="e">
        <f>IF(N9&lt;=$B$49,1+O8,0)</f>
        <v>#VALUE!</v>
      </c>
      <c r="P9" s="52">
        <f>IF(J9&lt;=$F$42,J9,"")</f>
        <v>0</v>
      </c>
      <c r="Q9" s="53">
        <f>IF(J9&lt;=$F$42,L9,"")</f>
        <v>-8.8310201773770841E-4</v>
      </c>
      <c r="R9" s="54" t="str">
        <f>IF(AND(J9&gt;=$F$42,J9&lt;=200),J9,"")</f>
        <v/>
      </c>
      <c r="S9" s="53" t="str">
        <f>IF(AND(J9&gt;=$F$42,J9&lt;=200),L9,"")</f>
        <v/>
      </c>
    </row>
    <row r="10" spans="1:29" ht="16" x14ac:dyDescent="0.2">
      <c r="A10" s="7" t="s">
        <v>2</v>
      </c>
      <c r="B10" s="47" t="s">
        <v>25</v>
      </c>
      <c r="C10" s="5"/>
      <c r="D10" s="5"/>
      <c r="E10" s="6"/>
      <c r="F10" s="1"/>
      <c r="J10" s="38">
        <v>1</v>
      </c>
      <c r="K10" s="40"/>
      <c r="L10" s="34">
        <f t="shared" ref="L10:L73" si="1">$F$39*((1-$F$40*J10)/(1+$F$41*J10))*(J10-$F$42)</f>
        <v>-8.6818387748361086E-4</v>
      </c>
      <c r="M10" s="35">
        <f t="shared" ref="M10:M73" si="2">$F$39*((1-2*$F$40*J10-$F$40*$F$41*(J10^2)+($F$41+$F$40)*$F$42)/(1+$F$41*J10)^2)</f>
        <v>1.4815798459489588E-5</v>
      </c>
      <c r="N10" s="44">
        <f t="shared" si="0"/>
        <v>5.5094596414363803E-4</v>
      </c>
      <c r="O10" s="45" t="e">
        <f t="shared" ref="O10:O73" si="3">IF(N10&lt;=$B$49,1+O9,0)</f>
        <v>#VALUE!</v>
      </c>
      <c r="P10" s="52">
        <f t="shared" ref="P10:P73" si="4">IF(J10&lt;=$F$42,J10,"")</f>
        <v>1</v>
      </c>
      <c r="Q10" s="53">
        <f t="shared" ref="Q10:Q73" si="5">IF(J10&lt;=$F$42,L10,"")</f>
        <v>-8.6818387748361086E-4</v>
      </c>
      <c r="R10" s="54" t="str">
        <f t="shared" ref="R10:R73" si="6">IF(AND(J10&gt;=$F$42,J10&lt;=200),J10,"")</f>
        <v/>
      </c>
      <c r="S10" s="53" t="str">
        <f t="shared" ref="S10:S73" si="7">IF(AND(J10&gt;=$F$42,J10&lt;=200),L10,"")</f>
        <v/>
      </c>
    </row>
    <row r="11" spans="1:29" ht="16" x14ac:dyDescent="0.2">
      <c r="A11" s="7"/>
      <c r="B11" s="47" t="s">
        <v>74</v>
      </c>
      <c r="C11" s="5"/>
      <c r="D11" s="5"/>
      <c r="E11" s="6"/>
      <c r="F11" s="1"/>
      <c r="J11" s="38">
        <v>2</v>
      </c>
      <c r="K11" s="40"/>
      <c r="L11" s="34">
        <f t="shared" si="1"/>
        <v>-8.5346904409312687E-4</v>
      </c>
      <c r="M11" s="35">
        <f t="shared" si="2"/>
        <v>1.4614547424263017E-5</v>
      </c>
      <c r="N11" s="44">
        <f t="shared" si="0"/>
        <v>5.4437139178429748E-4</v>
      </c>
      <c r="O11" s="45" t="e">
        <f t="shared" si="3"/>
        <v>#VALUE!</v>
      </c>
      <c r="P11" s="52">
        <f t="shared" si="4"/>
        <v>2</v>
      </c>
      <c r="Q11" s="53">
        <f t="shared" si="5"/>
        <v>-8.5346904409312687E-4</v>
      </c>
      <c r="R11" s="54" t="str">
        <f t="shared" si="6"/>
        <v/>
      </c>
      <c r="S11" s="53" t="str">
        <f t="shared" si="7"/>
        <v/>
      </c>
    </row>
    <row r="12" spans="1:29" x14ac:dyDescent="0.15">
      <c r="A12" s="7"/>
      <c r="B12" s="47" t="s">
        <v>75</v>
      </c>
      <c r="C12" s="5"/>
      <c r="D12" s="5"/>
      <c r="E12" s="6"/>
      <c r="F12" s="1"/>
      <c r="J12" s="38">
        <v>3</v>
      </c>
      <c r="K12" s="40"/>
      <c r="L12" s="34">
        <f t="shared" si="1"/>
        <v>-8.3895344257834108E-4</v>
      </c>
      <c r="M12" s="35">
        <f t="shared" si="2"/>
        <v>1.4417316680523182E-5</v>
      </c>
      <c r="N12" s="44">
        <f t="shared" si="0"/>
        <v>5.3791256165666094E-4</v>
      </c>
      <c r="O12" s="45" t="e">
        <f t="shared" si="3"/>
        <v>#VALUE!</v>
      </c>
      <c r="P12" s="52">
        <f t="shared" si="4"/>
        <v>3</v>
      </c>
      <c r="Q12" s="53">
        <f t="shared" si="5"/>
        <v>-8.3895344257834108E-4</v>
      </c>
      <c r="R12" s="54" t="str">
        <f t="shared" si="6"/>
        <v/>
      </c>
      <c r="S12" s="53" t="str">
        <f t="shared" si="7"/>
        <v/>
      </c>
    </row>
    <row r="13" spans="1:29" x14ac:dyDescent="0.15">
      <c r="A13" s="7"/>
      <c r="B13" s="47" t="s">
        <v>76</v>
      </c>
      <c r="C13" s="5"/>
      <c r="D13" s="5"/>
      <c r="E13" s="6"/>
      <c r="F13" s="1"/>
      <c r="J13" s="38">
        <v>4</v>
      </c>
      <c r="K13" s="40"/>
      <c r="L13" s="34">
        <f t="shared" si="1"/>
        <v>-8.2463310613144257E-4</v>
      </c>
      <c r="M13" s="35">
        <f t="shared" si="2"/>
        <v>1.4223999855172585E-5</v>
      </c>
      <c r="N13" s="44">
        <f t="shared" si="0"/>
        <v>5.3156675509005399E-4</v>
      </c>
      <c r="O13" s="45" t="e">
        <f t="shared" si="3"/>
        <v>#VALUE!</v>
      </c>
      <c r="P13" s="52">
        <f t="shared" si="4"/>
        <v>4</v>
      </c>
      <c r="Q13" s="53">
        <f t="shared" si="5"/>
        <v>-8.2463310613144257E-4</v>
      </c>
      <c r="R13" s="54" t="str">
        <f t="shared" si="6"/>
        <v/>
      </c>
      <c r="S13" s="53" t="str">
        <f t="shared" si="7"/>
        <v/>
      </c>
    </row>
    <row r="14" spans="1:29" ht="15" x14ac:dyDescent="0.15">
      <c r="A14" s="7"/>
      <c r="B14" s="47" t="s">
        <v>26</v>
      </c>
      <c r="C14" s="5"/>
      <c r="D14" s="5"/>
      <c r="E14" s="6"/>
      <c r="F14" s="1"/>
      <c r="J14" s="38">
        <v>5</v>
      </c>
      <c r="K14" s="40"/>
      <c r="L14" s="34">
        <f t="shared" si="1"/>
        <v>-8.1050417255852561E-4</v>
      </c>
      <c r="M14" s="35">
        <f t="shared" si="2"/>
        <v>1.403449407014625E-5</v>
      </c>
      <c r="N14" s="44">
        <f t="shared" si="0"/>
        <v>5.2533133327219443E-4</v>
      </c>
      <c r="O14" s="45" t="e">
        <f t="shared" si="3"/>
        <v>#VALUE!</v>
      </c>
      <c r="P14" s="52">
        <f t="shared" si="4"/>
        <v>5</v>
      </c>
      <c r="Q14" s="53">
        <f t="shared" si="5"/>
        <v>-8.1050417255852561E-4</v>
      </c>
      <c r="R14" s="54" t="str">
        <f t="shared" si="6"/>
        <v/>
      </c>
      <c r="S14" s="53" t="str">
        <f t="shared" si="7"/>
        <v/>
      </c>
    </row>
    <row r="15" spans="1:29" ht="16" x14ac:dyDescent="0.2">
      <c r="A15" s="21"/>
      <c r="B15" s="49" t="s">
        <v>27</v>
      </c>
      <c r="C15" s="8"/>
      <c r="D15" s="8"/>
      <c r="E15" s="9"/>
      <c r="F15" s="1"/>
      <c r="J15" s="38">
        <v>6</v>
      </c>
      <c r="K15" s="40"/>
      <c r="L15" s="34">
        <f t="shared" si="1"/>
        <v>-7.965628808535391E-4</v>
      </c>
      <c r="M15" s="35">
        <f t="shared" si="2"/>
        <v>1.3848699805511024E-5</v>
      </c>
      <c r="N15" s="44">
        <f t="shared" si="0"/>
        <v>5.192037344338631E-4</v>
      </c>
      <c r="O15" s="45" t="e">
        <f t="shared" si="3"/>
        <v>#VALUE!</v>
      </c>
      <c r="P15" s="52">
        <f t="shared" si="4"/>
        <v>6</v>
      </c>
      <c r="Q15" s="53">
        <f t="shared" si="5"/>
        <v>-7.965628808535391E-4</v>
      </c>
      <c r="R15" s="54" t="str">
        <f t="shared" si="6"/>
        <v/>
      </c>
      <c r="S15" s="53" t="str">
        <f t="shared" si="7"/>
        <v/>
      </c>
    </row>
    <row r="16" spans="1:29" x14ac:dyDescent="0.15">
      <c r="A16" s="1"/>
      <c r="B16" s="1"/>
      <c r="C16" s="1"/>
      <c r="D16" s="1"/>
      <c r="E16" s="1"/>
      <c r="F16" s="1"/>
      <c r="J16" s="38">
        <v>7</v>
      </c>
      <c r="K16" s="40"/>
      <c r="L16" s="34">
        <f t="shared" si="1"/>
        <v>-7.8280556790600187E-4</v>
      </c>
      <c r="M16" s="35">
        <f t="shared" si="2"/>
        <v>1.3666520768780349E-5</v>
      </c>
      <c r="N16" s="44">
        <f t="shared" si="0"/>
        <v>5.1318147114935014E-4</v>
      </c>
      <c r="O16" s="45" t="e">
        <f t="shared" si="3"/>
        <v>#VALUE!</v>
      </c>
      <c r="P16" s="52">
        <f t="shared" si="4"/>
        <v>7</v>
      </c>
      <c r="Q16" s="53">
        <f t="shared" si="5"/>
        <v>-7.8280556790600187E-4</v>
      </c>
      <c r="R16" s="54" t="str">
        <f t="shared" si="6"/>
        <v/>
      </c>
      <c r="S16" s="53" t="str">
        <f t="shared" si="7"/>
        <v/>
      </c>
    </row>
    <row r="17" spans="1:19" x14ac:dyDescent="0.15">
      <c r="A17" s="1"/>
      <c r="B17" s="1"/>
      <c r="C17" s="1"/>
      <c r="D17" s="1"/>
      <c r="E17" s="1"/>
      <c r="F17" s="1"/>
      <c r="J17" s="38">
        <v>8</v>
      </c>
      <c r="K17" s="40"/>
      <c r="L17" s="34">
        <f t="shared" si="1"/>
        <v>-7.6922866533642945E-4</v>
      </c>
      <c r="M17" s="35">
        <f t="shared" si="2"/>
        <v>1.3487863770124194E-5</v>
      </c>
      <c r="N17" s="44">
        <f t="shared" si="0"/>
        <v>5.0726212774723626E-4</v>
      </c>
      <c r="O17" s="45" t="e">
        <f t="shared" si="3"/>
        <v>#VALUE!</v>
      </c>
      <c r="P17" s="52">
        <f t="shared" si="4"/>
        <v>8</v>
      </c>
      <c r="Q17" s="53">
        <f t="shared" si="5"/>
        <v>-7.6922866533642945E-4</v>
      </c>
      <c r="R17" s="54" t="str">
        <f t="shared" si="6"/>
        <v/>
      </c>
      <c r="S17" s="53" t="str">
        <f t="shared" si="7"/>
        <v/>
      </c>
    </row>
    <row r="18" spans="1:19" ht="16" x14ac:dyDescent="0.2">
      <c r="A18" s="58" t="s">
        <v>0</v>
      </c>
      <c r="B18" s="22" t="s">
        <v>28</v>
      </c>
      <c r="C18" s="22" t="s">
        <v>29</v>
      </c>
      <c r="D18" s="22" t="s">
        <v>30</v>
      </c>
      <c r="E18" s="22" t="s">
        <v>31</v>
      </c>
      <c r="F18" s="12"/>
      <c r="G18" s="12"/>
      <c r="H18" s="12"/>
      <c r="J18" s="38">
        <v>9</v>
      </c>
      <c r="K18" s="40"/>
      <c r="L18" s="34">
        <f t="shared" si="1"/>
        <v>-7.558286964537297E-4</v>
      </c>
      <c r="M18" s="35">
        <f t="shared" si="2"/>
        <v>1.3312638603172141E-5</v>
      </c>
      <c r="N18" s="44">
        <f t="shared" si="0"/>
        <v>5.0144335782635933E-4</v>
      </c>
      <c r="O18" s="45" t="e">
        <f t="shared" si="3"/>
        <v>#VALUE!</v>
      </c>
      <c r="P18" s="52">
        <f t="shared" si="4"/>
        <v>9</v>
      </c>
      <c r="Q18" s="53">
        <f t="shared" si="5"/>
        <v>-7.558286964537297E-4</v>
      </c>
      <c r="R18" s="54" t="str">
        <f t="shared" si="6"/>
        <v/>
      </c>
      <c r="S18" s="53" t="str">
        <f t="shared" si="7"/>
        <v/>
      </c>
    </row>
    <row r="19" spans="1:19" ht="16" x14ac:dyDescent="0.2">
      <c r="A19" s="23" t="s">
        <v>32</v>
      </c>
      <c r="B19" s="23" t="s">
        <v>33</v>
      </c>
      <c r="C19" s="23" t="s">
        <v>33</v>
      </c>
      <c r="D19" s="23" t="s">
        <v>34</v>
      </c>
      <c r="E19" s="24"/>
      <c r="F19" s="1"/>
      <c r="J19" s="38">
        <v>10</v>
      </c>
      <c r="K19" s="40"/>
      <c r="L19" s="34">
        <f t="shared" si="1"/>
        <v>-7.4260227332911854E-4</v>
      </c>
      <c r="M19" s="35">
        <f t="shared" si="2"/>
        <v>1.3140757931124927E-5</v>
      </c>
      <c r="N19" s="44">
        <f t="shared" si="0"/>
        <v>4.9572288187208434E-4</v>
      </c>
      <c r="O19" s="45" t="e">
        <f t="shared" si="3"/>
        <v>#VALUE!</v>
      </c>
      <c r="P19" s="52">
        <f t="shared" si="4"/>
        <v>10</v>
      </c>
      <c r="Q19" s="53">
        <f t="shared" si="5"/>
        <v>-7.4260227332911854E-4</v>
      </c>
      <c r="R19" s="54" t="str">
        <f t="shared" si="6"/>
        <v/>
      </c>
      <c r="S19" s="53" t="str">
        <f t="shared" si="7"/>
        <v/>
      </c>
    </row>
    <row r="20" spans="1:19" x14ac:dyDescent="0.15">
      <c r="A20" s="33">
        <v>0</v>
      </c>
      <c r="B20" s="74">
        <v>-8.2014839999999996E-4</v>
      </c>
      <c r="C20" s="36">
        <f>IF(B20="","",$F$39*((1-$F$40*A20)/(1+$F$41*A20))*(A20-$F$42))</f>
        <v>-8.8310201773770841E-4</v>
      </c>
      <c r="D20" s="35">
        <f>IF(B20="","",(B20-C20)^2)</f>
        <v>3.9631579862655208E-9</v>
      </c>
      <c r="E20" s="36">
        <f>(CORREL(B20:B34,C20:C34))^2</f>
        <v>0.90053431429170905</v>
      </c>
      <c r="F20" s="13"/>
      <c r="G20" s="13"/>
      <c r="H20" s="13"/>
      <c r="J20" s="38">
        <v>11</v>
      </c>
      <c r="K20" s="40"/>
      <c r="L20" s="34">
        <f t="shared" si="1"/>
        <v>-7.2954609398138276E-4</v>
      </c>
      <c r="M20" s="35">
        <f t="shared" si="2"/>
        <v>1.2972137177905994E-5</v>
      </c>
      <c r="N20" s="44">
        <f t="shared" si="0"/>
        <v>4.900984849682509E-4</v>
      </c>
      <c r="O20" s="45" t="e">
        <f t="shared" si="3"/>
        <v>#VALUE!</v>
      </c>
      <c r="P20" s="52">
        <f t="shared" si="4"/>
        <v>11</v>
      </c>
      <c r="Q20" s="53">
        <f t="shared" si="5"/>
        <v>-7.2954609398138276E-4</v>
      </c>
      <c r="R20" s="54" t="str">
        <f t="shared" si="6"/>
        <v/>
      </c>
      <c r="S20" s="53" t="str">
        <f t="shared" si="7"/>
        <v/>
      </c>
    </row>
    <row r="21" spans="1:19" x14ac:dyDescent="0.15">
      <c r="A21" s="33">
        <v>100.00020000000001</v>
      </c>
      <c r="B21" s="74">
        <v>-3.0051079999999998E-4</v>
      </c>
      <c r="C21" s="36">
        <f t="shared" ref="C21:C34" si="8">IF(B21="","",$F$39*((1-$F$40*A21)/(1+$F$41*A21))*(A21-$F$42))</f>
        <v>2.1595192049932957E-6</v>
      </c>
      <c r="D21" s="35">
        <f t="shared" ref="D21:D34" si="9">IF(B21="","",(B21-C21)^2)</f>
        <v>9.1609322127652524E-8</v>
      </c>
      <c r="E21" s="14"/>
      <c r="F21" s="13"/>
      <c r="G21" s="13"/>
      <c r="H21" s="13"/>
      <c r="J21" s="38">
        <v>12</v>
      </c>
      <c r="K21" s="40"/>
      <c r="L21" s="34">
        <f t="shared" si="1"/>
        <v>-7.16656939668576E-4</v>
      </c>
      <c r="M21" s="35">
        <f t="shared" si="2"/>
        <v>1.2806694424099724E-5</v>
      </c>
      <c r="N21" s="44">
        <f t="shared" si="0"/>
        <v>4.8456801460041137E-4</v>
      </c>
      <c r="O21" s="45" t="e">
        <f t="shared" si="3"/>
        <v>#VALUE!</v>
      </c>
      <c r="P21" s="52">
        <f t="shared" si="4"/>
        <v>12</v>
      </c>
      <c r="Q21" s="53">
        <f t="shared" si="5"/>
        <v>-7.16656939668576E-4</v>
      </c>
      <c r="R21" s="54" t="str">
        <f t="shared" si="6"/>
        <v/>
      </c>
      <c r="S21" s="53" t="str">
        <f t="shared" si="7"/>
        <v/>
      </c>
    </row>
    <row r="22" spans="1:19" x14ac:dyDescent="0.15">
      <c r="A22" s="33">
        <v>300.00020000000001</v>
      </c>
      <c r="B22" s="74">
        <v>2.0933019999999999E-4</v>
      </c>
      <c r="C22" s="36">
        <f t="shared" si="8"/>
        <v>5.5733649600387086E-4</v>
      </c>
      <c r="D22" s="35">
        <f t="shared" si="9"/>
        <v>1.2110838205833379E-7</v>
      </c>
      <c r="E22" s="14"/>
      <c r="F22" s="13"/>
      <c r="G22" s="13"/>
      <c r="H22" s="13"/>
      <c r="J22" s="38">
        <v>13</v>
      </c>
      <c r="K22" s="40"/>
      <c r="L22" s="34">
        <f t="shared" si="1"/>
        <v>-7.0393167228148502E-4</v>
      </c>
      <c r="M22" s="35">
        <f t="shared" si="2"/>
        <v>1.2644350307437344E-5</v>
      </c>
      <c r="N22" s="44">
        <f t="shared" si="0"/>
        <v>4.7912937854619928E-4</v>
      </c>
      <c r="O22" s="45" t="e">
        <f t="shared" si="3"/>
        <v>#VALUE!</v>
      </c>
      <c r="P22" s="52">
        <f t="shared" si="4"/>
        <v>13</v>
      </c>
      <c r="Q22" s="53">
        <f t="shared" si="5"/>
        <v>-7.0393167228148502E-4</v>
      </c>
      <c r="R22" s="54" t="str">
        <f t="shared" si="6"/>
        <v/>
      </c>
      <c r="S22" s="53" t="str">
        <f t="shared" si="7"/>
        <v/>
      </c>
    </row>
    <row r="23" spans="1:19" x14ac:dyDescent="0.15">
      <c r="A23" s="33">
        <v>499.99930000000001</v>
      </c>
      <c r="B23" s="74">
        <v>6.1560059999999999E-4</v>
      </c>
      <c r="C23" s="36">
        <f t="shared" si="8"/>
        <v>7.4497241907709279E-4</v>
      </c>
      <c r="D23" s="35">
        <f t="shared" si="9"/>
        <v>1.6737067571316035E-8</v>
      </c>
      <c r="E23" s="14"/>
      <c r="F23" s="13"/>
      <c r="G23" s="13"/>
      <c r="H23" s="13"/>
      <c r="J23" s="38">
        <v>14</v>
      </c>
      <c r="K23" s="40"/>
      <c r="L23" s="34">
        <f t="shared" si="1"/>
        <v>-6.9136723183442928E-4</v>
      </c>
      <c r="M23" s="35">
        <f t="shared" si="2"/>
        <v>1.2485027927604673E-5</v>
      </c>
      <c r="N23" s="44">
        <f t="shared" si="0"/>
        <v>4.7378054284888106E-4</v>
      </c>
      <c r="O23" s="45" t="e">
        <f t="shared" si="3"/>
        <v>#VALUE!</v>
      </c>
      <c r="P23" s="52">
        <f t="shared" si="4"/>
        <v>14</v>
      </c>
      <c r="Q23" s="53">
        <f t="shared" si="5"/>
        <v>-6.9136723183442928E-4</v>
      </c>
      <c r="R23" s="54" t="str">
        <f t="shared" si="6"/>
        <v/>
      </c>
      <c r="S23" s="53" t="str">
        <f t="shared" si="7"/>
        <v/>
      </c>
    </row>
    <row r="24" spans="1:19" x14ac:dyDescent="0.15">
      <c r="A24" s="33">
        <v>800.00059999999996</v>
      </c>
      <c r="B24" s="74">
        <v>7.6624129999999996E-4</v>
      </c>
      <c r="C24" s="36">
        <f t="shared" si="8"/>
        <v>8.4685927392080351E-4</v>
      </c>
      <c r="D24" s="35">
        <f t="shared" si="9"/>
        <v>6.4992577190953605E-9</v>
      </c>
      <c r="E24" s="14"/>
      <c r="F24" s="13"/>
      <c r="G24" s="13"/>
      <c r="H24" s="13"/>
      <c r="J24" s="38">
        <v>15</v>
      </c>
      <c r="K24" s="40"/>
      <c r="L24" s="34">
        <f t="shared" si="1"/>
        <v>-6.7896063404918278E-4</v>
      </c>
      <c r="M24" s="35">
        <f t="shared" si="2"/>
        <v>1.2328652755158663E-5</v>
      </c>
      <c r="N24" s="44">
        <f t="shared" si="0"/>
        <v>4.6851952987034501E-4</v>
      </c>
      <c r="O24" s="45" t="e">
        <f t="shared" si="3"/>
        <v>#VALUE!</v>
      </c>
      <c r="P24" s="52">
        <f t="shared" si="4"/>
        <v>15</v>
      </c>
      <c r="Q24" s="53">
        <f t="shared" si="5"/>
        <v>-6.7896063404918278E-4</v>
      </c>
      <c r="R24" s="54" t="str">
        <f t="shared" si="6"/>
        <v/>
      </c>
      <c r="S24" s="53" t="str">
        <f t="shared" si="7"/>
        <v/>
      </c>
    </row>
    <row r="25" spans="1:19" x14ac:dyDescent="0.15">
      <c r="A25" s="33">
        <v>999.99969999999996</v>
      </c>
      <c r="B25" s="74">
        <v>6.4001010000000003E-4</v>
      </c>
      <c r="C25" s="36">
        <f t="shared" si="8"/>
        <v>8.6815074832266657E-4</v>
      </c>
      <c r="D25" s="35">
        <f t="shared" si="9"/>
        <v>5.204815541708661E-8</v>
      </c>
      <c r="E25" s="14"/>
      <c r="F25" s="13"/>
      <c r="G25" s="13"/>
      <c r="H25" s="13"/>
      <c r="J25" s="38">
        <v>16</v>
      </c>
      <c r="K25" s="40"/>
      <c r="L25" s="34">
        <f t="shared" si="1"/>
        <v>-6.6670896802800824E-4</v>
      </c>
      <c r="M25" s="35">
        <f t="shared" si="2"/>
        <v>1.2175152544351148E-5</v>
      </c>
      <c r="N25" s="44">
        <f t="shared" si="0"/>
        <v>4.6334441641996972E-4</v>
      </c>
      <c r="O25" s="45" t="e">
        <f t="shared" si="3"/>
        <v>#VALUE!</v>
      </c>
      <c r="P25" s="52">
        <f t="shared" si="4"/>
        <v>16</v>
      </c>
      <c r="Q25" s="53">
        <f t="shared" si="5"/>
        <v>-6.6670896802800824E-4</v>
      </c>
      <c r="R25" s="54" t="str">
        <f t="shared" si="6"/>
        <v/>
      </c>
      <c r="S25" s="53" t="str">
        <f t="shared" si="7"/>
        <v/>
      </c>
    </row>
    <row r="26" spans="1:19" x14ac:dyDescent="0.15">
      <c r="A26" s="33">
        <v>1299.998</v>
      </c>
      <c r="B26" s="74">
        <v>1.0248142E-3</v>
      </c>
      <c r="C26" s="36">
        <f t="shared" si="8"/>
        <v>8.6882052514016895E-4</v>
      </c>
      <c r="D26" s="35">
        <f t="shared" si="9"/>
        <v>2.4334026596274703E-8</v>
      </c>
      <c r="E26" s="14"/>
      <c r="F26" s="13"/>
      <c r="G26" s="13"/>
      <c r="H26" s="13"/>
      <c r="J26" s="38">
        <v>17</v>
      </c>
      <c r="K26" s="40"/>
      <c r="L26" s="34">
        <f t="shared" si="1"/>
        <v>-6.5460939401199318E-4</v>
      </c>
      <c r="M26" s="35">
        <f t="shared" si="2"/>
        <v>1.2024457249669567E-5</v>
      </c>
      <c r="N26" s="44">
        <f t="shared" si="0"/>
        <v>4.5825333195599437E-4</v>
      </c>
      <c r="O26" s="45" t="e">
        <f t="shared" si="3"/>
        <v>#VALUE!</v>
      </c>
      <c r="P26" s="52">
        <f t="shared" si="4"/>
        <v>17</v>
      </c>
      <c r="Q26" s="53">
        <f t="shared" si="5"/>
        <v>-6.5460939401199318E-4</v>
      </c>
      <c r="R26" s="54" t="str">
        <f t="shared" si="6"/>
        <v/>
      </c>
      <c r="S26" s="53" t="str">
        <f t="shared" si="7"/>
        <v/>
      </c>
    </row>
    <row r="27" spans="1:19" x14ac:dyDescent="0.15">
      <c r="A27" s="33">
        <v>1499.9989</v>
      </c>
      <c r="B27" s="74">
        <v>9.1448820000000004E-4</v>
      </c>
      <c r="C27" s="36">
        <f t="shared" si="8"/>
        <v>8.5728310048781135E-4</v>
      </c>
      <c r="D27" s="35">
        <f t="shared" si="9"/>
        <v>3.2724234101994116E-9</v>
      </c>
      <c r="E27" s="14"/>
      <c r="F27" s="13"/>
      <c r="G27" s="13"/>
      <c r="H27" s="13"/>
      <c r="J27" s="38">
        <v>18</v>
      </c>
      <c r="K27" s="40"/>
      <c r="L27" s="34">
        <f t="shared" si="1"/>
        <v>-6.4265914122106432E-4</v>
      </c>
      <c r="M27" s="35">
        <f t="shared" si="2"/>
        <v>1.1876498945914489E-5</v>
      </c>
      <c r="N27" s="44">
        <f t="shared" si="0"/>
        <v>4.5324445685618488E-4</v>
      </c>
      <c r="O27" s="45" t="e">
        <f t="shared" si="3"/>
        <v>#VALUE!</v>
      </c>
      <c r="P27" s="52">
        <f t="shared" si="4"/>
        <v>18</v>
      </c>
      <c r="Q27" s="53">
        <f t="shared" si="5"/>
        <v>-6.4265914122106432E-4</v>
      </c>
      <c r="R27" s="54" t="str">
        <f t="shared" si="6"/>
        <v/>
      </c>
      <c r="S27" s="53" t="str">
        <f t="shared" si="7"/>
        <v/>
      </c>
    </row>
    <row r="28" spans="1:19" x14ac:dyDescent="0.15">
      <c r="A28" s="33">
        <v>1799.9974</v>
      </c>
      <c r="B28" s="74">
        <v>9.274795E-4</v>
      </c>
      <c r="C28" s="36">
        <f t="shared" si="8"/>
        <v>8.293886283073826E-4</v>
      </c>
      <c r="D28" s="35">
        <f t="shared" si="9"/>
        <v>9.6218191094175293E-9</v>
      </c>
      <c r="E28" s="14"/>
      <c r="F28" s="13"/>
      <c r="G28" s="13"/>
      <c r="H28" s="13"/>
      <c r="J28" s="38">
        <v>19</v>
      </c>
      <c r="K28" s="40"/>
      <c r="L28" s="34">
        <f t="shared" si="1"/>
        <v>-6.3085550577222547E-4</v>
      </c>
      <c r="M28" s="35">
        <f t="shared" si="2"/>
        <v>1.1731211751643812E-5</v>
      </c>
      <c r="N28" s="44">
        <f t="shared" si="0"/>
        <v>4.4831602075474301E-4</v>
      </c>
      <c r="O28" s="45" t="e">
        <f t="shared" si="3"/>
        <v>#VALUE!</v>
      </c>
      <c r="P28" s="52">
        <f t="shared" si="4"/>
        <v>19</v>
      </c>
      <c r="Q28" s="53">
        <f t="shared" si="5"/>
        <v>-6.3085550577222547E-4</v>
      </c>
      <c r="R28" s="54" t="str">
        <f t="shared" si="6"/>
        <v/>
      </c>
      <c r="S28" s="53" t="str">
        <f t="shared" si="7"/>
        <v/>
      </c>
    </row>
    <row r="29" spans="1:19" x14ac:dyDescent="0.15">
      <c r="A29" s="33">
        <v>1999.9967999999999</v>
      </c>
      <c r="B29" s="74">
        <v>9.6041910000000004E-4</v>
      </c>
      <c r="C29" s="36">
        <f t="shared" si="8"/>
        <v>8.0603512048463201E-4</v>
      </c>
      <c r="D29" s="35">
        <f t="shared" si="9"/>
        <v>2.3834413131001576E-8</v>
      </c>
      <c r="E29" s="14"/>
      <c r="F29" s="13"/>
      <c r="G29" s="13"/>
      <c r="H29" s="13"/>
      <c r="J29" s="38">
        <v>20</v>
      </c>
      <c r="K29" s="40"/>
      <c r="L29" s="34">
        <f t="shared" si="1"/>
        <v>-6.191958486727355E-4</v>
      </c>
      <c r="M29" s="35">
        <f t="shared" si="2"/>
        <v>1.1588531755822389E-5</v>
      </c>
      <c r="N29" s="44">
        <f t="shared" si="0"/>
        <v>4.4346630094256167E-4</v>
      </c>
      <c r="O29" s="45" t="e">
        <f t="shared" si="3"/>
        <v>#VALUE!</v>
      </c>
      <c r="P29" s="52">
        <f t="shared" si="4"/>
        <v>20</v>
      </c>
      <c r="Q29" s="53">
        <f t="shared" si="5"/>
        <v>-6.191958486727355E-4</v>
      </c>
      <c r="R29" s="54" t="str">
        <f t="shared" si="6"/>
        <v/>
      </c>
      <c r="S29" s="53" t="str">
        <f t="shared" si="7"/>
        <v/>
      </c>
    </row>
    <row r="30" spans="1:19" x14ac:dyDescent="0.15">
      <c r="A30" s="33">
        <v>2299.9962999999998</v>
      </c>
      <c r="B30" s="74">
        <v>8.5731990000000003E-4</v>
      </c>
      <c r="C30" s="36">
        <f t="shared" si="8"/>
        <v>7.6620226097401107E-4</v>
      </c>
      <c r="D30" s="35">
        <f t="shared" si="9"/>
        <v>8.3024241416704261E-9</v>
      </c>
      <c r="E30" s="14"/>
      <c r="F30" s="13"/>
      <c r="G30" s="13"/>
      <c r="H30" s="13"/>
      <c r="J30" s="38">
        <v>21</v>
      </c>
      <c r="K30" s="40"/>
      <c r="L30" s="34">
        <f t="shared" si="1"/>
        <v>-6.0767759388509934E-4</v>
      </c>
      <c r="M30" s="35">
        <f t="shared" si="2"/>
        <v>1.1448396947524773E-5</v>
      </c>
      <c r="N30" s="44">
        <f t="shared" si="0"/>
        <v>4.3869362082807307E-4</v>
      </c>
      <c r="O30" s="45" t="e">
        <f t="shared" si="3"/>
        <v>#VALUE!</v>
      </c>
      <c r="P30" s="52">
        <f t="shared" si="4"/>
        <v>21</v>
      </c>
      <c r="Q30" s="53">
        <f t="shared" si="5"/>
        <v>-6.0767759388509934E-4</v>
      </c>
      <c r="R30" s="54" t="str">
        <f t="shared" si="6"/>
        <v/>
      </c>
      <c r="S30" s="53" t="str">
        <f t="shared" si="7"/>
        <v/>
      </c>
    </row>
    <row r="31" spans="1:19" x14ac:dyDescent="0.15">
      <c r="A31" s="33">
        <v>2500.0056</v>
      </c>
      <c r="B31" s="74">
        <v>8.2175629999999998E-4</v>
      </c>
      <c r="C31" s="36">
        <f t="shared" si="8"/>
        <v>7.3729068458344498E-4</v>
      </c>
      <c r="D31" s="35">
        <f t="shared" si="9"/>
        <v>7.1344401876973726E-9</v>
      </c>
      <c r="E31" s="14"/>
      <c r="F31" s="13"/>
      <c r="G31" s="13"/>
      <c r="H31" s="13"/>
      <c r="J31" s="38">
        <v>22</v>
      </c>
      <c r="K31" s="40"/>
      <c r="L31" s="34">
        <f t="shared" si="1"/>
        <v>-5.9629822646088822E-4</v>
      </c>
      <c r="M31" s="35">
        <f t="shared" si="2"/>
        <v>1.1310747148546533E-5</v>
      </c>
      <c r="N31" s="44">
        <f t="shared" si="0"/>
        <v>4.3399634845606378E-4</v>
      </c>
      <c r="O31" s="45" t="e">
        <f t="shared" si="3"/>
        <v>#VALUE!</v>
      </c>
      <c r="P31" s="52">
        <f t="shared" si="4"/>
        <v>22</v>
      </c>
      <c r="Q31" s="53">
        <f t="shared" si="5"/>
        <v>-5.9629822646088822E-4</v>
      </c>
      <c r="R31" s="54" t="str">
        <f t="shared" si="6"/>
        <v/>
      </c>
      <c r="S31" s="53" t="str">
        <f t="shared" si="7"/>
        <v/>
      </c>
    </row>
    <row r="32" spans="1:19" x14ac:dyDescent="0.15">
      <c r="A32" s="33">
        <v>2799.9888999999998</v>
      </c>
      <c r="B32" s="74">
        <v>7.7304049999999997E-4</v>
      </c>
      <c r="C32" s="36">
        <f t="shared" si="8"/>
        <v>6.9135457525591E-4</v>
      </c>
      <c r="D32" s="35">
        <f t="shared" si="9"/>
        <v>6.6725903012971297E-9</v>
      </c>
      <c r="E32" s="14"/>
      <c r="F32" s="13"/>
      <c r="G32" s="13"/>
      <c r="H32" s="13"/>
      <c r="J32" s="38">
        <v>23</v>
      </c>
      <c r="K32" s="40"/>
      <c r="L32" s="34">
        <f t="shared" si="1"/>
        <v>-5.850552907405535E-4</v>
      </c>
      <c r="M32" s="35">
        <f t="shared" si="2"/>
        <v>1.1175523948787542E-5</v>
      </c>
      <c r="N32" s="44">
        <f t="shared" si="0"/>
        <v>4.2937289508196864E-4</v>
      </c>
      <c r="O32" s="45" t="e">
        <f t="shared" si="3"/>
        <v>#VALUE!</v>
      </c>
      <c r="P32" s="52">
        <f t="shared" si="4"/>
        <v>23</v>
      </c>
      <c r="Q32" s="53">
        <f t="shared" si="5"/>
        <v>-5.850552907405535E-4</v>
      </c>
      <c r="R32" s="54" t="str">
        <f t="shared" si="6"/>
        <v/>
      </c>
      <c r="S32" s="53" t="str">
        <f t="shared" si="7"/>
        <v/>
      </c>
    </row>
    <row r="33" spans="1:19" x14ac:dyDescent="0.15">
      <c r="A33" s="33">
        <v>2999.9922000000001</v>
      </c>
      <c r="B33" s="33">
        <v>7.1093510000000003E-4</v>
      </c>
      <c r="C33" s="36">
        <f t="shared" si="8"/>
        <v>6.5939437456497116E-4</v>
      </c>
      <c r="D33" s="35">
        <f t="shared" si="9"/>
        <v>2.6564463783690321E-9</v>
      </c>
      <c r="E33" s="14"/>
      <c r="F33" s="13"/>
      <c r="G33" s="13"/>
      <c r="H33" s="13"/>
      <c r="J33" s="38">
        <v>24</v>
      </c>
      <c r="K33" s="40"/>
      <c r="L33" s="34">
        <f t="shared" si="1"/>
        <v>-5.7394638861652338E-4</v>
      </c>
      <c r="M33" s="35">
        <f t="shared" si="2"/>
        <v>1.1042670644277607E-5</v>
      </c>
      <c r="N33" s="44">
        <f t="shared" si="0"/>
        <v>4.248217137992656E-4</v>
      </c>
      <c r="O33" s="45" t="e">
        <f t="shared" si="3"/>
        <v>#VALUE!</v>
      </c>
      <c r="P33" s="52">
        <f t="shared" si="4"/>
        <v>24</v>
      </c>
      <c r="Q33" s="53">
        <f t="shared" si="5"/>
        <v>-5.7394638861652338E-4</v>
      </c>
      <c r="R33" s="54" t="str">
        <f t="shared" si="6"/>
        <v/>
      </c>
      <c r="S33" s="53" t="str">
        <f t="shared" si="7"/>
        <v/>
      </c>
    </row>
    <row r="34" spans="1:19" x14ac:dyDescent="0.15">
      <c r="A34" s="33"/>
      <c r="B34" s="33"/>
      <c r="C34" s="34" t="str">
        <f t="shared" si="8"/>
        <v/>
      </c>
      <c r="D34" s="35" t="str">
        <f t="shared" si="9"/>
        <v/>
      </c>
      <c r="E34" s="14"/>
      <c r="F34" s="13"/>
      <c r="G34" s="13"/>
      <c r="H34" s="13"/>
      <c r="J34" s="38">
        <v>25</v>
      </c>
      <c r="K34" s="39"/>
      <c r="L34" s="34">
        <f t="shared" si="1"/>
        <v>-5.6296917785700622E-4</v>
      </c>
      <c r="M34" s="35">
        <f t="shared" si="2"/>
        <v>1.0912132177721747E-5</v>
      </c>
      <c r="N34" s="44">
        <f t="shared" si="0"/>
        <v>4.2034129821771627E-4</v>
      </c>
      <c r="O34" s="45" t="e">
        <f t="shared" si="3"/>
        <v>#VALUE!</v>
      </c>
      <c r="P34" s="52">
        <f t="shared" si="4"/>
        <v>25</v>
      </c>
      <c r="Q34" s="53">
        <f t="shared" si="5"/>
        <v>-5.6296917785700622E-4</v>
      </c>
      <c r="R34" s="54" t="str">
        <f t="shared" si="6"/>
        <v/>
      </c>
      <c r="S34" s="53" t="str">
        <f t="shared" si="7"/>
        <v/>
      </c>
    </row>
    <row r="35" spans="1:19" x14ac:dyDescent="0.15">
      <c r="A35" s="25" t="s">
        <v>35</v>
      </c>
      <c r="B35" s="26"/>
      <c r="C35" s="27"/>
      <c r="D35" s="35">
        <f>SUM(D20:D34)</f>
        <v>3.7779392613567705E-7</v>
      </c>
      <c r="E35" s="1"/>
      <c r="F35" s="13"/>
      <c r="G35" s="13"/>
      <c r="H35" s="13"/>
      <c r="J35" s="38">
        <v>26</v>
      </c>
      <c r="K35" s="40"/>
      <c r="L35" s="34">
        <f t="shared" si="1"/>
        <v>-5.5212137048803688E-4</v>
      </c>
      <c r="M35" s="35">
        <f t="shared" si="2"/>
        <v>1.078385508144862E-5</v>
      </c>
      <c r="N35" s="44">
        <f t="shared" si="0"/>
        <v>4.1593018119029965E-4</v>
      </c>
      <c r="O35" s="45" t="e">
        <f t="shared" si="3"/>
        <v>#VALUE!</v>
      </c>
      <c r="P35" s="52">
        <f t="shared" si="4"/>
        <v>26</v>
      </c>
      <c r="Q35" s="53">
        <f t="shared" si="5"/>
        <v>-5.5212137048803688E-4</v>
      </c>
      <c r="R35" s="54" t="str">
        <f t="shared" si="6"/>
        <v/>
      </c>
      <c r="S35" s="53" t="str">
        <f t="shared" si="7"/>
        <v/>
      </c>
    </row>
    <row r="36" spans="1:19" x14ac:dyDescent="0.15">
      <c r="A36" s="1"/>
      <c r="B36" s="1"/>
      <c r="C36" s="1"/>
      <c r="D36" s="1"/>
      <c r="E36" s="1"/>
      <c r="F36" s="1"/>
      <c r="J36" s="38">
        <v>27</v>
      </c>
      <c r="K36" s="40"/>
      <c r="L36" s="34">
        <f t="shared" si="1"/>
        <v>-5.4140073123141758E-4</v>
      </c>
      <c r="M36" s="35">
        <f t="shared" si="2"/>
        <v>1.0657787422651827E-5</v>
      </c>
      <c r="N36" s="44">
        <f t="shared" si="0"/>
        <v>4.1158693358678842E-4</v>
      </c>
      <c r="O36" s="45" t="e">
        <f t="shared" si="3"/>
        <v>#VALUE!</v>
      </c>
      <c r="P36" s="52">
        <f t="shared" si="4"/>
        <v>27</v>
      </c>
      <c r="Q36" s="53">
        <f t="shared" si="5"/>
        <v>-5.4140073123141758E-4</v>
      </c>
      <c r="R36" s="54" t="str">
        <f t="shared" si="6"/>
        <v/>
      </c>
      <c r="S36" s="53" t="str">
        <f t="shared" si="7"/>
        <v/>
      </c>
    </row>
    <row r="37" spans="1:19" x14ac:dyDescent="0.15">
      <c r="A37" s="28" t="s">
        <v>22</v>
      </c>
      <c r="B37" s="29"/>
      <c r="C37" s="30"/>
      <c r="D37" s="1"/>
      <c r="E37" s="25" t="s">
        <v>21</v>
      </c>
      <c r="F37" s="62"/>
      <c r="G37" s="30"/>
      <c r="J37" s="38">
        <v>28</v>
      </c>
      <c r="K37" s="40"/>
      <c r="L37" s="34">
        <f t="shared" si="1"/>
        <v>-5.3080507599631815E-4</v>
      </c>
      <c r="M37" s="35">
        <f t="shared" si="2"/>
        <v>1.0533878750819317E-5</v>
      </c>
      <c r="N37" s="44">
        <f t="shared" si="0"/>
        <v>4.0731016311202207E-4</v>
      </c>
      <c r="O37" s="45" t="e">
        <f t="shared" si="3"/>
        <v>#VALUE!</v>
      </c>
      <c r="P37" s="52">
        <f t="shared" si="4"/>
        <v>28</v>
      </c>
      <c r="Q37" s="53">
        <f t="shared" si="5"/>
        <v>-5.3080507599631815E-4</v>
      </c>
      <c r="R37" s="54" t="str">
        <f t="shared" si="6"/>
        <v/>
      </c>
      <c r="S37" s="53" t="str">
        <f t="shared" si="7"/>
        <v/>
      </c>
    </row>
    <row r="38" spans="1:19" x14ac:dyDescent="0.15">
      <c r="A38" s="31" t="s">
        <v>3</v>
      </c>
      <c r="B38" s="31" t="s">
        <v>5</v>
      </c>
      <c r="C38" s="31" t="s">
        <v>6</v>
      </c>
      <c r="D38" s="1"/>
      <c r="E38" s="23" t="s">
        <v>3</v>
      </c>
      <c r="F38" s="23" t="s">
        <v>4</v>
      </c>
      <c r="G38" s="23" t="s">
        <v>38</v>
      </c>
      <c r="J38" s="38">
        <v>29</v>
      </c>
      <c r="K38" s="40"/>
      <c r="L38" s="34">
        <f t="shared" si="1"/>
        <v>-5.2033227042239181E-4</v>
      </c>
      <c r="M38" s="35">
        <f t="shared" si="2"/>
        <v>1.0412080047251576E-5</v>
      </c>
      <c r="N38" s="44">
        <f t="shared" si="0"/>
        <v>4.0309851316700938E-4</v>
      </c>
      <c r="O38" s="45" t="e">
        <f t="shared" si="3"/>
        <v>#VALUE!</v>
      </c>
      <c r="P38" s="52">
        <f t="shared" si="4"/>
        <v>29</v>
      </c>
      <c r="Q38" s="53">
        <f t="shared" si="5"/>
        <v>-5.2033227042239181E-4</v>
      </c>
      <c r="R38" s="54" t="str">
        <f t="shared" si="6"/>
        <v/>
      </c>
      <c r="S38" s="53" t="str">
        <f t="shared" si="7"/>
        <v/>
      </c>
    </row>
    <row r="39" spans="1:19" ht="16" x14ac:dyDescent="0.2">
      <c r="A39" s="41" t="s">
        <v>77</v>
      </c>
      <c r="B39" s="33">
        <v>5.0000000000000001E-4</v>
      </c>
      <c r="C39" s="33">
        <v>4.9999999999999998E-7</v>
      </c>
      <c r="D39" s="1"/>
      <c r="E39" s="41" t="s">
        <v>77</v>
      </c>
      <c r="F39" s="35">
        <v>8.86787397471685E-6</v>
      </c>
      <c r="G39" s="59" t="s">
        <v>43</v>
      </c>
      <c r="J39" s="38">
        <v>30</v>
      </c>
      <c r="K39" s="40"/>
      <c r="L39" s="34">
        <f t="shared" si="1"/>
        <v>-5.0998022847236846E-4</v>
      </c>
      <c r="M39" s="35">
        <f t="shared" si="2"/>
        <v>1.0292343676574218E-5</v>
      </c>
      <c r="N39" s="44">
        <f t="shared" si="0"/>
        <v>3.9895066175109226E-4</v>
      </c>
      <c r="O39" s="45" t="e">
        <f t="shared" si="3"/>
        <v>#VALUE!</v>
      </c>
      <c r="P39" s="52">
        <f t="shared" si="4"/>
        <v>30</v>
      </c>
      <c r="Q39" s="53">
        <f t="shared" si="5"/>
        <v>-5.0998022847236846E-4</v>
      </c>
      <c r="R39" s="54" t="str">
        <f t="shared" si="6"/>
        <v/>
      </c>
      <c r="S39" s="53" t="str">
        <f t="shared" si="7"/>
        <v/>
      </c>
    </row>
    <row r="40" spans="1:19" x14ac:dyDescent="0.15">
      <c r="A40" s="41" t="s">
        <v>78</v>
      </c>
      <c r="B40" s="33">
        <v>2.9999999999999997E-4</v>
      </c>
      <c r="C40" s="33">
        <v>1E-4</v>
      </c>
      <c r="D40" s="1"/>
      <c r="E40" s="41" t="s">
        <v>78</v>
      </c>
      <c r="F40" s="35">
        <v>1.4999999999999999E-4</v>
      </c>
      <c r="G40" s="59"/>
      <c r="J40" s="38">
        <v>31</v>
      </c>
      <c r="K40" s="40"/>
      <c r="L40" s="34">
        <f t="shared" si="1"/>
        <v>-4.9974691107217671E-4</v>
      </c>
      <c r="M40" s="35">
        <f t="shared" si="2"/>
        <v>1.0174623340155538E-5</v>
      </c>
      <c r="N40" s="44">
        <f t="shared" si="0"/>
        <v>3.9486532040347935E-4</v>
      </c>
      <c r="O40" s="45" t="e">
        <f t="shared" si="3"/>
        <v>#VALUE!</v>
      </c>
      <c r="P40" s="52">
        <f t="shared" si="4"/>
        <v>31</v>
      </c>
      <c r="Q40" s="53">
        <f t="shared" si="5"/>
        <v>-4.9974691107217671E-4</v>
      </c>
      <c r="R40" s="54" t="str">
        <f t="shared" si="6"/>
        <v/>
      </c>
      <c r="S40" s="53" t="str">
        <f t="shared" si="7"/>
        <v/>
      </c>
    </row>
    <row r="41" spans="1:19" x14ac:dyDescent="0.15">
      <c r="A41" s="41" t="s">
        <v>79</v>
      </c>
      <c r="B41" s="33">
        <v>1</v>
      </c>
      <c r="C41" s="33">
        <v>1E-4</v>
      </c>
      <c r="D41" s="1"/>
      <c r="E41" s="41" t="s">
        <v>79</v>
      </c>
      <c r="F41" s="35">
        <v>6.8178312352131475E-3</v>
      </c>
      <c r="G41" s="59"/>
      <c r="J41" s="38">
        <v>32</v>
      </c>
      <c r="K41" s="40"/>
      <c r="L41" s="34">
        <f t="shared" si="1"/>
        <v>-4.8963032479673021E-4</v>
      </c>
      <c r="M41" s="35">
        <f t="shared" si="2"/>
        <v>1.0058874031343868E-5</v>
      </c>
      <c r="N41" s="44">
        <f t="shared" si="0"/>
        <v>3.9084123318253595E-4</v>
      </c>
      <c r="O41" s="45" t="e">
        <f t="shared" si="3"/>
        <v>#VALUE!</v>
      </c>
      <c r="P41" s="52">
        <f t="shared" si="4"/>
        <v>32</v>
      </c>
      <c r="Q41" s="53">
        <f t="shared" si="5"/>
        <v>-4.8963032479673021E-4</v>
      </c>
      <c r="R41" s="54" t="str">
        <f t="shared" si="6"/>
        <v/>
      </c>
      <c r="S41" s="53" t="str">
        <f t="shared" si="7"/>
        <v/>
      </c>
    </row>
    <row r="42" spans="1:19" ht="16" x14ac:dyDescent="0.2">
      <c r="A42" s="41" t="s">
        <v>36</v>
      </c>
      <c r="B42" s="33">
        <v>250</v>
      </c>
      <c r="C42" s="33">
        <v>50</v>
      </c>
      <c r="D42" s="1"/>
      <c r="E42" s="67" t="s">
        <v>36</v>
      </c>
      <c r="F42" s="69">
        <v>99.584412256592287</v>
      </c>
      <c r="G42" s="63" t="s">
        <v>44</v>
      </c>
      <c r="J42" s="38">
        <v>33</v>
      </c>
      <c r="K42" s="40"/>
      <c r="L42" s="34">
        <f t="shared" si="1"/>
        <v>-4.7962852059960076E-4</v>
      </c>
      <c r="M42" s="35">
        <f t="shared" si="2"/>
        <v>9.9450519924440234E-6</v>
      </c>
      <c r="N42" s="44">
        <f t="shared" si="0"/>
        <v>3.8687717568129318E-4</v>
      </c>
      <c r="O42" s="45" t="e">
        <f t="shared" si="3"/>
        <v>#VALUE!</v>
      </c>
      <c r="P42" s="52">
        <f t="shared" si="4"/>
        <v>33</v>
      </c>
      <c r="Q42" s="53">
        <f t="shared" si="5"/>
        <v>-4.7962852059960076E-4</v>
      </c>
      <c r="R42" s="54" t="str">
        <f t="shared" si="6"/>
        <v/>
      </c>
      <c r="S42" s="53" t="str">
        <f t="shared" si="7"/>
        <v/>
      </c>
    </row>
    <row r="43" spans="1:19" x14ac:dyDescent="0.15">
      <c r="A43" s="1"/>
      <c r="B43" s="1"/>
      <c r="C43" s="1"/>
      <c r="D43" s="1"/>
      <c r="E43" s="28" t="s">
        <v>9</v>
      </c>
      <c r="F43" s="26"/>
      <c r="G43" s="30"/>
      <c r="J43" s="38">
        <v>34</v>
      </c>
      <c r="K43" s="40"/>
      <c r="L43" s="34">
        <f t="shared" si="1"/>
        <v>-4.6973959258487873E-4</v>
      </c>
      <c r="M43" s="35">
        <f t="shared" si="2"/>
        <v>9.8331146733559555E-6</v>
      </c>
      <c r="N43" s="44">
        <f t="shared" si="0"/>
        <v>3.8297195407770905E-4</v>
      </c>
      <c r="O43" s="45" t="e">
        <f t="shared" si="3"/>
        <v>#VALUE!</v>
      </c>
      <c r="P43" s="52">
        <f t="shared" si="4"/>
        <v>34</v>
      </c>
      <c r="Q43" s="53">
        <f t="shared" si="5"/>
        <v>-4.6973959258487873E-4</v>
      </c>
      <c r="R43" s="54" t="str">
        <f t="shared" si="6"/>
        <v/>
      </c>
      <c r="S43" s="53" t="str">
        <f t="shared" si="7"/>
        <v/>
      </c>
    </row>
    <row r="44" spans="1:19" ht="16" x14ac:dyDescent="0.2">
      <c r="A44" s="28" t="s">
        <v>23</v>
      </c>
      <c r="B44" s="29"/>
      <c r="C44" s="30"/>
      <c r="D44" s="15"/>
      <c r="E44" s="66" t="s">
        <v>45</v>
      </c>
      <c r="F44" s="70">
        <f>(((($F$40+$F$41)*(1+$F$41*$F$42)/$F$40)^0.5)-1)/$F$41</f>
        <v>1148.6419407817084</v>
      </c>
      <c r="G44" s="64" t="s">
        <v>44</v>
      </c>
      <c r="J44" s="38">
        <v>35</v>
      </c>
      <c r="K44" s="40"/>
      <c r="L44" s="34">
        <f t="shared" si="1"/>
        <v>-4.5996167681959277E-4</v>
      </c>
      <c r="M44" s="35">
        <f t="shared" si="2"/>
        <v>9.7230206918027379E-6</v>
      </c>
      <c r="N44" s="44">
        <f t="shared" si="0"/>
        <v>3.7912440421827994E-4</v>
      </c>
      <c r="O44" s="45" t="e">
        <f t="shared" si="3"/>
        <v>#VALUE!</v>
      </c>
      <c r="P44" s="52">
        <f t="shared" si="4"/>
        <v>35</v>
      </c>
      <c r="Q44" s="53">
        <f t="shared" si="5"/>
        <v>-4.5996167681959277E-4</v>
      </c>
      <c r="R44" s="54" t="str">
        <f t="shared" si="6"/>
        <v/>
      </c>
      <c r="S44" s="53" t="str">
        <f t="shared" si="7"/>
        <v/>
      </c>
    </row>
    <row r="45" spans="1:19" ht="16" x14ac:dyDescent="0.2">
      <c r="A45" s="61" t="s">
        <v>3</v>
      </c>
      <c r="B45" s="61" t="s">
        <v>4</v>
      </c>
      <c r="C45" s="23" t="s">
        <v>38</v>
      </c>
      <c r="D45" s="1"/>
      <c r="E45" s="66" t="s">
        <v>46</v>
      </c>
      <c r="F45" s="37">
        <f>((($F$39*$F$40*$F$42)-(0.5*($F$51-F54)*$F$41)+$F$39)-(((0.5*($F$51-F54)*$F$41)-($F$39*$F$40*$F$42)-$F$39)^2-(4*$F$39*$F$40*($F$39*$F$42+0.5*($F$51-F54))))^0.5)/(2*$F$39*$F$40)</f>
        <v>230.54791308204508</v>
      </c>
      <c r="G45" s="60" t="s">
        <v>44</v>
      </c>
      <c r="J45" s="38">
        <v>36</v>
      </c>
      <c r="K45" s="40"/>
      <c r="L45" s="34">
        <f t="shared" si="1"/>
        <v>-4.5029295018513704E-4</v>
      </c>
      <c r="M45" s="35">
        <f t="shared" si="2"/>
        <v>9.6147297950783592E-6</v>
      </c>
      <c r="N45" s="44">
        <f t="shared" si="0"/>
        <v>3.7533339073366476E-4</v>
      </c>
      <c r="O45" s="45" t="e">
        <f t="shared" si="3"/>
        <v>#VALUE!</v>
      </c>
      <c r="P45" s="52">
        <f t="shared" si="4"/>
        <v>36</v>
      </c>
      <c r="Q45" s="53">
        <f t="shared" si="5"/>
        <v>-4.5029295018513704E-4</v>
      </c>
      <c r="R45" s="54" t="str">
        <f t="shared" si="6"/>
        <v/>
      </c>
      <c r="S45" s="53" t="str">
        <f t="shared" si="7"/>
        <v/>
      </c>
    </row>
    <row r="46" spans="1:19" ht="16" x14ac:dyDescent="0.2">
      <c r="A46" s="41" t="s">
        <v>12</v>
      </c>
      <c r="B46" s="33">
        <v>0.4</v>
      </c>
      <c r="C46" s="59" t="s">
        <v>39</v>
      </c>
      <c r="D46" s="1"/>
      <c r="E46" s="41" t="s">
        <v>47</v>
      </c>
      <c r="F46" s="37">
        <f>((($F$39*$F$40*$F$42)-(0.85*($F$51-F54)*$F$41)+$F$39)-(((0.85*($F$51-F54)*$F$41)-($F$39*$F$40*$F$42)-$F$39)^2-(4*$F$39*$F$40*($F$39*$F$42+0.85*($F$51-F54))))^0.5)/(2*$F$39*$F$40)</f>
        <v>493.53702520620544</v>
      </c>
      <c r="G46" s="60" t="s">
        <v>44</v>
      </c>
      <c r="J46" s="38">
        <v>37</v>
      </c>
      <c r="K46" s="40"/>
      <c r="L46" s="34">
        <f t="shared" si="1"/>
        <v>-4.4073162926621762E-4</v>
      </c>
      <c r="M46" s="35">
        <f t="shared" si="2"/>
        <v>9.5082028232493704E-6</v>
      </c>
      <c r="N46" s="44">
        <f t="shared" si="0"/>
        <v>3.7159780618504595E-4</v>
      </c>
      <c r="O46" s="45" t="e">
        <f t="shared" si="3"/>
        <v>#VALUE!</v>
      </c>
      <c r="P46" s="52">
        <f t="shared" si="4"/>
        <v>37</v>
      </c>
      <c r="Q46" s="53">
        <f t="shared" si="5"/>
        <v>-4.4073162926621762E-4</v>
      </c>
      <c r="R46" s="54" t="str">
        <f t="shared" si="6"/>
        <v/>
      </c>
      <c r="S46" s="53" t="str">
        <f t="shared" si="7"/>
        <v/>
      </c>
    </row>
    <row r="47" spans="1:19" ht="16" x14ac:dyDescent="0.2">
      <c r="A47" s="41" t="s">
        <v>13</v>
      </c>
      <c r="B47" s="33">
        <v>100</v>
      </c>
      <c r="C47" s="59" t="s">
        <v>40</v>
      </c>
      <c r="D47" s="1"/>
      <c r="E47" s="41" t="s">
        <v>48</v>
      </c>
      <c r="F47" s="37">
        <f>((($F$39*$F$40*$F$42)-(0.9*($F$51-F54)*$F$41)+$F$39)-(((0.9*($F$51-F54)*$F$41)-($F$39*$F$40*$F$42)-$F$39)^2-(4*$F$39*$F$40*($F$39*$F$42+0.9*($F$51-F54))))^0.5)/(2*$F$39*$F$40)</f>
        <v>579.12011983869945</v>
      </c>
      <c r="G47" s="60" t="s">
        <v>44</v>
      </c>
      <c r="J47" s="38">
        <v>38</v>
      </c>
      <c r="K47" s="40"/>
      <c r="L47" s="34">
        <f t="shared" si="1"/>
        <v>-4.3127596927589734E-4</v>
      </c>
      <c r="M47" s="35">
        <f t="shared" si="2"/>
        <v>9.4034016737475668E-6</v>
      </c>
      <c r="N47" s="44">
        <f t="shared" si="0"/>
        <v>3.6791657024000661E-4</v>
      </c>
      <c r="O47" s="45" t="e">
        <f t="shared" si="3"/>
        <v>#VALUE!</v>
      </c>
      <c r="P47" s="52">
        <f t="shared" si="4"/>
        <v>38</v>
      </c>
      <c r="Q47" s="53">
        <f t="shared" si="5"/>
        <v>-4.3127596927589734E-4</v>
      </c>
      <c r="R47" s="54" t="str">
        <f t="shared" si="6"/>
        <v/>
      </c>
      <c r="S47" s="53" t="str">
        <f t="shared" si="7"/>
        <v/>
      </c>
    </row>
    <row r="48" spans="1:19" ht="16" x14ac:dyDescent="0.2">
      <c r="A48" s="41" t="s">
        <v>14</v>
      </c>
      <c r="B48" s="33">
        <v>6</v>
      </c>
      <c r="C48" s="59" t="s">
        <v>41</v>
      </c>
      <c r="D48" s="12"/>
      <c r="E48" s="41" t="s">
        <v>49</v>
      </c>
      <c r="F48" s="37">
        <f>((($F$39*$F$40*$F$42)-(0.95*($F$51-F54)*$F$41)+$F$39)-(((0.95*($F$51-F54)*$F$41)-($F$39*$F$40*$F$42)-$F$39)^2-(4*$F$39*$F$40*($F$39*$F$42+0.95*($F$51-F54))))^0.5)/(2*$F$39*$F$40)</f>
        <v>710.89495546151954</v>
      </c>
      <c r="G48" s="65" t="s">
        <v>44</v>
      </c>
      <c r="H48" s="12"/>
      <c r="J48" s="38">
        <v>39</v>
      </c>
      <c r="K48" s="40"/>
      <c r="L48" s="34">
        <f t="shared" si="1"/>
        <v>-4.219242630153769E-4</v>
      </c>
      <c r="M48" s="35">
        <f t="shared" si="2"/>
        <v>9.3002892672939448E-6</v>
      </c>
      <c r="N48" s="44">
        <f t="shared" si="0"/>
        <v>3.6428862887675833E-4</v>
      </c>
      <c r="O48" s="45" t="e">
        <f t="shared" si="3"/>
        <v>#VALUE!</v>
      </c>
      <c r="P48" s="52">
        <f t="shared" si="4"/>
        <v>39</v>
      </c>
      <c r="Q48" s="53">
        <f t="shared" si="5"/>
        <v>-4.219242630153769E-4</v>
      </c>
      <c r="R48" s="54" t="str">
        <f t="shared" si="6"/>
        <v/>
      </c>
      <c r="S48" s="53" t="str">
        <f t="shared" si="7"/>
        <v/>
      </c>
    </row>
    <row r="49" spans="1:19" ht="16" x14ac:dyDescent="0.2">
      <c r="A49" s="42" t="s">
        <v>37</v>
      </c>
      <c r="B49" s="43">
        <f>0.01*B46*B47/B48</f>
        <v>6.6666666666666666E-2</v>
      </c>
      <c r="C49" s="60" t="s">
        <v>42</v>
      </c>
      <c r="D49" s="16"/>
      <c r="E49" s="67" t="s">
        <v>50</v>
      </c>
      <c r="F49" s="69" t="e">
        <f>LOOKUP(1,$O$9:$O$2009,$J$9:$J$2009)</f>
        <v>#N/A</v>
      </c>
      <c r="G49" s="65" t="s">
        <v>44</v>
      </c>
      <c r="H49" s="14"/>
      <c r="J49" s="38">
        <v>40</v>
      </c>
      <c r="K49" s="40"/>
      <c r="L49" s="34">
        <f t="shared" si="1"/>
        <v>-4.1267483986721026E-4</v>
      </c>
      <c r="M49" s="35">
        <f t="shared" si="2"/>
        <v>9.1988295150969983E-6</v>
      </c>
      <c r="N49" s="44">
        <f t="shared" si="0"/>
        <v>3.6071295361560636E-4</v>
      </c>
      <c r="O49" s="45" t="e">
        <f t="shared" si="3"/>
        <v>#VALUE!</v>
      </c>
      <c r="P49" s="52">
        <f t="shared" si="4"/>
        <v>40</v>
      </c>
      <c r="Q49" s="53">
        <f t="shared" si="5"/>
        <v>-4.1267483986721026E-4</v>
      </c>
      <c r="R49" s="54" t="str">
        <f t="shared" si="6"/>
        <v/>
      </c>
      <c r="S49" s="53" t="str">
        <f t="shared" si="7"/>
        <v/>
      </c>
    </row>
    <row r="50" spans="1:19" ht="15" x14ac:dyDescent="0.2">
      <c r="A50" s="1"/>
      <c r="B50" s="1"/>
      <c r="C50" s="14"/>
      <c r="D50" s="16"/>
      <c r="E50" s="28" t="s">
        <v>18</v>
      </c>
      <c r="F50" s="26"/>
      <c r="G50" s="30"/>
      <c r="J50" s="38">
        <v>41</v>
      </c>
      <c r="K50" s="40"/>
      <c r="L50" s="34">
        <f t="shared" si="1"/>
        <v>-4.0352606482070764E-4</v>
      </c>
      <c r="M50" s="35">
        <f t="shared" si="2"/>
        <v>9.0989872872711952E-6</v>
      </c>
      <c r="N50" s="44">
        <f t="shared" si="0"/>
        <v>3.5718854077658783E-4</v>
      </c>
      <c r="O50" s="45" t="e">
        <f t="shared" si="3"/>
        <v>#VALUE!</v>
      </c>
      <c r="P50" s="52">
        <f t="shared" si="4"/>
        <v>41</v>
      </c>
      <c r="Q50" s="53">
        <f t="shared" si="5"/>
        <v>-4.0352606482070764E-4</v>
      </c>
      <c r="R50" s="54" t="str">
        <f t="shared" si="6"/>
        <v/>
      </c>
      <c r="S50" s="53" t="str">
        <f t="shared" si="7"/>
        <v/>
      </c>
    </row>
    <row r="51" spans="1:19" ht="16" x14ac:dyDescent="0.2">
      <c r="A51" s="1"/>
      <c r="B51" s="1"/>
      <c r="C51" s="14"/>
      <c r="D51" s="16"/>
      <c r="E51" s="66" t="s">
        <v>52</v>
      </c>
      <c r="F51" s="70">
        <f>F39*((1-F40*F44)/(1+F41*F44))*(F44-F42)+F54</f>
        <v>1.7550120842111786E-3</v>
      </c>
      <c r="G51" s="64" t="s">
        <v>42</v>
      </c>
      <c r="J51" s="38">
        <v>42</v>
      </c>
      <c r="K51" s="40"/>
      <c r="L51" s="34">
        <f t="shared" si="1"/>
        <v>-3.9447633752833129E-4</v>
      </c>
      <c r="M51" s="35">
        <f t="shared" si="2"/>
        <v>9.0007283824240796E-6</v>
      </c>
      <c r="N51" s="44">
        <f t="shared" si="0"/>
        <v>3.5371441076226403E-4</v>
      </c>
      <c r="O51" s="45" t="e">
        <f t="shared" si="3"/>
        <v>#VALUE!</v>
      </c>
      <c r="P51" s="52">
        <f t="shared" si="4"/>
        <v>42</v>
      </c>
      <c r="Q51" s="53">
        <f t="shared" si="5"/>
        <v>-3.9447633752833129E-4</v>
      </c>
      <c r="R51" s="54" t="str">
        <f t="shared" si="6"/>
        <v/>
      </c>
      <c r="S51" s="53" t="str">
        <f t="shared" si="7"/>
        <v/>
      </c>
    </row>
    <row r="52" spans="1:19" ht="16" x14ac:dyDescent="0.2">
      <c r="A52" s="1"/>
      <c r="B52" s="1"/>
      <c r="C52" s="1"/>
      <c r="D52" s="1"/>
      <c r="E52" s="68" t="s">
        <v>51</v>
      </c>
      <c r="F52" s="69" t="e">
        <f>LOOKUP(1,$O$9:$O$2009,$L$9:$L$2009)</f>
        <v>#N/A</v>
      </c>
      <c r="G52" s="65" t="s">
        <v>42</v>
      </c>
      <c r="J52" s="38">
        <v>43</v>
      </c>
      <c r="K52" s="40"/>
      <c r="L52" s="34">
        <f t="shared" si="1"/>
        <v>-3.8552409139194039E-4</v>
      </c>
      <c r="M52" s="35">
        <f t="shared" si="2"/>
        <v>8.904019498362763E-6</v>
      </c>
      <c r="N52" s="44">
        <f t="shared" si="0"/>
        <v>3.5028960736469521E-4</v>
      </c>
      <c r="O52" s="45" t="e">
        <f t="shared" si="3"/>
        <v>#VALUE!</v>
      </c>
      <c r="P52" s="52">
        <f t="shared" si="4"/>
        <v>43</v>
      </c>
      <c r="Q52" s="53">
        <f t="shared" si="5"/>
        <v>-3.8552409139194039E-4</v>
      </c>
      <c r="R52" s="54" t="str">
        <f t="shared" si="6"/>
        <v/>
      </c>
      <c r="S52" s="53" t="str">
        <f t="shared" si="7"/>
        <v/>
      </c>
    </row>
    <row r="53" spans="1:19" x14ac:dyDescent="0.15">
      <c r="A53" s="1"/>
      <c r="B53" s="1"/>
      <c r="C53" s="1"/>
      <c r="D53" s="1"/>
      <c r="E53" s="28" t="s">
        <v>19</v>
      </c>
      <c r="F53" s="26"/>
      <c r="G53" s="30"/>
      <c r="J53" s="38">
        <v>44</v>
      </c>
      <c r="K53" s="40"/>
      <c r="L53" s="34">
        <f t="shared" si="1"/>
        <v>-3.7666779267778931E-4</v>
      </c>
      <c r="M53" s="35">
        <f t="shared" si="2"/>
        <v>8.8088282038730184E-6</v>
      </c>
      <c r="N53" s="44">
        <f t="shared" si="0"/>
        <v>3.4691319709566522E-4</v>
      </c>
      <c r="O53" s="45" t="e">
        <f t="shared" si="3"/>
        <v>#VALUE!</v>
      </c>
      <c r="P53" s="52">
        <f t="shared" si="4"/>
        <v>44</v>
      </c>
      <c r="Q53" s="53">
        <f t="shared" si="5"/>
        <v>-3.7666779267778931E-4</v>
      </c>
      <c r="R53" s="54" t="str">
        <f t="shared" si="6"/>
        <v/>
      </c>
      <c r="S53" s="53" t="str">
        <f t="shared" si="7"/>
        <v/>
      </c>
    </row>
    <row r="54" spans="1:19" ht="16" x14ac:dyDescent="0.2">
      <c r="A54" s="1"/>
      <c r="B54" s="1"/>
      <c r="C54" s="1"/>
      <c r="D54" s="1"/>
      <c r="E54" s="68" t="s">
        <v>53</v>
      </c>
      <c r="F54" s="71">
        <f>F39*F42</f>
        <v>8.8310201773770841E-4</v>
      </c>
      <c r="G54" s="63" t="s">
        <v>42</v>
      </c>
      <c r="J54" s="38">
        <v>45</v>
      </c>
      <c r="K54" s="40"/>
      <c r="L54" s="34">
        <f t="shared" si="1"/>
        <v>-3.6790593965922957E-4</v>
      </c>
      <c r="M54" s="35">
        <f t="shared" si="2"/>
        <v>8.7151229115263077E-6</v>
      </c>
      <c r="N54" s="44">
        <f t="shared" si="0"/>
        <v>3.4358426853926653E-4</v>
      </c>
      <c r="O54" s="45" t="e">
        <f t="shared" si="3"/>
        <v>#VALUE!</v>
      </c>
      <c r="P54" s="52">
        <f t="shared" si="4"/>
        <v>45</v>
      </c>
      <c r="Q54" s="53">
        <f t="shared" si="5"/>
        <v>-3.6790593965922957E-4</v>
      </c>
      <c r="R54" s="54" t="str">
        <f t="shared" si="6"/>
        <v/>
      </c>
      <c r="S54" s="53" t="str">
        <f t="shared" si="7"/>
        <v/>
      </c>
    </row>
    <row r="55" spans="1:19" x14ac:dyDescent="0.15">
      <c r="A55" s="17"/>
      <c r="B55" s="17"/>
      <c r="C55" s="1"/>
      <c r="D55" s="1"/>
      <c r="E55" s="28" t="s">
        <v>54</v>
      </c>
      <c r="F55" s="26"/>
      <c r="G55" s="30"/>
      <c r="J55" s="38">
        <v>46</v>
      </c>
      <c r="K55" s="40"/>
      <c r="L55" s="34">
        <f t="shared" si="1"/>
        <v>-3.5923706178610817E-4</v>
      </c>
      <c r="M55" s="35">
        <f t="shared" si="2"/>
        <v>8.6228728514721691E-6</v>
      </c>
      <c r="N55" s="44">
        <f t="shared" si="0"/>
        <v>3.4030193172599285E-4</v>
      </c>
      <c r="O55" s="45" t="e">
        <f t="shared" si="3"/>
        <v>#VALUE!</v>
      </c>
      <c r="P55" s="52">
        <f t="shared" si="4"/>
        <v>46</v>
      </c>
      <c r="Q55" s="53">
        <f t="shared" si="5"/>
        <v>-3.5923706178610817E-4</v>
      </c>
      <c r="R55" s="54" t="str">
        <f t="shared" si="6"/>
        <v/>
      </c>
      <c r="S55" s="53" t="str">
        <f t="shared" si="7"/>
        <v/>
      </c>
    </row>
    <row r="56" spans="1:19" ht="16" x14ac:dyDescent="0.2">
      <c r="A56" s="1"/>
      <c r="B56" s="1"/>
      <c r="C56" s="1"/>
      <c r="D56" s="1"/>
      <c r="E56" s="66" t="s">
        <v>80</v>
      </c>
      <c r="F56" s="72">
        <f>$M$9</f>
        <v>1.5021179797789412E-5</v>
      </c>
      <c r="G56" s="73" t="s">
        <v>43</v>
      </c>
      <c r="J56" s="38">
        <v>47</v>
      </c>
      <c r="K56" s="40"/>
      <c r="L56" s="34">
        <f t="shared" si="1"/>
        <v>-3.506597188798979E-4</v>
      </c>
      <c r="M56" s="35">
        <f t="shared" si="2"/>
        <v>8.5320480461753966E-6</v>
      </c>
      <c r="N56" s="44">
        <f t="shared" si="0"/>
        <v>3.3706531752752283E-4</v>
      </c>
      <c r="O56" s="45" t="e">
        <f t="shared" si="3"/>
        <v>#VALUE!</v>
      </c>
      <c r="P56" s="52">
        <f t="shared" si="4"/>
        <v>47</v>
      </c>
      <c r="Q56" s="53">
        <f t="shared" si="5"/>
        <v>-3.506597188798979E-4</v>
      </c>
      <c r="R56" s="54" t="str">
        <f t="shared" si="6"/>
        <v/>
      </c>
      <c r="S56" s="53" t="str">
        <f t="shared" si="7"/>
        <v/>
      </c>
    </row>
    <row r="57" spans="1:19" ht="16" x14ac:dyDescent="0.2">
      <c r="A57" s="1"/>
      <c r="B57" s="1"/>
      <c r="C57" s="1"/>
      <c r="D57" s="1"/>
      <c r="E57" s="66" t="s">
        <v>81</v>
      </c>
      <c r="F57" s="35">
        <f>$F$39*((1-2*$F$40*$F$42-$F$40*$F$41*($F$42^2)+($F$41+$F$40)*$F$42)/(1+$F$41*$F$42)^2)</f>
        <v>5.2029007102518907E-6</v>
      </c>
      <c r="G57" s="59" t="s">
        <v>43</v>
      </c>
      <c r="J57" s="38">
        <v>48</v>
      </c>
      <c r="K57" s="40"/>
      <c r="L57" s="34">
        <f t="shared" si="1"/>
        <v>-3.4217250035363463E-4</v>
      </c>
      <c r="M57" s="35">
        <f t="shared" si="2"/>
        <v>8.4426192860592196E-6</v>
      </c>
      <c r="N57" s="44">
        <f t="shared" si="0"/>
        <v>3.3387357707141549E-4</v>
      </c>
      <c r="O57" s="45" t="e">
        <f t="shared" si="3"/>
        <v>#VALUE!</v>
      </c>
      <c r="P57" s="52">
        <f t="shared" si="4"/>
        <v>48</v>
      </c>
      <c r="Q57" s="53">
        <f t="shared" si="5"/>
        <v>-3.4217250035363463E-4</v>
      </c>
      <c r="R57" s="54" t="str">
        <f t="shared" si="6"/>
        <v/>
      </c>
      <c r="S57" s="53" t="str">
        <f t="shared" si="7"/>
        <v/>
      </c>
    </row>
    <row r="58" spans="1:19" ht="16" x14ac:dyDescent="0.2">
      <c r="A58" s="1"/>
      <c r="B58" s="1"/>
      <c r="C58" s="1"/>
      <c r="D58" s="1"/>
      <c r="E58" s="41" t="s">
        <v>77</v>
      </c>
      <c r="F58" s="35">
        <f>SLOPE(Q9:Q1959,P9:P1959)</f>
        <v>8.6586919750655087E-6</v>
      </c>
      <c r="G58" s="59" t="s">
        <v>43</v>
      </c>
      <c r="J58" s="38">
        <v>49</v>
      </c>
      <c r="K58" s="40"/>
      <c r="L58" s="34">
        <f t="shared" si="1"/>
        <v>-3.3377402445577373E-4</v>
      </c>
      <c r="M58" s="35">
        <f t="shared" si="2"/>
        <v>8.3545581060176368E-6</v>
      </c>
      <c r="N58" s="44">
        <f t="shared" si="0"/>
        <v>3.3072588117496766E-4</v>
      </c>
      <c r="O58" s="45" t="e">
        <f t="shared" si="3"/>
        <v>#VALUE!</v>
      </c>
      <c r="P58" s="52">
        <f t="shared" si="4"/>
        <v>49</v>
      </c>
      <c r="Q58" s="53">
        <f t="shared" si="5"/>
        <v>-3.3377402445577373E-4</v>
      </c>
      <c r="R58" s="54" t="str">
        <f t="shared" si="6"/>
        <v/>
      </c>
      <c r="S58" s="53" t="str">
        <f t="shared" si="7"/>
        <v/>
      </c>
    </row>
    <row r="59" spans="1:19" ht="16" x14ac:dyDescent="0.2">
      <c r="A59" s="1"/>
      <c r="B59" s="1"/>
      <c r="C59" s="1"/>
      <c r="D59" s="1"/>
      <c r="E59" s="41" t="s">
        <v>82</v>
      </c>
      <c r="F59" s="35">
        <f>SLOPE(S9:S1959,R9:R1959)</f>
        <v>3.5901691907685797E-6</v>
      </c>
      <c r="G59" s="59" t="s">
        <v>43</v>
      </c>
      <c r="J59" s="38">
        <v>50</v>
      </c>
      <c r="K59" s="75">
        <f>B21</f>
        <v>-3.0051079999999998E-4</v>
      </c>
      <c r="L59" s="34">
        <f t="shared" si="1"/>
        <v>-3.2546293753711391E-4</v>
      </c>
      <c r="M59" s="35">
        <f t="shared" si="2"/>
        <v>8.2678367627615521E-6</v>
      </c>
      <c r="N59" s="44">
        <f t="shared" si="0"/>
        <v>3.2762141979751749E-4</v>
      </c>
      <c r="O59" s="45" t="e">
        <f t="shared" si="3"/>
        <v>#VALUE!</v>
      </c>
      <c r="P59" s="52">
        <f t="shared" si="4"/>
        <v>50</v>
      </c>
      <c r="Q59" s="53">
        <f t="shared" si="5"/>
        <v>-3.2546293753711391E-4</v>
      </c>
      <c r="R59" s="54" t="str">
        <f t="shared" si="6"/>
        <v/>
      </c>
      <c r="S59" s="53" t="str">
        <f t="shared" si="7"/>
        <v/>
      </c>
    </row>
    <row r="60" spans="1:19" x14ac:dyDescent="0.15">
      <c r="A60" s="1"/>
      <c r="B60" s="1"/>
      <c r="C60" s="1"/>
      <c r="D60" s="1"/>
      <c r="E60" s="56"/>
      <c r="F60" s="57"/>
      <c r="J60" s="38">
        <v>51</v>
      </c>
      <c r="K60" s="40"/>
      <c r="L60" s="34">
        <f t="shared" si="1"/>
        <v>-3.1723791333997282E-4</v>
      </c>
      <c r="M60" s="35">
        <f t="shared" si="2"/>
        <v>8.1824282129650738E-6</v>
      </c>
      <c r="N60" s="44">
        <f t="shared" si="0"/>
        <v>3.2455940151050939E-4</v>
      </c>
      <c r="O60" s="45" t="e">
        <f t="shared" si="3"/>
        <v>#VALUE!</v>
      </c>
      <c r="P60" s="52">
        <f t="shared" si="4"/>
        <v>51</v>
      </c>
      <c r="Q60" s="53">
        <f t="shared" si="5"/>
        <v>-3.1723791333997282E-4</v>
      </c>
      <c r="R60" s="54" t="str">
        <f t="shared" si="6"/>
        <v/>
      </c>
      <c r="S60" s="53" t="str">
        <f t="shared" si="7"/>
        <v/>
      </c>
    </row>
    <row r="61" spans="1:19" x14ac:dyDescent="0.15">
      <c r="A61" s="1"/>
      <c r="B61" s="1"/>
      <c r="C61" s="1"/>
      <c r="D61" s="1"/>
      <c r="E61" s="1"/>
      <c r="F61" s="1"/>
      <c r="J61" s="38">
        <v>52</v>
      </c>
      <c r="K61" s="40"/>
      <c r="L61" s="34">
        <f t="shared" si="1"/>
        <v>-3.0909765230882939E-4</v>
      </c>
      <c r="M61" s="35">
        <f t="shared" si="2"/>
        <v>8.0983060921799002E-6</v>
      </c>
      <c r="N61" s="44">
        <f t="shared" si="0"/>
        <v>3.2153905298466031E-4</v>
      </c>
      <c r="O61" s="45" t="e">
        <f t="shared" si="3"/>
        <v>#VALUE!</v>
      </c>
      <c r="P61" s="52">
        <f t="shared" si="4"/>
        <v>52</v>
      </c>
      <c r="Q61" s="53">
        <f t="shared" si="5"/>
        <v>-3.0909765230882939E-4</v>
      </c>
      <c r="R61" s="54" t="str">
        <f t="shared" si="6"/>
        <v/>
      </c>
      <c r="S61" s="53" t="str">
        <f t="shared" si="7"/>
        <v/>
      </c>
    </row>
    <row r="62" spans="1:19" x14ac:dyDescent="0.15">
      <c r="A62" s="1"/>
      <c r="B62" s="1"/>
      <c r="C62" s="1"/>
      <c r="D62" s="1"/>
      <c r="E62" s="1"/>
      <c r="F62" s="1"/>
      <c r="J62" s="38">
        <v>53</v>
      </c>
      <c r="K62" s="40"/>
      <c r="L62" s="34">
        <f t="shared" si="1"/>
        <v>-3.0104088092168014E-4</v>
      </c>
      <c r="M62" s="35">
        <f t="shared" si="2"/>
        <v>8.0154446944869856E-6</v>
      </c>
      <c r="N62" s="44">
        <f t="shared" si="0"/>
        <v>3.1855961849359851E-4</v>
      </c>
      <c r="O62" s="45" t="e">
        <f t="shared" si="3"/>
        <v>#VALUE!</v>
      </c>
      <c r="P62" s="52">
        <f t="shared" si="4"/>
        <v>53</v>
      </c>
      <c r="Q62" s="53">
        <f t="shared" si="5"/>
        <v>-3.0104088092168014E-4</v>
      </c>
      <c r="R62" s="54" t="str">
        <f t="shared" si="6"/>
        <v/>
      </c>
      <c r="S62" s="53" t="str">
        <f t="shared" si="7"/>
        <v/>
      </c>
    </row>
    <row r="63" spans="1:19" x14ac:dyDescent="0.15">
      <c r="A63" s="18"/>
      <c r="B63" s="18"/>
      <c r="D63" s="18"/>
      <c r="E63" s="18"/>
      <c r="F63" s="18"/>
      <c r="J63" s="38">
        <v>54</v>
      </c>
      <c r="K63" s="40"/>
      <c r="L63" s="34">
        <f t="shared" si="1"/>
        <v>-2.9306635104138859E-4</v>
      </c>
      <c r="M63" s="35">
        <f t="shared" si="2"/>
        <v>7.9338189528562913E-6</v>
      </c>
      <c r="N63" s="44">
        <f t="shared" si="0"/>
        <v>3.1562035943337159E-4</v>
      </c>
      <c r="O63" s="45" t="e">
        <f t="shared" si="3"/>
        <v>#VALUE!</v>
      </c>
      <c r="P63" s="52">
        <f t="shared" si="4"/>
        <v>54</v>
      </c>
      <c r="Q63" s="53">
        <f t="shared" si="5"/>
        <v>-2.9306635104138859E-4</v>
      </c>
      <c r="R63" s="54" t="str">
        <f t="shared" si="6"/>
        <v/>
      </c>
      <c r="S63" s="53" t="str">
        <f t="shared" si="7"/>
        <v/>
      </c>
    </row>
    <row r="64" spans="1:19" x14ac:dyDescent="0.15">
      <c r="A64" s="15"/>
      <c r="B64" s="15"/>
      <c r="D64" s="1"/>
      <c r="E64" s="1"/>
      <c r="F64" s="1"/>
      <c r="J64" s="38">
        <v>55</v>
      </c>
      <c r="K64" s="40"/>
      <c r="L64" s="34">
        <f t="shared" si="1"/>
        <v>-2.8517283928633117E-4</v>
      </c>
      <c r="M64" s="35">
        <f t="shared" si="2"/>
        <v>7.8534044201864849E-6</v>
      </c>
      <c r="N64" s="44">
        <f t="shared" si="0"/>
        <v>3.1272055385724213E-4</v>
      </c>
      <c r="O64" s="45" t="e">
        <f t="shared" si="3"/>
        <v>#VALUE!</v>
      </c>
      <c r="P64" s="52">
        <f t="shared" si="4"/>
        <v>55</v>
      </c>
      <c r="Q64" s="53">
        <f t="shared" si="5"/>
        <v>-2.8517283928633117E-4</v>
      </c>
      <c r="R64" s="54" t="str">
        <f t="shared" si="6"/>
        <v/>
      </c>
      <c r="S64" s="53" t="str">
        <f t="shared" si="7"/>
        <v/>
      </c>
    </row>
    <row r="65" spans="1:19" x14ac:dyDescent="0.15">
      <c r="A65" s="15"/>
      <c r="B65" s="15"/>
      <c r="D65" s="1"/>
      <c r="E65" s="1"/>
      <c r="F65" s="1"/>
      <c r="J65" s="38">
        <v>56</v>
      </c>
      <c r="K65" s="40"/>
      <c r="L65" s="34">
        <f t="shared" si="1"/>
        <v>-2.77359146419676E-4</v>
      </c>
      <c r="M65" s="35">
        <f t="shared" si="2"/>
        <v>7.7741772509979118E-6</v>
      </c>
      <c r="N65" s="44">
        <f t="shared" si="0"/>
        <v>3.0985949602521814E-4</v>
      </c>
      <c r="O65" s="45" t="e">
        <f t="shared" si="3"/>
        <v>#VALUE!</v>
      </c>
      <c r="P65" s="52">
        <f t="shared" si="4"/>
        <v>56</v>
      </c>
      <c r="Q65" s="53">
        <f t="shared" si="5"/>
        <v>-2.77359146419676E-4</v>
      </c>
      <c r="R65" s="54" t="str">
        <f t="shared" si="6"/>
        <v/>
      </c>
      <c r="S65" s="53" t="str">
        <f t="shared" si="7"/>
        <v/>
      </c>
    </row>
    <row r="66" spans="1:19" x14ac:dyDescent="0.15">
      <c r="A66" s="15"/>
      <c r="B66" s="15"/>
      <c r="D66" s="1"/>
      <c r="E66" s="1"/>
      <c r="F66" s="1"/>
      <c r="J66" s="38">
        <v>57</v>
      </c>
      <c r="K66" s="40"/>
      <c r="L66" s="34">
        <f t="shared" si="1"/>
        <v>-2.6962409675665178E-4</v>
      </c>
      <c r="M66" s="35">
        <f t="shared" si="2"/>
        <v>7.6961141837531921E-6</v>
      </c>
      <c r="N66" s="44">
        <f t="shared" si="0"/>
        <v>3.070364959677834E-4</v>
      </c>
      <c r="O66" s="45" t="e">
        <f t="shared" si="3"/>
        <v>#VALUE!</v>
      </c>
      <c r="P66" s="52">
        <f t="shared" si="4"/>
        <v>57</v>
      </c>
      <c r="Q66" s="53">
        <f t="shared" si="5"/>
        <v>-2.6962409675665178E-4</v>
      </c>
      <c r="R66" s="54" t="str">
        <f t="shared" si="6"/>
        <v/>
      </c>
      <c r="S66" s="53" t="str">
        <f t="shared" si="7"/>
        <v/>
      </c>
    </row>
    <row r="67" spans="1:19" x14ac:dyDescent="0.15">
      <c r="A67" s="15"/>
      <c r="B67" s="15"/>
      <c r="D67" s="1"/>
      <c r="E67" s="1"/>
      <c r="F67" s="1"/>
      <c r="J67" s="38">
        <v>58</v>
      </c>
      <c r="K67" s="40"/>
      <c r="L67" s="34">
        <f t="shared" si="1"/>
        <v>-2.6196653758919319E-4</v>
      </c>
      <c r="M67" s="35">
        <f t="shared" si="2"/>
        <v>7.6191925237809651E-6</v>
      </c>
      <c r="N67" s="44">
        <f t="shared" si="0"/>
        <v>3.0425087906331828E-4</v>
      </c>
      <c r="O67" s="45" t="e">
        <f t="shared" si="3"/>
        <v>#VALUE!</v>
      </c>
      <c r="P67" s="52">
        <f t="shared" si="4"/>
        <v>58</v>
      </c>
      <c r="Q67" s="53">
        <f t="shared" si="5"/>
        <v>-2.6196653758919319E-4</v>
      </c>
      <c r="R67" s="54" t="str">
        <f t="shared" si="6"/>
        <v/>
      </c>
      <c r="S67" s="53" t="str">
        <f t="shared" si="7"/>
        <v/>
      </c>
    </row>
    <row r="68" spans="1:19" x14ac:dyDescent="0.15">
      <c r="A68" s="18"/>
      <c r="B68" s="18"/>
      <c r="D68" s="18"/>
      <c r="E68" s="18"/>
      <c r="F68" s="18"/>
      <c r="G68" s="18"/>
      <c r="H68" s="18"/>
      <c r="I68" s="18"/>
      <c r="J68" s="38">
        <v>59</v>
      </c>
      <c r="K68" s="40"/>
      <c r="L68" s="34">
        <f t="shared" si="1"/>
        <v>-2.5438533862737038E-4</v>
      </c>
      <c r="M68" s="35">
        <f t="shared" si="2"/>
        <v>7.5433901267794198E-6</v>
      </c>
      <c r="N68" s="44">
        <f t="shared" si="0"/>
        <v>3.0150198562871902E-4</v>
      </c>
      <c r="O68" s="45" t="e">
        <f t="shared" si="3"/>
        <v>#VALUE!</v>
      </c>
      <c r="P68" s="52">
        <f t="shared" si="4"/>
        <v>59</v>
      </c>
      <c r="Q68" s="53">
        <f t="shared" si="5"/>
        <v>-2.5438533862737038E-4</v>
      </c>
      <c r="R68" s="54" t="str">
        <f t="shared" si="6"/>
        <v/>
      </c>
      <c r="S68" s="53" t="str">
        <f t="shared" si="7"/>
        <v/>
      </c>
    </row>
    <row r="69" spans="1:19" x14ac:dyDescent="0.15">
      <c r="A69" s="15"/>
      <c r="B69" s="15"/>
      <c r="D69" s="1"/>
      <c r="E69" s="1"/>
      <c r="F69" s="1"/>
      <c r="J69" s="38">
        <v>60</v>
      </c>
      <c r="K69" s="40"/>
      <c r="L69" s="34">
        <f t="shared" si="1"/>
        <v>-2.4687939145703425E-4</v>
      </c>
      <c r="M69" s="35">
        <f t="shared" si="2"/>
        <v>7.4686853828771872E-6</v>
      </c>
      <c r="N69" s="44">
        <f t="shared" si="0"/>
        <v>2.9878917052274592E-4</v>
      </c>
      <c r="O69" s="45" t="e">
        <f t="shared" si="3"/>
        <v>#VALUE!</v>
      </c>
      <c r="P69" s="52">
        <f t="shared" si="4"/>
        <v>60</v>
      </c>
      <c r="Q69" s="53">
        <f t="shared" si="5"/>
        <v>-2.4687939145703425E-4</v>
      </c>
      <c r="R69" s="54" t="str">
        <f t="shared" si="6"/>
        <v/>
      </c>
      <c r="S69" s="53" t="str">
        <f t="shared" si="7"/>
        <v/>
      </c>
    </row>
    <row r="70" spans="1:19" x14ac:dyDescent="0.15">
      <c r="A70" s="15"/>
      <c r="B70" s="15"/>
      <c r="D70" s="1"/>
      <c r="E70" s="1"/>
      <c r="F70" s="1"/>
      <c r="J70" s="38">
        <v>61</v>
      </c>
      <c r="K70" s="40"/>
      <c r="L70" s="34">
        <f t="shared" si="1"/>
        <v>-2.3944760901313184E-4</v>
      </c>
      <c r="M70" s="35">
        <f t="shared" si="2"/>
        <v>7.3950572012301852E-6</v>
      </c>
      <c r="N70" s="44">
        <f t="shared" si="0"/>
        <v>2.9611180276164828E-4</v>
      </c>
      <c r="O70" s="45" t="e">
        <f t="shared" si="3"/>
        <v>#VALUE!</v>
      </c>
      <c r="P70" s="52">
        <f t="shared" si="4"/>
        <v>61</v>
      </c>
      <c r="Q70" s="53">
        <f t="shared" si="5"/>
        <v>-2.3944760901313184E-4</v>
      </c>
      <c r="R70" s="54" t="str">
        <f t="shared" si="6"/>
        <v/>
      </c>
      <c r="S70" s="53" t="str">
        <f t="shared" si="7"/>
        <v/>
      </c>
    </row>
    <row r="71" spans="1:19" x14ac:dyDescent="0.15">
      <c r="A71" s="15"/>
      <c r="B71" s="15"/>
      <c r="D71" s="1"/>
      <c r="E71" s="1"/>
      <c r="F71" s="1"/>
      <c r="J71" s="38">
        <v>62</v>
      </c>
      <c r="K71" s="40"/>
      <c r="L71" s="34">
        <f t="shared" si="1"/>
        <v>-2.3208892506816465E-4</v>
      </c>
      <c r="M71" s="35">
        <f t="shared" si="2"/>
        <v>7.322484995133924E-6</v>
      </c>
      <c r="N71" s="44">
        <f t="shared" si="0"/>
        <v>2.9346926514663195E-4</v>
      </c>
      <c r="O71" s="45" t="e">
        <f t="shared" si="3"/>
        <v>#VALUE!</v>
      </c>
      <c r="P71" s="52">
        <f t="shared" si="4"/>
        <v>62</v>
      </c>
      <c r="Q71" s="53">
        <f t="shared" si="5"/>
        <v>-2.3208892506816465E-4</v>
      </c>
      <c r="R71" s="54" t="str">
        <f t="shared" si="6"/>
        <v/>
      </c>
      <c r="S71" s="53" t="str">
        <f t="shared" si="7"/>
        <v/>
      </c>
    </row>
    <row r="72" spans="1:19" x14ac:dyDescent="0.15">
      <c r="A72" s="15"/>
      <c r="B72" s="15"/>
      <c r="D72" s="1"/>
      <c r="E72" s="1"/>
      <c r="F72" s="1"/>
      <c r="J72" s="38">
        <v>63</v>
      </c>
      <c r="K72" s="40"/>
      <c r="L72" s="34">
        <f t="shared" si="1"/>
        <v>-2.2480229373528574E-4</v>
      </c>
      <c r="M72" s="35">
        <f t="shared" si="2"/>
        <v>7.2509486676316561E-6</v>
      </c>
      <c r="N72" s="44">
        <f t="shared" si="0"/>
        <v>2.9086095390275333E-4</v>
      </c>
      <c r="O72" s="45" t="e">
        <f t="shared" si="3"/>
        <v>#VALUE!</v>
      </c>
      <c r="P72" s="52">
        <f t="shared" si="4"/>
        <v>63</v>
      </c>
      <c r="Q72" s="53">
        <f t="shared" si="5"/>
        <v>-2.2480229373528574E-4</v>
      </c>
      <c r="R72" s="54" t="str">
        <f t="shared" si="6"/>
        <v/>
      </c>
      <c r="S72" s="53" t="str">
        <f t="shared" si="7"/>
        <v/>
      </c>
    </row>
    <row r="73" spans="1:19" x14ac:dyDescent="0.15">
      <c r="A73" s="15"/>
      <c r="B73" s="15"/>
      <c r="D73" s="1"/>
      <c r="E73" s="1"/>
      <c r="F73" s="1"/>
      <c r="J73" s="38">
        <v>64</v>
      </c>
      <c r="K73" s="40"/>
      <c r="L73" s="34">
        <f t="shared" si="1"/>
        <v>-2.1758668898554822E-4</v>
      </c>
      <c r="M73" s="35">
        <f t="shared" si="2"/>
        <v>7.1804285975995691E-6</v>
      </c>
      <c r="N73" s="44">
        <f t="shared" ref="N73:N136" si="10">(L123-L73)</f>
        <v>2.8828627832883921E-4</v>
      </c>
      <c r="O73" s="45" t="e">
        <f t="shared" si="3"/>
        <v>#VALUE!</v>
      </c>
      <c r="P73" s="52">
        <f t="shared" si="4"/>
        <v>64</v>
      </c>
      <c r="Q73" s="53">
        <f t="shared" si="5"/>
        <v>-2.1758668898554822E-4</v>
      </c>
      <c r="R73" s="54" t="str">
        <f t="shared" si="6"/>
        <v/>
      </c>
      <c r="S73" s="53" t="str">
        <f t="shared" si="7"/>
        <v/>
      </c>
    </row>
    <row r="74" spans="1:19" x14ac:dyDescent="0.15">
      <c r="A74" s="15"/>
      <c r="B74" s="15"/>
      <c r="D74" s="1"/>
      <c r="E74" s="1"/>
      <c r="F74" s="1"/>
      <c r="J74" s="38">
        <v>65</v>
      </c>
      <c r="K74" s="40"/>
      <c r="L74" s="34">
        <f t="shared" ref="L74:L137" si="11">$F$39*((1-$F$40*J74)/(1+$F$41*J74))*(J74-$F$42)</f>
        <v>-2.1044110417883777E-4</v>
      </c>
      <c r="M74" s="35">
        <f t="shared" ref="M74:M137" si="12">$F$39*((1-2*$F$40*J74-$F$40*$F$41*(J74^2)+($F$41+$F$40)*$F$42)/(1+$F$41*J74)^2)</f>
        <v>7.1109056262910497E-6</v>
      </c>
      <c r="N74" s="44">
        <f t="shared" si="10"/>
        <v>2.8574466045804881E-4</v>
      </c>
      <c r="O74" s="45" t="e">
        <f t="shared" ref="O74:O137" si="13">IF(N74&lt;=$B$49,1+O73,0)</f>
        <v>#VALUE!</v>
      </c>
      <c r="P74" s="52">
        <f t="shared" ref="P74:P137" si="14">IF(J74&lt;=$F$42,J74,"")</f>
        <v>65</v>
      </c>
      <c r="Q74" s="53">
        <f t="shared" ref="Q74:Q137" si="15">IF(J74&lt;=$F$42,L74,"")</f>
        <v>-2.1044110417883777E-4</v>
      </c>
      <c r="R74" s="54" t="str">
        <f t="shared" ref="R74:R137" si="16">IF(AND(J74&gt;=$F$42,J74&lt;=200),J74,"")</f>
        <v/>
      </c>
      <c r="S74" s="53" t="str">
        <f t="shared" ref="S74:S137" si="17">IF(AND(J74&gt;=$F$42,J74&lt;=200),L74,"")</f>
        <v/>
      </c>
    </row>
    <row r="75" spans="1:19" x14ac:dyDescent="0.15">
      <c r="A75" s="18"/>
      <c r="B75" s="15"/>
      <c r="D75" s="1"/>
      <c r="E75" s="1"/>
      <c r="F75" s="1"/>
      <c r="J75" s="38">
        <v>66</v>
      </c>
      <c r="K75" s="40"/>
      <c r="L75" s="34">
        <f t="shared" si="11"/>
        <v>-2.0336455160803853E-4</v>
      </c>
      <c r="M75" s="35">
        <f t="shared" si="12"/>
        <v>7.0423610443227876E-6</v>
      </c>
      <c r="N75" s="44">
        <f t="shared" si="10"/>
        <v>2.8323553472870777E-4</v>
      </c>
      <c r="O75" s="45" t="e">
        <f t="shared" si="13"/>
        <v>#VALUE!</v>
      </c>
      <c r="P75" s="52">
        <f t="shared" si="14"/>
        <v>66</v>
      </c>
      <c r="Q75" s="53">
        <f t="shared" si="15"/>
        <v>-2.0336455160803853E-4</v>
      </c>
      <c r="R75" s="54" t="str">
        <f t="shared" si="16"/>
        <v/>
      </c>
      <c r="S75" s="53" t="str">
        <f t="shared" si="17"/>
        <v/>
      </c>
    </row>
    <row r="76" spans="1:19" x14ac:dyDescent="0.15">
      <c r="A76" s="15"/>
      <c r="B76" s="15"/>
      <c r="D76" s="1"/>
      <c r="E76" s="1"/>
      <c r="F76" s="1"/>
      <c r="J76" s="38">
        <v>67</v>
      </c>
      <c r="K76" s="40"/>
      <c r="L76" s="34">
        <f t="shared" si="11"/>
        <v>-1.9635606205599881E-4</v>
      </c>
      <c r="M76" s="35">
        <f t="shared" si="12"/>
        <v>6.9747765790862182E-6</v>
      </c>
      <c r="N76" s="44">
        <f t="shared" si="10"/>
        <v>2.8075834766505981E-4</v>
      </c>
      <c r="O76" s="45" t="e">
        <f t="shared" si="13"/>
        <v>#VALUE!</v>
      </c>
      <c r="P76" s="52">
        <f t="shared" si="14"/>
        <v>67</v>
      </c>
      <c r="Q76" s="53">
        <f t="shared" si="15"/>
        <v>-1.9635606205599881E-4</v>
      </c>
      <c r="R76" s="54" t="str">
        <f t="shared" si="16"/>
        <v/>
      </c>
      <c r="S76" s="53" t="str">
        <f t="shared" si="17"/>
        <v/>
      </c>
    </row>
    <row r="77" spans="1:19" x14ac:dyDescent="0.15">
      <c r="A77" s="15"/>
      <c r="B77" s="15"/>
      <c r="D77" s="1"/>
      <c r="E77" s="1"/>
      <c r="F77" s="1"/>
      <c r="J77" s="38">
        <v>68</v>
      </c>
      <c r="K77" s="40"/>
      <c r="L77" s="34">
        <f t="shared" si="11"/>
        <v>-1.8941468436487944E-4</v>
      </c>
      <c r="M77" s="35">
        <f t="shared" si="12"/>
        <v>6.9081343825684806E-6</v>
      </c>
      <c r="N77" s="44">
        <f t="shared" si="10"/>
        <v>2.7831255756759503E-4</v>
      </c>
      <c r="O77" s="45" t="e">
        <f t="shared" si="13"/>
        <v>#VALUE!</v>
      </c>
      <c r="P77" s="52">
        <f t="shared" si="14"/>
        <v>68</v>
      </c>
      <c r="Q77" s="53">
        <f t="shared" si="15"/>
        <v>-1.8941468436487944E-4</v>
      </c>
      <c r="R77" s="54" t="str">
        <f t="shared" si="16"/>
        <v/>
      </c>
      <c r="S77" s="53" t="str">
        <f t="shared" si="17"/>
        <v/>
      </c>
    </row>
    <row r="78" spans="1:19" x14ac:dyDescent="0.15">
      <c r="A78" s="15"/>
      <c r="B78" s="15"/>
      <c r="D78" s="1"/>
      <c r="E78" s="1"/>
      <c r="F78" s="1"/>
      <c r="J78" s="38">
        <v>69</v>
      </c>
      <c r="K78" s="40"/>
      <c r="L78" s="34">
        <f t="shared" si="11"/>
        <v>-1.8253948501748248E-4</v>
      </c>
      <c r="M78" s="35">
        <f t="shared" si="12"/>
        <v>6.8424170195677373E-6</v>
      </c>
      <c r="N78" s="44">
        <f t="shared" si="10"/>
        <v>2.7589763421262609E-4</v>
      </c>
      <c r="O78" s="45" t="e">
        <f t="shared" si="13"/>
        <v>#VALUE!</v>
      </c>
      <c r="P78" s="52">
        <f t="shared" si="14"/>
        <v>69</v>
      </c>
      <c r="Q78" s="53">
        <f t="shared" si="15"/>
        <v>-1.8253948501748248E-4</v>
      </c>
      <c r="R78" s="54" t="str">
        <f t="shared" si="16"/>
        <v/>
      </c>
      <c r="S78" s="53" t="str">
        <f t="shared" si="17"/>
        <v/>
      </c>
    </row>
    <row r="79" spans="1:19" x14ac:dyDescent="0.15">
      <c r="A79" s="15"/>
      <c r="B79" s="15"/>
      <c r="D79" s="1"/>
      <c r="E79" s="1"/>
      <c r="F79" s="1"/>
      <c r="J79" s="38">
        <v>70</v>
      </c>
      <c r="K79" s="40"/>
      <c r="L79" s="34">
        <f t="shared" si="11"/>
        <v>-1.7572954773017381E-4</v>
      </c>
      <c r="M79" s="35">
        <f t="shared" si="12"/>
        <v>6.7776074562883674E-6</v>
      </c>
      <c r="N79" s="44">
        <f t="shared" si="10"/>
        <v>2.7351305856079789E-4</v>
      </c>
      <c r="O79" s="45" t="e">
        <f t="shared" si="13"/>
        <v>#VALUE!</v>
      </c>
      <c r="P79" s="52">
        <f t="shared" si="14"/>
        <v>70</v>
      </c>
      <c r="Q79" s="53">
        <f t="shared" si="15"/>
        <v>-1.7572954773017381E-4</v>
      </c>
      <c r="R79" s="54" t="str">
        <f t="shared" si="16"/>
        <v/>
      </c>
      <c r="S79" s="53" t="str">
        <f t="shared" si="17"/>
        <v/>
      </c>
    </row>
    <row r="80" spans="1:19" x14ac:dyDescent="0.15">
      <c r="A80" s="15"/>
      <c r="B80" s="15"/>
      <c r="D80" s="1"/>
      <c r="E80" s="1"/>
      <c r="F80" s="1"/>
      <c r="J80" s="38">
        <v>71</v>
      </c>
      <c r="K80" s="40"/>
      <c r="L80" s="34">
        <f t="shared" si="11"/>
        <v>-1.6898397305702628E-4</v>
      </c>
      <c r="M80" s="35">
        <f t="shared" si="12"/>
        <v>6.7136890493020225E-6</v>
      </c>
      <c r="N80" s="44">
        <f t="shared" si="10"/>
        <v>2.7115832247422681E-4</v>
      </c>
      <c r="O80" s="45" t="e">
        <f t="shared" si="13"/>
        <v>#VALUE!</v>
      </c>
      <c r="P80" s="52">
        <f t="shared" si="14"/>
        <v>71</v>
      </c>
      <c r="Q80" s="53">
        <f t="shared" si="15"/>
        <v>-1.6898397305702628E-4</v>
      </c>
      <c r="R80" s="54" t="str">
        <f t="shared" si="16"/>
        <v/>
      </c>
      <c r="S80" s="53" t="str">
        <f t="shared" si="17"/>
        <v/>
      </c>
    </row>
    <row r="81" spans="1:19" x14ac:dyDescent="0.15">
      <c r="A81" s="15"/>
      <c r="B81" s="15"/>
      <c r="D81" s="1"/>
      <c r="E81" s="1"/>
      <c r="F81" s="1"/>
      <c r="J81" s="38">
        <v>72</v>
      </c>
      <c r="K81" s="40"/>
      <c r="L81" s="34">
        <f t="shared" si="11"/>
        <v>-1.6230187800482447E-4</v>
      </c>
      <c r="M81" s="35">
        <f t="shared" si="12"/>
        <v>6.6506455348612848E-6</v>
      </c>
      <c r="N81" s="44">
        <f t="shared" si="10"/>
        <v>2.6883292844197845E-4</v>
      </c>
      <c r="O81" s="45" t="e">
        <f t="shared" si="13"/>
        <v>#VALUE!</v>
      </c>
      <c r="P81" s="52">
        <f t="shared" si="14"/>
        <v>72</v>
      </c>
      <c r="Q81" s="53">
        <f t="shared" si="15"/>
        <v>-1.6230187800482447E-4</v>
      </c>
      <c r="R81" s="54" t="str">
        <f t="shared" si="16"/>
        <v/>
      </c>
      <c r="S81" s="53" t="str">
        <f t="shared" si="17"/>
        <v/>
      </c>
    </row>
    <row r="82" spans="1:19" x14ac:dyDescent="0.15">
      <c r="A82" s="15"/>
      <c r="B82" s="15"/>
      <c r="D82" s="1"/>
      <c r="E82" s="1"/>
      <c r="F82" s="1"/>
      <c r="J82" s="38">
        <v>73</v>
      </c>
      <c r="K82" s="40"/>
      <c r="L82" s="34">
        <f t="shared" si="11"/>
        <v>-1.5568239565858484E-4</v>
      </c>
      <c r="M82" s="35">
        <f t="shared" si="12"/>
        <v>6.588461018553035E-6</v>
      </c>
      <c r="N82" s="44">
        <f t="shared" si="10"/>
        <v>2.665363893136023E-4</v>
      </c>
      <c r="O82" s="45" t="e">
        <f t="shared" si="13"/>
        <v>#VALUE!</v>
      </c>
      <c r="P82" s="52">
        <f t="shared" si="14"/>
        <v>73</v>
      </c>
      <c r="Q82" s="53">
        <f t="shared" si="15"/>
        <v>-1.5568239565858484E-4</v>
      </c>
      <c r="R82" s="54" t="str">
        <f t="shared" si="16"/>
        <v/>
      </c>
      <c r="S82" s="53" t="str">
        <f t="shared" si="17"/>
        <v/>
      </c>
    </row>
    <row r="83" spans="1:19" x14ac:dyDescent="0.15">
      <c r="A83" s="18"/>
      <c r="B83" s="18"/>
      <c r="D83" s="18"/>
      <c r="E83" s="18"/>
      <c r="F83" s="18"/>
      <c r="J83" s="38">
        <v>74</v>
      </c>
      <c r="K83" s="40"/>
      <c r="L83" s="34">
        <f t="shared" si="11"/>
        <v>-1.4912467481725775E-4</v>
      </c>
      <c r="M83" s="35">
        <f t="shared" si="12"/>
        <v>6.5271199652793117E-6</v>
      </c>
      <c r="N83" s="44">
        <f t="shared" si="10"/>
        <v>2.6426822804045448E-4</v>
      </c>
      <c r="O83" s="45" t="e">
        <f t="shared" si="13"/>
        <v>#VALUE!</v>
      </c>
      <c r="P83" s="52">
        <f t="shared" si="14"/>
        <v>74</v>
      </c>
      <c r="Q83" s="53">
        <f t="shared" si="15"/>
        <v>-1.4912467481725775E-4</v>
      </c>
      <c r="R83" s="54" t="str">
        <f t="shared" si="16"/>
        <v/>
      </c>
      <c r="S83" s="53" t="str">
        <f t="shared" si="17"/>
        <v/>
      </c>
    </row>
    <row r="84" spans="1:19" x14ac:dyDescent="0.15">
      <c r="A84" s="15"/>
      <c r="B84" s="15"/>
      <c r="D84" s="1"/>
      <c r="E84" s="1"/>
      <c r="F84" s="1"/>
      <c r="J84" s="38">
        <v>75</v>
      </c>
      <c r="K84" s="40"/>
      <c r="L84" s="34">
        <f t="shared" si="11"/>
        <v>-1.4262787963928994E-4</v>
      </c>
      <c r="M84" s="35">
        <f t="shared" si="12"/>
        <v>6.4666071895538094E-6</v>
      </c>
      <c r="N84" s="44">
        <f t="shared" si="10"/>
        <v>2.6202797742454778E-4</v>
      </c>
      <c r="O84" s="45" t="e">
        <f t="shared" si="13"/>
        <v>#VALUE!</v>
      </c>
      <c r="P84" s="52">
        <f t="shared" si="14"/>
        <v>75</v>
      </c>
      <c r="Q84" s="53">
        <f t="shared" si="15"/>
        <v>-1.4262787963928994E-4</v>
      </c>
      <c r="R84" s="54" t="str">
        <f t="shared" si="16"/>
        <v/>
      </c>
      <c r="S84" s="53" t="str">
        <f t="shared" si="17"/>
        <v/>
      </c>
    </row>
    <row r="85" spans="1:19" x14ac:dyDescent="0.15">
      <c r="A85" s="15"/>
      <c r="B85" s="15"/>
      <c r="D85" s="1"/>
      <c r="E85" s="1"/>
      <c r="F85" s="1"/>
      <c r="J85" s="38">
        <v>76</v>
      </c>
      <c r="K85" s="40"/>
      <c r="L85" s="34">
        <f t="shared" si="11"/>
        <v>-1.3619118929773723E-4</v>
      </c>
      <c r="M85" s="35">
        <f t="shared" si="12"/>
        <v>6.4069078461027454E-6</v>
      </c>
      <c r="N85" s="44">
        <f t="shared" si="10"/>
        <v>2.5981517987467981E-4</v>
      </c>
      <c r="O85" s="45" t="e">
        <f t="shared" si="13"/>
        <v>#VALUE!</v>
      </c>
      <c r="P85" s="52">
        <f t="shared" si="14"/>
        <v>76</v>
      </c>
      <c r="Q85" s="53">
        <f t="shared" si="15"/>
        <v>-1.3619118929773723E-4</v>
      </c>
      <c r="R85" s="54" t="str">
        <f t="shared" si="16"/>
        <v/>
      </c>
      <c r="S85" s="53" t="str">
        <f t="shared" si="17"/>
        <v/>
      </c>
    </row>
    <row r="86" spans="1:19" x14ac:dyDescent="0.15">
      <c r="A86" s="15"/>
      <c r="B86" s="15"/>
      <c r="D86" s="1"/>
      <c r="E86" s="1"/>
      <c r="F86" s="1"/>
      <c r="J86" s="38">
        <v>77</v>
      </c>
      <c r="K86" s="40"/>
      <c r="L86" s="34">
        <f t="shared" si="11"/>
        <v>-1.2981379764462917E-4</v>
      </c>
      <c r="M86" s="35">
        <f t="shared" si="12"/>
        <v>6.3480074207592239E-6</v>
      </c>
      <c r="N86" s="44">
        <f t="shared" si="10"/>
        <v>2.576293871695977E-4</v>
      </c>
      <c r="O86" s="45" t="e">
        <f t="shared" si="13"/>
        <v>#VALUE!</v>
      </c>
      <c r="P86" s="52">
        <f t="shared" si="14"/>
        <v>77</v>
      </c>
      <c r="Q86" s="53">
        <f t="shared" si="15"/>
        <v>-1.2981379764462917E-4</v>
      </c>
      <c r="R86" s="54" t="str">
        <f t="shared" si="16"/>
        <v/>
      </c>
      <c r="S86" s="53" t="str">
        <f t="shared" si="17"/>
        <v/>
      </c>
    </row>
    <row r="87" spans="1:19" x14ac:dyDescent="0.15">
      <c r="A87" s="15"/>
      <c r="B87" s="15"/>
      <c r="D87" s="1"/>
      <c r="E87" s="1"/>
      <c r="F87" s="1"/>
      <c r="J87" s="38">
        <v>78</v>
      </c>
      <c r="K87" s="40"/>
      <c r="L87" s="34">
        <f t="shared" si="11"/>
        <v>-1.2349491288429608E-4</v>
      </c>
      <c r="M87" s="35">
        <f t="shared" si="12"/>
        <v>6.2898917216406267E-6</v>
      </c>
      <c r="N87" s="44">
        <f t="shared" si="10"/>
        <v>2.5547016022796739E-4</v>
      </c>
      <c r="O87" s="45" t="e">
        <f t="shared" si="13"/>
        <v>#VALUE!</v>
      </c>
      <c r="P87" s="52">
        <f t="shared" si="14"/>
        <v>78</v>
      </c>
      <c r="Q87" s="53">
        <f t="shared" si="15"/>
        <v>-1.2349491288429608E-4</v>
      </c>
      <c r="R87" s="54" t="str">
        <f t="shared" si="16"/>
        <v/>
      </c>
      <c r="S87" s="53" t="str">
        <f t="shared" si="17"/>
        <v/>
      </c>
    </row>
    <row r="88" spans="1:19" x14ac:dyDescent="0.15">
      <c r="A88" s="18"/>
      <c r="B88" s="18"/>
      <c r="D88" s="18"/>
      <c r="E88" s="18"/>
      <c r="F88" s="18"/>
      <c r="G88" s="18"/>
      <c r="H88" s="18"/>
      <c r="I88" s="18"/>
      <c r="J88" s="38">
        <v>79</v>
      </c>
      <c r="K88" s="40"/>
      <c r="L88" s="34">
        <f t="shared" si="11"/>
        <v>-1.172337572553824E-4</v>
      </c>
      <c r="M88" s="35">
        <f t="shared" si="12"/>
        <v>6.2325468705991124E-6</v>
      </c>
      <c r="N88" s="44">
        <f t="shared" si="10"/>
        <v>2.5333706888492599E-4</v>
      </c>
      <c r="O88" s="45" t="e">
        <f t="shared" si="13"/>
        <v>#VALUE!</v>
      </c>
      <c r="P88" s="52">
        <f t="shared" si="14"/>
        <v>79</v>
      </c>
      <c r="Q88" s="53">
        <f t="shared" si="15"/>
        <v>-1.172337572553824E-4</v>
      </c>
      <c r="R88" s="54" t="str">
        <f t="shared" si="16"/>
        <v/>
      </c>
      <c r="S88" s="53" t="str">
        <f t="shared" si="17"/>
        <v/>
      </c>
    </row>
    <row r="89" spans="1:19" x14ac:dyDescent="0.15">
      <c r="A89" s="15"/>
      <c r="B89" s="15"/>
      <c r="D89" s="1"/>
      <c r="E89" s="1"/>
      <c r="F89" s="1"/>
      <c r="J89" s="38">
        <v>80</v>
      </c>
      <c r="K89" s="40"/>
      <c r="L89" s="34">
        <f t="shared" si="11"/>
        <v>-1.1102956672127619E-4</v>
      </c>
      <c r="M89" s="35">
        <f t="shared" si="12"/>
        <v>6.1759592949355028E-6</v>
      </c>
      <c r="N89" s="44">
        <f t="shared" si="10"/>
        <v>2.5122969167499967E-4</v>
      </c>
      <c r="O89" s="45" t="e">
        <f t="shared" si="13"/>
        <v>#VALUE!</v>
      </c>
      <c r="P89" s="52">
        <f t="shared" si="14"/>
        <v>80</v>
      </c>
      <c r="Q89" s="53">
        <f t="shared" si="15"/>
        <v>-1.1102956672127619E-4</v>
      </c>
      <c r="R89" s="54" t="str">
        <f t="shared" si="16"/>
        <v/>
      </c>
      <c r="S89" s="53" t="str">
        <f t="shared" si="17"/>
        <v/>
      </c>
    </row>
    <row r="90" spans="1:19" x14ac:dyDescent="0.15">
      <c r="A90" s="15"/>
      <c r="B90" s="15"/>
      <c r="D90" s="1"/>
      <c r="E90" s="1"/>
      <c r="F90" s="1"/>
      <c r="J90" s="38">
        <v>81</v>
      </c>
      <c r="K90" s="40"/>
      <c r="L90" s="34">
        <f t="shared" si="11"/>
        <v>-1.0488159066869734E-4</v>
      </c>
      <c r="M90" s="35">
        <f t="shared" si="12"/>
        <v>6.1201157193673904E-6</v>
      </c>
      <c r="N90" s="44">
        <f t="shared" si="10"/>
        <v>2.4914761562118209E-4</v>
      </c>
      <c r="O90" s="45" t="e">
        <f t="shared" si="13"/>
        <v>#VALUE!</v>
      </c>
      <c r="P90" s="52">
        <f t="shared" si="14"/>
        <v>81</v>
      </c>
      <c r="Q90" s="53">
        <f t="shared" si="15"/>
        <v>-1.0488159066869734E-4</v>
      </c>
      <c r="R90" s="54" t="str">
        <f t="shared" si="16"/>
        <v/>
      </c>
      <c r="S90" s="53" t="str">
        <f t="shared" si="17"/>
        <v/>
      </c>
    </row>
    <row r="91" spans="1:19" x14ac:dyDescent="0.15">
      <c r="A91" s="15"/>
      <c r="B91" s="15"/>
      <c r="D91" s="1"/>
      <c r="E91" s="1"/>
      <c r="F91" s="1"/>
      <c r="J91" s="38">
        <v>82</v>
      </c>
      <c r="K91" s="40"/>
      <c r="L91" s="34">
        <f t="shared" si="11"/>
        <v>-9.878909161419425E-5</v>
      </c>
      <c r="M91" s="35">
        <f t="shared" si="12"/>
        <v>6.065003158242582E-6</v>
      </c>
      <c r="N91" s="44">
        <f t="shared" si="10"/>
        <v>2.4709043602997286E-4</v>
      </c>
      <c r="O91" s="45" t="e">
        <f t="shared" si="13"/>
        <v>#VALUE!</v>
      </c>
      <c r="P91" s="52">
        <f t="shared" si="14"/>
        <v>82</v>
      </c>
      <c r="Q91" s="53">
        <f t="shared" si="15"/>
        <v>-9.878909161419425E-5</v>
      </c>
      <c r="R91" s="54" t="str">
        <f t="shared" si="16"/>
        <v/>
      </c>
      <c r="S91" s="53" t="str">
        <f t="shared" si="17"/>
        <v/>
      </c>
    </row>
    <row r="92" spans="1:19" x14ac:dyDescent="0.15">
      <c r="A92" s="15"/>
      <c r="B92" s="15"/>
      <c r="D92" s="1"/>
      <c r="E92" s="1"/>
      <c r="F92" s="1"/>
      <c r="J92" s="38">
        <v>83</v>
      </c>
      <c r="K92" s="40"/>
      <c r="L92" s="34">
        <f t="shared" si="11"/>
        <v>-9.27513449183076E-5</v>
      </c>
      <c r="M92" s="35">
        <f t="shared" si="12"/>
        <v>6.010608907989309E-6</v>
      </c>
      <c r="N92" s="44">
        <f t="shared" si="10"/>
        <v>2.4505775629218374E-4</v>
      </c>
      <c r="O92" s="45" t="e">
        <f t="shared" si="13"/>
        <v>#VALUE!</v>
      </c>
      <c r="P92" s="52">
        <f t="shared" si="14"/>
        <v>83</v>
      </c>
      <c r="Q92" s="53">
        <f t="shared" si="15"/>
        <v>-9.27513449183076E-5</v>
      </c>
      <c r="R92" s="54" t="str">
        <f t="shared" si="16"/>
        <v/>
      </c>
      <c r="S92" s="53" t="str">
        <f t="shared" si="17"/>
        <v/>
      </c>
    </row>
    <row r="93" spans="1:19" x14ac:dyDescent="0.15">
      <c r="A93" s="15"/>
      <c r="B93" s="15"/>
      <c r="D93" s="1"/>
      <c r="E93" s="1"/>
      <c r="F93" s="1"/>
      <c r="J93" s="38">
        <v>84</v>
      </c>
      <c r="K93" s="40"/>
      <c r="L93" s="34">
        <f t="shared" si="11"/>
        <v>-8.6767638507169654E-5</v>
      </c>
      <c r="M93" s="35">
        <f t="shared" si="12"/>
        <v>5.9569205397950952E-6</v>
      </c>
      <c r="N93" s="44">
        <f t="shared" si="10"/>
        <v>2.430491876893279E-4</v>
      </c>
      <c r="O93" s="45" t="e">
        <f t="shared" si="13"/>
        <v>#VALUE!</v>
      </c>
      <c r="P93" s="52">
        <f t="shared" si="14"/>
        <v>84</v>
      </c>
      <c r="Q93" s="53">
        <f t="shared" si="15"/>
        <v>-8.6767638507169654E-5</v>
      </c>
      <c r="R93" s="54" t="str">
        <f t="shared" si="16"/>
        <v/>
      </c>
      <c r="S93" s="53" t="str">
        <f t="shared" si="17"/>
        <v/>
      </c>
    </row>
    <row r="94" spans="1:19" x14ac:dyDescent="0.15">
      <c r="A94" s="15"/>
      <c r="B94" s="15"/>
      <c r="D94" s="1"/>
      <c r="E94" s="1"/>
      <c r="F94" s="1"/>
      <c r="J94" s="38">
        <v>85</v>
      </c>
      <c r="K94" s="40"/>
      <c r="L94" s="34">
        <f t="shared" si="11"/>
        <v>-8.0837272601312819E-5</v>
      </c>
      <c r="M94" s="35">
        <f t="shared" si="12"/>
        <v>5.9039258925062892E-6</v>
      </c>
      <c r="N94" s="44">
        <f t="shared" si="10"/>
        <v>2.410643492054124E-4</v>
      </c>
      <c r="O94" s="45" t="e">
        <f t="shared" si="13"/>
        <v>#VALUE!</v>
      </c>
      <c r="P94" s="52">
        <f t="shared" si="14"/>
        <v>85</v>
      </c>
      <c r="Q94" s="53">
        <f t="shared" si="15"/>
        <v>-8.0837272601312819E-5</v>
      </c>
      <c r="R94" s="54" t="str">
        <f t="shared" si="16"/>
        <v/>
      </c>
      <c r="S94" s="53" t="str">
        <f t="shared" si="17"/>
        <v/>
      </c>
    </row>
    <row r="95" spans="1:19" x14ac:dyDescent="0.15">
      <c r="A95" s="15"/>
      <c r="B95" s="15"/>
      <c r="D95" s="1"/>
      <c r="E95" s="1"/>
      <c r="F95" s="1"/>
      <c r="J95" s="38">
        <v>86</v>
      </c>
      <c r="K95" s="40"/>
      <c r="L95" s="34">
        <f t="shared" si="11"/>
        <v>-7.4959559451472248E-5</v>
      </c>
      <c r="M95" s="35">
        <f t="shared" si="12"/>
        <v>5.8516130657408145E-6</v>
      </c>
      <c r="N95" s="44">
        <f t="shared" si="10"/>
        <v>2.3910286734396365E-4</v>
      </c>
      <c r="O95" s="45" t="e">
        <f t="shared" si="13"/>
        <v>#VALUE!</v>
      </c>
      <c r="P95" s="52">
        <f t="shared" si="14"/>
        <v>86</v>
      </c>
      <c r="Q95" s="53">
        <f t="shared" si="15"/>
        <v>-7.4959559451472248E-5</v>
      </c>
      <c r="R95" s="54" t="str">
        <f t="shared" si="16"/>
        <v/>
      </c>
      <c r="S95" s="53" t="str">
        <f t="shared" si="17"/>
        <v/>
      </c>
    </row>
    <row r="96" spans="1:19" x14ac:dyDescent="0.15">
      <c r="A96" s="18"/>
      <c r="B96" s="18"/>
      <c r="D96" s="1"/>
      <c r="E96" s="1"/>
      <c r="F96" s="1"/>
      <c r="J96" s="38">
        <v>87</v>
      </c>
      <c r="K96" s="40"/>
      <c r="L96" s="34">
        <f t="shared" si="11"/>
        <v>-6.913382308117165E-5</v>
      </c>
      <c r="M96" s="35">
        <f t="shared" si="12"/>
        <v>5.7999704132067494E-6</v>
      </c>
      <c r="N96" s="44">
        <f t="shared" si="10"/>
        <v>2.3716437595011771E-4</v>
      </c>
      <c r="O96" s="45" t="e">
        <f t="shared" si="13"/>
        <v>#VALUE!</v>
      </c>
      <c r="P96" s="52">
        <f t="shared" si="14"/>
        <v>87</v>
      </c>
      <c r="Q96" s="53">
        <f t="shared" si="15"/>
        <v>-6.913382308117165E-5</v>
      </c>
      <c r="R96" s="54" t="str">
        <f t="shared" si="16"/>
        <v/>
      </c>
      <c r="S96" s="53" t="str">
        <f t="shared" si="17"/>
        <v/>
      </c>
    </row>
    <row r="97" spans="1:19" x14ac:dyDescent="0.15">
      <c r="A97" s="15"/>
      <c r="B97" s="15"/>
      <c r="D97" s="1"/>
      <c r="E97" s="1"/>
      <c r="F97" s="1"/>
      <c r="J97" s="38">
        <v>88</v>
      </c>
      <c r="K97" s="40"/>
      <c r="L97" s="34">
        <f t="shared" si="11"/>
        <v>-6.3359399035890757E-5</v>
      </c>
      <c r="M97" s="35">
        <f t="shared" si="12"/>
        <v>5.7489865362198006E-6</v>
      </c>
      <c r="N97" s="44">
        <f t="shared" si="10"/>
        <v>2.3524851603761674E-4</v>
      </c>
      <c r="O97" s="45" t="e">
        <f t="shared" si="13"/>
        <v>#VALUE!</v>
      </c>
      <c r="P97" s="52">
        <f t="shared" si="14"/>
        <v>88</v>
      </c>
      <c r="Q97" s="53">
        <f t="shared" si="15"/>
        <v>-6.3359399035890757E-5</v>
      </c>
      <c r="R97" s="54" t="str">
        <f t="shared" si="16"/>
        <v/>
      </c>
      <c r="S97" s="53" t="str">
        <f t="shared" si="17"/>
        <v/>
      </c>
    </row>
    <row r="98" spans="1:19" x14ac:dyDescent="0.15">
      <c r="A98" s="15"/>
      <c r="B98" s="15"/>
      <c r="D98" s="1"/>
      <c r="E98" s="1"/>
      <c r="F98" s="1"/>
      <c r="J98" s="38">
        <v>89</v>
      </c>
      <c r="K98" s="40"/>
      <c r="L98" s="34">
        <f t="shared" si="11"/>
        <v>-5.7635634138618596E-5</v>
      </c>
      <c r="M98" s="35">
        <f t="shared" si="12"/>
        <v>5.6986502774129033E-6</v>
      </c>
      <c r="N98" s="44">
        <f t="shared" si="10"/>
        <v>2.3335493562055644E-4</v>
      </c>
      <c r="O98" s="45" t="e">
        <f t="shared" si="13"/>
        <v>#VALUE!</v>
      </c>
      <c r="P98" s="52">
        <f t="shared" si="14"/>
        <v>89</v>
      </c>
      <c r="Q98" s="53">
        <f t="shared" si="15"/>
        <v>-5.7635634138618596E-5</v>
      </c>
      <c r="R98" s="54" t="str">
        <f t="shared" si="16"/>
        <v/>
      </c>
      <c r="S98" s="53" t="str">
        <f t="shared" si="17"/>
        <v/>
      </c>
    </row>
    <row r="99" spans="1:19" x14ac:dyDescent="0.15">
      <c r="A99" s="15"/>
      <c r="B99" s="15"/>
      <c r="D99" s="1"/>
      <c r="E99" s="1"/>
      <c r="F99" s="1"/>
      <c r="J99" s="38">
        <v>90</v>
      </c>
      <c r="K99" s="40"/>
      <c r="L99" s="34">
        <f t="shared" si="11"/>
        <v>-5.1961886251603876E-5</v>
      </c>
      <c r="M99" s="35">
        <f t="shared" si="12"/>
        <v>5.6489507146314649E-6</v>
      </c>
      <c r="N99" s="44">
        <f t="shared" si="10"/>
        <v>2.3148328954973626E-4</v>
      </c>
      <c r="O99" s="45" t="e">
        <f t="shared" si="13"/>
        <v>#VALUE!</v>
      </c>
      <c r="P99" s="52">
        <f t="shared" si="14"/>
        <v>90</v>
      </c>
      <c r="Q99" s="53">
        <f t="shared" si="15"/>
        <v>-5.1961886251603876E-5</v>
      </c>
      <c r="R99" s="54" t="str">
        <f t="shared" si="16"/>
        <v/>
      </c>
      <c r="S99" s="53" t="str">
        <f t="shared" si="17"/>
        <v/>
      </c>
    </row>
    <row r="100" spans="1:19" x14ac:dyDescent="0.15">
      <c r="A100" s="15"/>
      <c r="B100" s="15"/>
      <c r="D100" s="1"/>
      <c r="E100" s="1"/>
      <c r="F100" s="1"/>
      <c r="J100" s="38">
        <v>91</v>
      </c>
      <c r="K100" s="40"/>
      <c r="L100" s="34">
        <f t="shared" si="11"/>
        <v>-4.6337524044119826E-5</v>
      </c>
      <c r="M100" s="35">
        <f t="shared" si="12"/>
        <v>5.599877155008061E-6</v>
      </c>
      <c r="N100" s="44">
        <f t="shared" si="10"/>
        <v>2.2963323935346785E-4</v>
      </c>
      <c r="O100" s="45" t="e">
        <f t="shared" si="13"/>
        <v>#VALUE!</v>
      </c>
      <c r="P100" s="52">
        <f t="shared" si="14"/>
        <v>91</v>
      </c>
      <c r="Q100" s="53">
        <f t="shared" si="15"/>
        <v>-4.6337524044119826E-5</v>
      </c>
      <c r="R100" s="54" t="str">
        <f t="shared" si="16"/>
        <v/>
      </c>
      <c r="S100" s="53" t="str">
        <f t="shared" si="17"/>
        <v/>
      </c>
    </row>
    <row r="101" spans="1:19" x14ac:dyDescent="0.15">
      <c r="A101" s="15"/>
      <c r="B101" s="15"/>
      <c r="D101" s="1"/>
      <c r="E101" s="1"/>
      <c r="F101" s="1"/>
      <c r="J101" s="38">
        <v>92</v>
      </c>
      <c r="K101" s="40"/>
      <c r="L101" s="34">
        <f t="shared" si="11"/>
        <v>-4.0761926766067268E-5</v>
      </c>
      <c r="M101" s="35">
        <f t="shared" si="12"/>
        <v>5.5514191292105014E-6</v>
      </c>
      <c r="N101" s="44">
        <f t="shared" si="10"/>
        <v>2.2780445308270332E-4</v>
      </c>
      <c r="O101" s="45" t="e">
        <f t="shared" si="13"/>
        <v>#VALUE!</v>
      </c>
      <c r="P101" s="52">
        <f t="shared" si="14"/>
        <v>92</v>
      </c>
      <c r="Q101" s="53">
        <f t="shared" si="15"/>
        <v>-4.0761926766067268E-5</v>
      </c>
      <c r="R101" s="54" t="str">
        <f t="shared" si="16"/>
        <v/>
      </c>
      <c r="S101" s="53" t="str">
        <f t="shared" si="17"/>
        <v/>
      </c>
    </row>
    <row r="102" spans="1:19" x14ac:dyDescent="0.15">
      <c r="A102" s="15"/>
      <c r="B102" s="15"/>
      <c r="D102" s="1"/>
      <c r="E102" s="1"/>
      <c r="F102" s="1"/>
      <c r="J102" s="38">
        <v>93</v>
      </c>
      <c r="K102" s="40"/>
      <c r="L102" s="34">
        <f t="shared" si="11"/>
        <v>-3.5234484027245173E-5</v>
      </c>
      <c r="M102" s="35">
        <f t="shared" si="12"/>
        <v>5.5035663858575714E-6</v>
      </c>
      <c r="N102" s="44">
        <f t="shared" si="10"/>
        <v>2.2599660516035033E-4</v>
      </c>
      <c r="O102" s="45" t="e">
        <f t="shared" si="13"/>
        <v>#VALUE!</v>
      </c>
      <c r="P102" s="52">
        <f t="shared" si="14"/>
        <v>93</v>
      </c>
      <c r="Q102" s="53">
        <f t="shared" si="15"/>
        <v>-3.5234484027245173E-5</v>
      </c>
      <c r="R102" s="54" t="str">
        <f t="shared" si="16"/>
        <v/>
      </c>
      <c r="S102" s="53" t="str">
        <f t="shared" si="17"/>
        <v/>
      </c>
    </row>
    <row r="103" spans="1:19" x14ac:dyDescent="0.15">
      <c r="A103" s="15"/>
      <c r="B103" s="15"/>
      <c r="D103" s="1"/>
      <c r="E103" s="1"/>
      <c r="F103" s="1"/>
      <c r="J103" s="38">
        <v>94</v>
      </c>
      <c r="K103" s="40"/>
      <c r="L103" s="34">
        <f t="shared" si="11"/>
        <v>-2.9754595582124119E-5</v>
      </c>
      <c r="M103" s="35">
        <f t="shared" si="12"/>
        <v>5.4563088860968362E-6</v>
      </c>
      <c r="N103" s="44">
        <f t="shared" si="10"/>
        <v>2.2420937623464311E-4</v>
      </c>
      <c r="O103" s="45" t="e">
        <f t="shared" si="13"/>
        <v>#VALUE!</v>
      </c>
      <c r="P103" s="52">
        <f t="shared" si="14"/>
        <v>94</v>
      </c>
      <c r="Q103" s="53">
        <f t="shared" si="15"/>
        <v>-2.9754595582124119E-5</v>
      </c>
      <c r="R103" s="54" t="str">
        <f t="shared" si="16"/>
        <v/>
      </c>
      <c r="S103" s="53" t="str">
        <f t="shared" si="17"/>
        <v/>
      </c>
    </row>
    <row r="104" spans="1:19" x14ac:dyDescent="0.15">
      <c r="A104" s="15"/>
      <c r="B104" s="15"/>
      <c r="D104" s="1"/>
      <c r="E104" s="1"/>
      <c r="F104" s="1"/>
      <c r="J104" s="38">
        <v>95</v>
      </c>
      <c r="K104" s="40"/>
      <c r="L104" s="34">
        <f t="shared" si="11"/>
        <v>-2.4321671119963045E-5</v>
      </c>
      <c r="M104" s="35">
        <f t="shared" si="12"/>
        <v>5.4096367983391847E-6</v>
      </c>
      <c r="N104" s="44">
        <f t="shared" si="10"/>
        <v>2.2244245303644676E-4</v>
      </c>
      <c r="O104" s="45" t="e">
        <f t="shared" si="13"/>
        <v>#VALUE!</v>
      </c>
      <c r="P104" s="52">
        <f t="shared" si="14"/>
        <v>95</v>
      </c>
      <c r="Q104" s="53">
        <f t="shared" si="15"/>
        <v>-2.4321671119963045E-5</v>
      </c>
      <c r="R104" s="54" t="str">
        <f t="shared" si="16"/>
        <v/>
      </c>
      <c r="S104" s="53" t="str">
        <f t="shared" si="17"/>
        <v/>
      </c>
    </row>
    <row r="105" spans="1:19" x14ac:dyDescent="0.15">
      <c r="A105" s="15"/>
      <c r="B105" s="15"/>
      <c r="D105" s="1"/>
      <c r="E105" s="1"/>
      <c r="F105" s="1"/>
      <c r="J105" s="38">
        <v>96</v>
      </c>
      <c r="K105" s="40"/>
      <c r="L105" s="34">
        <f t="shared" si="11"/>
        <v>-1.8935130060115344E-5</v>
      </c>
      <c r="M105" s="35">
        <f t="shared" si="12"/>
        <v>5.3635404931449187E-6</v>
      </c>
      <c r="N105" s="44">
        <f t="shared" si="10"/>
        <v>2.206955282403727E-4</v>
      </c>
      <c r="O105" s="45" t="e">
        <f t="shared" si="13"/>
        <v>#VALUE!</v>
      </c>
      <c r="P105" s="52">
        <f t="shared" si="14"/>
        <v>96</v>
      </c>
      <c r="Q105" s="53">
        <f t="shared" si="15"/>
        <v>-1.8935130060115344E-5</v>
      </c>
      <c r="R105" s="54" t="str">
        <f t="shared" si="16"/>
        <v/>
      </c>
      <c r="S105" s="53" t="str">
        <f t="shared" si="17"/>
        <v/>
      </c>
    </row>
    <row r="106" spans="1:19" x14ac:dyDescent="0.15">
      <c r="A106" s="15"/>
      <c r="B106" s="15"/>
      <c r="D106" s="1"/>
      <c r="E106" s="1"/>
      <c r="F106" s="1"/>
      <c r="J106" s="38">
        <v>97</v>
      </c>
      <c r="K106" s="40"/>
      <c r="L106" s="34">
        <f t="shared" si="11"/>
        <v>-1.359440135237505E-5</v>
      </c>
      <c r="M106" s="35">
        <f t="shared" si="12"/>
        <v>5.3180105382564753E-6</v>
      </c>
      <c r="N106" s="44">
        <f t="shared" si="10"/>
        <v>2.1896830032958991E-4</v>
      </c>
      <c r="O106" s="45" t="e">
        <f t="shared" si="13"/>
        <v>#VALUE!</v>
      </c>
      <c r="P106" s="52">
        <f t="shared" si="14"/>
        <v>97</v>
      </c>
      <c r="Q106" s="53">
        <f t="shared" si="15"/>
        <v>-1.359440135237505E-5</v>
      </c>
      <c r="R106" s="54" t="str">
        <f t="shared" si="16"/>
        <v/>
      </c>
      <c r="S106" s="53" t="str">
        <f t="shared" si="17"/>
        <v/>
      </c>
    </row>
    <row r="107" spans="1:19" x14ac:dyDescent="0.15">
      <c r="A107" s="15"/>
      <c r="B107" s="15"/>
      <c r="D107" s="1"/>
      <c r="E107" s="1"/>
      <c r="F107" s="1"/>
      <c r="J107" s="38">
        <v>98</v>
      </c>
      <c r="K107" s="40"/>
      <c r="L107" s="34">
        <f t="shared" si="11"/>
        <v>-8.2989232822191154E-6</v>
      </c>
      <c r="M107" s="35">
        <f t="shared" si="12"/>
        <v>5.2730376937729527E-6</v>
      </c>
      <c r="N107" s="44">
        <f t="shared" si="10"/>
        <v>2.1726047346421994E-4</v>
      </c>
      <c r="O107" s="45" t="e">
        <f t="shared" si="13"/>
        <v>#VALUE!</v>
      </c>
      <c r="P107" s="52">
        <f t="shared" si="14"/>
        <v>98</v>
      </c>
      <c r="Q107" s="53">
        <f t="shared" si="15"/>
        <v>-8.2989232822191154E-6</v>
      </c>
      <c r="R107" s="54" t="str">
        <f t="shared" si="16"/>
        <v/>
      </c>
      <c r="S107" s="53" t="str">
        <f t="shared" si="17"/>
        <v/>
      </c>
    </row>
    <row r="108" spans="1:19" x14ac:dyDescent="0.15">
      <c r="A108" s="50"/>
      <c r="B108" s="50"/>
      <c r="J108" s="38">
        <v>99</v>
      </c>
      <c r="K108" s="40"/>
      <c r="L108" s="34">
        <f t="shared" si="11"/>
        <v>-3.048143280806095E-6</v>
      </c>
      <c r="M108" s="35">
        <f t="shared" si="12"/>
        <v>5.2286129074618376E-6</v>
      </c>
      <c r="N108" s="44">
        <f t="shared" si="10"/>
        <v>2.1557175735320653E-4</v>
      </c>
      <c r="O108" s="45" t="e">
        <f t="shared" si="13"/>
        <v>#VALUE!</v>
      </c>
      <c r="P108" s="52">
        <f t="shared" si="14"/>
        <v>99</v>
      </c>
      <c r="Q108" s="53">
        <f t="shared" si="15"/>
        <v>-3.048143280806095E-6</v>
      </c>
      <c r="R108" s="54" t="str">
        <f t="shared" si="16"/>
        <v/>
      </c>
      <c r="S108" s="53" t="str">
        <f t="shared" si="17"/>
        <v/>
      </c>
    </row>
    <row r="109" spans="1:19" x14ac:dyDescent="0.15">
      <c r="A109" s="50"/>
      <c r="B109" s="50"/>
      <c r="J109" s="38">
        <v>100</v>
      </c>
      <c r="K109" s="75">
        <f>B22</f>
        <v>2.0933019999999999E-4</v>
      </c>
      <c r="L109" s="34">
        <f t="shared" si="11"/>
        <v>2.1584822604035978E-6</v>
      </c>
      <c r="M109" s="35">
        <f t="shared" si="12"/>
        <v>5.1847273102035359E-6</v>
      </c>
      <c r="N109" s="44">
        <f t="shared" si="10"/>
        <v>2.1390186712955537E-4</v>
      </c>
      <c r="O109" s="45" t="e">
        <f t="shared" si="13"/>
        <v>#VALUE!</v>
      </c>
      <c r="P109" s="52" t="str">
        <f t="shared" si="14"/>
        <v/>
      </c>
      <c r="Q109" s="53" t="str">
        <f t="shared" si="15"/>
        <v/>
      </c>
      <c r="R109" s="54">
        <f t="shared" si="16"/>
        <v>100</v>
      </c>
      <c r="S109" s="53">
        <f t="shared" si="17"/>
        <v>2.1584822604035978E-6</v>
      </c>
    </row>
    <row r="110" spans="1:19" x14ac:dyDescent="0.15">
      <c r="A110" s="50"/>
      <c r="B110" s="50"/>
      <c r="J110" s="38">
        <v>101</v>
      </c>
      <c r="K110" s="40"/>
      <c r="L110" s="34">
        <f t="shared" si="11"/>
        <v>7.3214881705365846E-6</v>
      </c>
      <c r="M110" s="35">
        <f t="shared" si="12"/>
        <v>5.1413722115643583E-6</v>
      </c>
      <c r="N110" s="44">
        <f t="shared" si="10"/>
        <v>2.1225052322884307E-4</v>
      </c>
      <c r="O110" s="45" t="e">
        <f t="shared" si="13"/>
        <v>#VALUE!</v>
      </c>
      <c r="P110" s="52" t="str">
        <f t="shared" si="14"/>
        <v/>
      </c>
      <c r="Q110" s="53" t="str">
        <f t="shared" si="15"/>
        <v/>
      </c>
      <c r="R110" s="54">
        <f t="shared" si="16"/>
        <v>101</v>
      </c>
      <c r="S110" s="53">
        <f t="shared" si="17"/>
        <v>7.3214881705365846E-6</v>
      </c>
    </row>
    <row r="111" spans="1:19" x14ac:dyDescent="0.15">
      <c r="A111" s="50"/>
      <c r="B111" s="50"/>
      <c r="J111" s="38">
        <v>102</v>
      </c>
      <c r="K111" s="40"/>
      <c r="L111" s="34">
        <f t="shared" si="11"/>
        <v>1.2441400675830918E-5</v>
      </c>
      <c r="M111" s="35">
        <f t="shared" si="12"/>
        <v>5.0985390954938952E-6</v>
      </c>
      <c r="N111" s="44">
        <f t="shared" si="10"/>
        <v>2.106174512708977E-4</v>
      </c>
      <c r="O111" s="45" t="e">
        <f t="shared" si="13"/>
        <v>#VALUE!</v>
      </c>
      <c r="P111" s="52" t="str">
        <f t="shared" si="14"/>
        <v/>
      </c>
      <c r="Q111" s="53" t="str">
        <f t="shared" si="15"/>
        <v/>
      </c>
      <c r="R111" s="54">
        <f t="shared" si="16"/>
        <v>102</v>
      </c>
      <c r="S111" s="53">
        <f t="shared" si="17"/>
        <v>1.2441400675830918E-5</v>
      </c>
    </row>
    <row r="112" spans="1:19" x14ac:dyDescent="0.15">
      <c r="A112" s="50"/>
      <c r="B112" s="50"/>
      <c r="J112" s="38">
        <v>103</v>
      </c>
      <c r="K112" s="40"/>
      <c r="L112" s="34">
        <f t="shared" si="11"/>
        <v>1.7518737571918357E-5</v>
      </c>
      <c r="M112" s="35">
        <f t="shared" si="12"/>
        <v>5.0562196161427657E-6</v>
      </c>
      <c r="N112" s="44">
        <f t="shared" si="10"/>
        <v>2.0900238194455532E-4</v>
      </c>
      <c r="O112" s="45" t="e">
        <f t="shared" si="13"/>
        <v>#VALUE!</v>
      </c>
      <c r="P112" s="52" t="str">
        <f t="shared" si="14"/>
        <v/>
      </c>
      <c r="Q112" s="53" t="str">
        <f t="shared" si="15"/>
        <v/>
      </c>
      <c r="R112" s="54">
        <f t="shared" si="16"/>
        <v>103</v>
      </c>
      <c r="S112" s="53">
        <f t="shared" si="17"/>
        <v>1.7518737571918357E-5</v>
      </c>
    </row>
    <row r="113" spans="1:19" x14ac:dyDescent="0.15">
      <c r="A113" s="50"/>
      <c r="B113" s="50"/>
      <c r="J113" s="38">
        <v>104</v>
      </c>
      <c r="K113" s="40"/>
      <c r="L113" s="34">
        <f t="shared" si="11"/>
        <v>2.2554008391982999E-5</v>
      </c>
      <c r="M113" s="35">
        <f t="shared" si="12"/>
        <v>5.0144055937969293E-6</v>
      </c>
      <c r="N113" s="44">
        <f t="shared" si="10"/>
        <v>2.0740505089540247E-4</v>
      </c>
      <c r="O113" s="45" t="e">
        <f t="shared" si="13"/>
        <v>#VALUE!</v>
      </c>
      <c r="P113" s="52" t="str">
        <f t="shared" si="14"/>
        <v/>
      </c>
      <c r="Q113" s="53" t="str">
        <f t="shared" si="15"/>
        <v/>
      </c>
      <c r="R113" s="54">
        <f t="shared" si="16"/>
        <v>104</v>
      </c>
      <c r="S113" s="53">
        <f t="shared" si="17"/>
        <v>2.2554008391982999E-5</v>
      </c>
    </row>
    <row r="114" spans="1:19" x14ac:dyDescent="0.15">
      <c r="A114" s="50"/>
      <c r="B114" s="50"/>
      <c r="J114" s="38">
        <v>105</v>
      </c>
      <c r="K114" s="40"/>
      <c r="L114" s="34">
        <f t="shared" si="11"/>
        <v>2.7547714570910956E-5</v>
      </c>
      <c r="M114" s="35">
        <f t="shared" si="12"/>
        <v>4.9730890109248622E-6</v>
      </c>
      <c r="N114" s="44">
        <f t="shared" si="10"/>
        <v>2.0582519861641574E-4</v>
      </c>
      <c r="O114" s="45" t="e">
        <f t="shared" si="13"/>
        <v>#VALUE!</v>
      </c>
      <c r="P114" s="52" t="str">
        <f t="shared" si="14"/>
        <v/>
      </c>
      <c r="Q114" s="53" t="str">
        <f t="shared" si="15"/>
        <v/>
      </c>
      <c r="R114" s="54">
        <f t="shared" si="16"/>
        <v>105</v>
      </c>
      <c r="S114" s="53">
        <f t="shared" si="17"/>
        <v>2.7547714570910956E-5</v>
      </c>
    </row>
    <row r="115" spans="1:19" x14ac:dyDescent="0.15">
      <c r="A115" s="50"/>
      <c r="B115" s="50"/>
      <c r="J115" s="38">
        <v>106</v>
      </c>
      <c r="K115" s="40"/>
      <c r="L115" s="34">
        <f t="shared" si="11"/>
        <v>3.2500349605542125E-5</v>
      </c>
      <c r="M115" s="35">
        <f t="shared" si="12"/>
        <v>4.9322620083339906E-6</v>
      </c>
      <c r="N115" s="44">
        <f t="shared" si="10"/>
        <v>2.0426257034141307E-4</v>
      </c>
      <c r="O115" s="45" t="e">
        <f t="shared" si="13"/>
        <v>#VALUE!</v>
      </c>
      <c r="P115" s="52" t="str">
        <f t="shared" si="14"/>
        <v/>
      </c>
      <c r="Q115" s="53" t="str">
        <f t="shared" si="15"/>
        <v/>
      </c>
      <c r="R115" s="54">
        <f t="shared" si="16"/>
        <v>106</v>
      </c>
      <c r="S115" s="53">
        <f t="shared" si="17"/>
        <v>3.2500349605542125E-5</v>
      </c>
    </row>
    <row r="116" spans="1:19" x14ac:dyDescent="0.15">
      <c r="A116" s="50"/>
      <c r="B116" s="50"/>
      <c r="J116" s="38">
        <v>107</v>
      </c>
      <c r="K116" s="40"/>
      <c r="L116" s="34">
        <f t="shared" si="11"/>
        <v>3.7412399211131634E-5</v>
      </c>
      <c r="M116" s="35">
        <f t="shared" si="12"/>
        <v>4.8919168814330204E-6</v>
      </c>
      <c r="N116" s="44">
        <f t="shared" si="10"/>
        <v>2.0271691594123451E-4</v>
      </c>
      <c r="O116" s="45" t="e">
        <f t="shared" si="13"/>
        <v>#VALUE!</v>
      </c>
      <c r="P116" s="52" t="str">
        <f t="shared" si="14"/>
        <v/>
      </c>
      <c r="Q116" s="53" t="str">
        <f t="shared" si="15"/>
        <v/>
      </c>
      <c r="R116" s="54">
        <f t="shared" si="16"/>
        <v>107</v>
      </c>
      <c r="S116" s="53">
        <f t="shared" si="17"/>
        <v>3.7412399211131634E-5</v>
      </c>
    </row>
    <row r="117" spans="1:19" x14ac:dyDescent="0.15">
      <c r="A117" s="50"/>
      <c r="B117" s="50"/>
      <c r="J117" s="38">
        <v>108</v>
      </c>
      <c r="K117" s="40"/>
      <c r="L117" s="34">
        <f t="shared" si="11"/>
        <v>4.2284341474125083E-5</v>
      </c>
      <c r="M117" s="35">
        <f t="shared" si="12"/>
        <v>4.8520460765967679E-6</v>
      </c>
      <c r="N117" s="44">
        <f t="shared" si="10"/>
        <v>2.0118798982257186E-4</v>
      </c>
      <c r="O117" s="45" t="e">
        <f t="shared" si="13"/>
        <v>#VALUE!</v>
      </c>
      <c r="P117" s="52" t="str">
        <f t="shared" si="14"/>
        <v/>
      </c>
      <c r="Q117" s="53" t="str">
        <f t="shared" si="15"/>
        <v/>
      </c>
      <c r="R117" s="54">
        <f t="shared" si="16"/>
        <v>108</v>
      </c>
      <c r="S117" s="53">
        <f t="shared" si="17"/>
        <v>4.2284341474125083E-5</v>
      </c>
    </row>
    <row r="118" spans="1:19" x14ac:dyDescent="0.15">
      <c r="A118" s="50"/>
      <c r="B118" s="50"/>
      <c r="J118" s="38">
        <v>109</v>
      </c>
      <c r="K118" s="40"/>
      <c r="L118" s="34">
        <f t="shared" si="11"/>
        <v>4.7116647001348664E-5</v>
      </c>
      <c r="M118" s="35">
        <f t="shared" si="12"/>
        <v>4.8126421876303265E-6</v>
      </c>
      <c r="N118" s="44">
        <f t="shared" si="10"/>
        <v>1.9967555082937136E-4</v>
      </c>
      <c r="O118" s="45" t="e">
        <f t="shared" si="13"/>
        <v>#VALUE!</v>
      </c>
      <c r="P118" s="52" t="str">
        <f t="shared" si="14"/>
        <v/>
      </c>
      <c r="Q118" s="53" t="str">
        <f t="shared" si="15"/>
        <v/>
      </c>
      <c r="R118" s="54">
        <f t="shared" si="16"/>
        <v>109</v>
      </c>
      <c r="S118" s="53">
        <f t="shared" si="17"/>
        <v>4.7116647001348664E-5</v>
      </c>
    </row>
    <row r="119" spans="1:19" x14ac:dyDescent="0.15">
      <c r="A119" s="50"/>
      <c r="B119" s="50"/>
      <c r="J119" s="38">
        <v>110</v>
      </c>
      <c r="K119" s="40"/>
      <c r="L119" s="34">
        <f t="shared" si="11"/>
        <v>5.1909779065711683E-5</v>
      </c>
      <c r="M119" s="35">
        <f t="shared" si="12"/>
        <v>4.7736979523294813E-6</v>
      </c>
      <c r="N119" s="44">
        <f t="shared" si="10"/>
        <v>1.9817936214673354E-4</v>
      </c>
      <c r="O119" s="45" t="e">
        <f t="shared" si="13"/>
        <v>#VALUE!</v>
      </c>
      <c r="P119" s="52" t="str">
        <f t="shared" si="14"/>
        <v/>
      </c>
      <c r="Q119" s="53" t="str">
        <f t="shared" si="15"/>
        <v/>
      </c>
      <c r="R119" s="54">
        <f t="shared" si="16"/>
        <v>110</v>
      </c>
      <c r="S119" s="53">
        <f t="shared" si="17"/>
        <v>5.1909779065711683E-5</v>
      </c>
    </row>
    <row r="120" spans="1:19" x14ac:dyDescent="0.15">
      <c r="A120" s="50"/>
      <c r="B120" s="50"/>
      <c r="J120" s="38">
        <v>111</v>
      </c>
      <c r="K120" s="40"/>
      <c r="L120" s="34">
        <f t="shared" si="11"/>
        <v>5.6664193748516442E-5</v>
      </c>
      <c r="M120" s="35">
        <f t="shared" si="12"/>
        <v>4.7352062491343726E-6</v>
      </c>
      <c r="N120" s="44">
        <f t="shared" si="10"/>
        <v>1.9669919120723876E-4</v>
      </c>
      <c r="O120" s="45" t="e">
        <f t="shared" si="13"/>
        <v>#VALUE!</v>
      </c>
      <c r="P120" s="52" t="str">
        <f t="shared" si="14"/>
        <v/>
      </c>
      <c r="Q120" s="53" t="str">
        <f t="shared" si="15"/>
        <v/>
      </c>
      <c r="R120" s="54">
        <f t="shared" si="16"/>
        <v>111</v>
      </c>
      <c r="S120" s="53">
        <f t="shared" si="17"/>
        <v>5.6664193748516442E-5</v>
      </c>
    </row>
    <row r="121" spans="1:19" x14ac:dyDescent="0.15">
      <c r="A121" s="50"/>
      <c r="B121" s="50"/>
      <c r="J121" s="38">
        <v>112</v>
      </c>
      <c r="K121" s="40"/>
      <c r="L121" s="34">
        <f t="shared" si="11"/>
        <v>6.1380340078467298E-5</v>
      </c>
      <c r="M121" s="35">
        <f t="shared" si="12"/>
        <v>4.69716009387356E-6</v>
      </c>
      <c r="N121" s="44">
        <f t="shared" si="10"/>
        <v>1.9523480959962751E-4</v>
      </c>
      <c r="O121" s="45" t="e">
        <f t="shared" si="13"/>
        <v>#VALUE!</v>
      </c>
      <c r="P121" s="52" t="str">
        <f t="shared" si="14"/>
        <v/>
      </c>
      <c r="Q121" s="53" t="str">
        <f t="shared" si="15"/>
        <v/>
      </c>
      <c r="R121" s="54">
        <f t="shared" si="16"/>
        <v>112</v>
      </c>
      <c r="S121" s="53">
        <f t="shared" si="17"/>
        <v>6.1380340078467298E-5</v>
      </c>
    </row>
    <row r="122" spans="1:19" x14ac:dyDescent="0.15">
      <c r="A122" s="50"/>
      <c r="B122" s="50"/>
      <c r="J122" s="38">
        <v>113</v>
      </c>
      <c r="K122" s="40"/>
      <c r="L122" s="34">
        <f t="shared" si="11"/>
        <v>6.6058660167467564E-5</v>
      </c>
      <c r="M122" s="35">
        <f t="shared" si="12"/>
        <v>4.6595526365956403E-6</v>
      </c>
      <c r="N122" s="44">
        <f t="shared" si="10"/>
        <v>1.9378599297977035E-4</v>
      </c>
      <c r="O122" s="45" t="e">
        <f t="shared" si="13"/>
        <v>#VALUE!</v>
      </c>
      <c r="P122" s="52" t="str">
        <f t="shared" si="14"/>
        <v/>
      </c>
      <c r="Q122" s="53" t="str">
        <f t="shared" si="15"/>
        <v/>
      </c>
      <c r="R122" s="54">
        <f t="shared" si="16"/>
        <v>113</v>
      </c>
      <c r="S122" s="53">
        <f t="shared" si="17"/>
        <v>6.6058660167467564E-5</v>
      </c>
    </row>
    <row r="123" spans="1:19" x14ac:dyDescent="0.15">
      <c r="A123" s="50"/>
      <c r="B123" s="50"/>
      <c r="J123" s="38">
        <v>114</v>
      </c>
      <c r="K123" s="40"/>
      <c r="L123" s="34">
        <f t="shared" si="11"/>
        <v>7.0699589343291001E-5</v>
      </c>
      <c r="M123" s="35">
        <f t="shared" si="12"/>
        <v>4.6223771584858491E-6</v>
      </c>
      <c r="N123" s="44">
        <f t="shared" si="10"/>
        <v>1.9235252098385796E-4</v>
      </c>
      <c r="O123" s="45" t="e">
        <f t="shared" si="13"/>
        <v>#VALUE!</v>
      </c>
      <c r="P123" s="52" t="str">
        <f t="shared" si="14"/>
        <v/>
      </c>
      <c r="Q123" s="53" t="str">
        <f t="shared" si="15"/>
        <v/>
      </c>
      <c r="R123" s="54">
        <f t="shared" si="16"/>
        <v>114</v>
      </c>
      <c r="S123" s="53">
        <f t="shared" si="17"/>
        <v>7.0699589343291001E-5</v>
      </c>
    </row>
    <row r="124" spans="1:19" x14ac:dyDescent="0.15">
      <c r="A124" s="50"/>
      <c r="B124" s="50"/>
      <c r="J124" s="38">
        <v>115</v>
      </c>
      <c r="K124" s="40"/>
      <c r="L124" s="34">
        <f t="shared" si="11"/>
        <v>7.5303556279211057E-5</v>
      </c>
      <c r="M124" s="35">
        <f t="shared" si="12"/>
        <v>4.5856270688649258E-6</v>
      </c>
      <c r="N124" s="44">
        <f t="shared" si="10"/>
        <v>1.909341771437526E-4</v>
      </c>
      <c r="O124" s="45" t="e">
        <f t="shared" si="13"/>
        <v>#VALUE!</v>
      </c>
      <c r="P124" s="52" t="str">
        <f t="shared" si="14"/>
        <v/>
      </c>
      <c r="Q124" s="53" t="str">
        <f t="shared" si="15"/>
        <v/>
      </c>
      <c r="R124" s="54">
        <f t="shared" si="16"/>
        <v>115</v>
      </c>
      <c r="S124" s="53">
        <f t="shared" si="17"/>
        <v>7.5303556279211057E-5</v>
      </c>
    </row>
    <row r="125" spans="1:19" x14ac:dyDescent="0.15">
      <c r="A125" s="50"/>
      <c r="B125" s="50"/>
      <c r="J125" s="38">
        <v>116</v>
      </c>
      <c r="K125" s="40"/>
      <c r="L125" s="34">
        <f t="shared" si="11"/>
        <v>7.987098312066923E-5</v>
      </c>
      <c r="M125" s="35">
        <f t="shared" si="12"/>
        <v>4.5492959022678458E-6</v>
      </c>
      <c r="N125" s="44">
        <f t="shared" si="10"/>
        <v>1.8953074880443619E-4</v>
      </c>
      <c r="O125" s="45" t="e">
        <f t="shared" si="13"/>
        <v>#VALUE!</v>
      </c>
      <c r="P125" s="52" t="str">
        <f t="shared" si="14"/>
        <v/>
      </c>
      <c r="Q125" s="53" t="str">
        <f t="shared" si="15"/>
        <v/>
      </c>
      <c r="R125" s="54">
        <f t="shared" si="16"/>
        <v>116</v>
      </c>
      <c r="S125" s="53">
        <f t="shared" si="17"/>
        <v>7.987098312066923E-5</v>
      </c>
    </row>
    <row r="126" spans="1:19" x14ac:dyDescent="0.15">
      <c r="A126" s="50"/>
      <c r="B126" s="50"/>
      <c r="J126" s="38">
        <v>117</v>
      </c>
      <c r="K126" s="40"/>
      <c r="L126" s="34">
        <f t="shared" si="11"/>
        <v>8.4402285609061001E-5</v>
      </c>
      <c r="M126" s="35">
        <f t="shared" si="12"/>
        <v>4.5133773155999397E-6</v>
      </c>
      <c r="N126" s="44">
        <f t="shared" si="10"/>
        <v>1.8814202704349697E-4</v>
      </c>
      <c r="O126" s="45" t="e">
        <f t="shared" si="13"/>
        <v>#VALUE!</v>
      </c>
      <c r="P126" s="52" t="str">
        <f t="shared" si="14"/>
        <v/>
      </c>
      <c r="Q126" s="53" t="str">
        <f t="shared" si="15"/>
        <v/>
      </c>
      <c r="R126" s="54">
        <f t="shared" si="16"/>
        <v>117</v>
      </c>
      <c r="S126" s="53">
        <f t="shared" si="17"/>
        <v>8.4402285609061001E-5</v>
      </c>
    </row>
    <row r="127" spans="1:19" x14ac:dyDescent="0.15">
      <c r="A127" s="50"/>
      <c r="B127" s="50"/>
      <c r="J127" s="38">
        <v>118</v>
      </c>
      <c r="K127" s="40"/>
      <c r="L127" s="34">
        <f t="shared" si="11"/>
        <v>8.8897873202715578E-5</v>
      </c>
      <c r="M127" s="35">
        <f t="shared" si="12"/>
        <v>4.4778650853680776E-6</v>
      </c>
      <c r="N127" s="44">
        <f t="shared" si="10"/>
        <v>1.8676780659259752E-4</v>
      </c>
      <c r="O127" s="45" t="e">
        <f t="shared" si="13"/>
        <v>#VALUE!</v>
      </c>
      <c r="P127" s="52" t="str">
        <f t="shared" si="14"/>
        <v/>
      </c>
      <c r="Q127" s="53" t="str">
        <f t="shared" si="15"/>
        <v/>
      </c>
      <c r="R127" s="54">
        <f t="shared" si="16"/>
        <v>118</v>
      </c>
      <c r="S127" s="53">
        <f t="shared" si="17"/>
        <v>8.8897873202715578E-5</v>
      </c>
    </row>
    <row r="128" spans="1:19" x14ac:dyDescent="0.15">
      <c r="A128" s="50"/>
      <c r="B128" s="50"/>
      <c r="J128" s="38">
        <v>119</v>
      </c>
      <c r="K128" s="40"/>
      <c r="L128" s="34">
        <f t="shared" si="11"/>
        <v>9.3358149195143608E-5</v>
      </c>
      <c r="M128" s="35">
        <f t="shared" si="12"/>
        <v>4.442753104984698E-6</v>
      </c>
      <c r="N128" s="44">
        <f t="shared" si="10"/>
        <v>1.8540788576086817E-4</v>
      </c>
      <c r="O128" s="45" t="e">
        <f t="shared" si="13"/>
        <v>#VALUE!</v>
      </c>
      <c r="P128" s="52" t="str">
        <f t="shared" si="14"/>
        <v/>
      </c>
      <c r="Q128" s="53" t="str">
        <f t="shared" si="15"/>
        <v/>
      </c>
      <c r="R128" s="54">
        <f t="shared" si="16"/>
        <v>119</v>
      </c>
      <c r="S128" s="53">
        <f t="shared" si="17"/>
        <v>9.3358149195143608E-5</v>
      </c>
    </row>
    <row r="129" spans="1:19" x14ac:dyDescent="0.15">
      <c r="A129" s="50"/>
      <c r="B129" s="50"/>
      <c r="J129" s="38">
        <v>120</v>
      </c>
      <c r="K129" s="40"/>
      <c r="L129" s="34">
        <f t="shared" si="11"/>
        <v>9.778351083062408E-5</v>
      </c>
      <c r="M129" s="35">
        <f t="shared" si="12"/>
        <v>4.4080353821424258E-6</v>
      </c>
      <c r="N129" s="44">
        <f t="shared" si="10"/>
        <v>1.8406206636017159E-4</v>
      </c>
      <c r="O129" s="45" t="e">
        <f t="shared" si="13"/>
        <v>#VALUE!</v>
      </c>
      <c r="P129" s="52" t="str">
        <f t="shared" si="14"/>
        <v/>
      </c>
      <c r="Q129" s="53" t="str">
        <f t="shared" si="15"/>
        <v/>
      </c>
      <c r="R129" s="54">
        <f t="shared" si="16"/>
        <v>120</v>
      </c>
      <c r="S129" s="53">
        <f t="shared" si="17"/>
        <v>9.778351083062408E-5</v>
      </c>
    </row>
    <row r="130" spans="1:19" x14ac:dyDescent="0.15">
      <c r="A130" s="50"/>
      <c r="B130" s="50"/>
      <c r="J130" s="38">
        <v>121</v>
      </c>
      <c r="K130" s="40"/>
      <c r="L130" s="34">
        <f t="shared" si="11"/>
        <v>1.0217434941720055E-4</v>
      </c>
      <c r="M130" s="35">
        <f t="shared" si="12"/>
        <v>4.3737060362572672E-6</v>
      </c>
      <c r="N130" s="44">
        <f t="shared" si="10"/>
        <v>1.8273015363218763E-4</v>
      </c>
      <c r="O130" s="45" t="e">
        <f t="shared" si="13"/>
        <v>#VALUE!</v>
      </c>
      <c r="P130" s="52" t="str">
        <f t="shared" si="14"/>
        <v/>
      </c>
      <c r="Q130" s="53" t="str">
        <f t="shared" si="15"/>
        <v/>
      </c>
      <c r="R130" s="54">
        <f t="shared" si="16"/>
        <v>121</v>
      </c>
      <c r="S130" s="53">
        <f t="shared" si="17"/>
        <v>1.0217434941720055E-4</v>
      </c>
    </row>
    <row r="131" spans="1:19" x14ac:dyDescent="0.15">
      <c r="A131" s="50"/>
      <c r="B131" s="50"/>
      <c r="J131" s="38">
        <v>122</v>
      </c>
      <c r="K131" s="40"/>
      <c r="L131" s="34">
        <f t="shared" si="11"/>
        <v>1.0653105043715399E-4</v>
      </c>
      <c r="M131" s="35">
        <f t="shared" si="12"/>
        <v>4.3397592959782576E-6</v>
      </c>
      <c r="N131" s="44">
        <f t="shared" si="10"/>
        <v>1.8141195617726538E-4</v>
      </c>
      <c r="O131" s="45" t="e">
        <f t="shared" si="13"/>
        <v>#VALUE!</v>
      </c>
      <c r="P131" s="52" t="str">
        <f t="shared" si="14"/>
        <v/>
      </c>
      <c r="Q131" s="53" t="str">
        <f t="shared" si="15"/>
        <v/>
      </c>
      <c r="R131" s="54">
        <f t="shared" si="16"/>
        <v>122</v>
      </c>
      <c r="S131" s="53">
        <f t="shared" si="17"/>
        <v>1.0653105043715399E-4</v>
      </c>
    </row>
    <row r="132" spans="1:19" x14ac:dyDescent="0.15">
      <c r="A132" s="50"/>
      <c r="B132" s="50"/>
      <c r="J132" s="38">
        <v>123</v>
      </c>
      <c r="K132" s="40"/>
      <c r="L132" s="34">
        <f t="shared" si="11"/>
        <v>1.1085399365501747E-4</v>
      </c>
      <c r="M132" s="35">
        <f t="shared" si="12"/>
        <v>4.3061894967616482E-6</v>
      </c>
      <c r="N132" s="44">
        <f t="shared" si="10"/>
        <v>1.8010728588499692E-4</v>
      </c>
      <c r="O132" s="45" t="e">
        <f t="shared" si="13"/>
        <v>#VALUE!</v>
      </c>
      <c r="P132" s="52" t="str">
        <f t="shared" si="14"/>
        <v/>
      </c>
      <c r="Q132" s="53" t="str">
        <f t="shared" si="15"/>
        <v/>
      </c>
      <c r="R132" s="54">
        <f t="shared" si="16"/>
        <v>123</v>
      </c>
      <c r="S132" s="53">
        <f t="shared" si="17"/>
        <v>1.1085399365501747E-4</v>
      </c>
    </row>
    <row r="133" spans="1:19" x14ac:dyDescent="0.15">
      <c r="A133" s="50"/>
      <c r="B133" s="50"/>
      <c r="J133" s="38">
        <v>124</v>
      </c>
      <c r="K133" s="40"/>
      <c r="L133" s="34">
        <f t="shared" si="11"/>
        <v>1.151435532231967E-4</v>
      </c>
      <c r="M133" s="35">
        <f t="shared" si="12"/>
        <v>4.2729910785077137E-6</v>
      </c>
      <c r="N133" s="44">
        <f t="shared" si="10"/>
        <v>1.7881595786646163E-4</v>
      </c>
      <c r="O133" s="45" t="e">
        <f t="shared" si="13"/>
        <v>#VALUE!</v>
      </c>
      <c r="P133" s="52" t="str">
        <f t="shared" si="14"/>
        <v/>
      </c>
      <c r="Q133" s="53" t="str">
        <f t="shared" si="15"/>
        <v/>
      </c>
      <c r="R133" s="54">
        <f t="shared" si="16"/>
        <v>124</v>
      </c>
      <c r="S133" s="53">
        <f t="shared" si="17"/>
        <v>1.151435532231967E-4</v>
      </c>
    </row>
    <row r="134" spans="1:19" x14ac:dyDescent="0.15">
      <c r="A134" s="50"/>
      <c r="B134" s="50"/>
      <c r="J134" s="38">
        <v>125</v>
      </c>
      <c r="K134" s="40"/>
      <c r="L134" s="34">
        <f t="shared" si="11"/>
        <v>1.1940009778525784E-4</v>
      </c>
      <c r="M134" s="35">
        <f t="shared" si="12"/>
        <v>4.2401585832583229E-6</v>
      </c>
      <c r="N134" s="44">
        <f t="shared" si="10"/>
        <v>1.7753779038809814E-4</v>
      </c>
      <c r="O134" s="45" t="e">
        <f t="shared" si="13"/>
        <v>#VALUE!</v>
      </c>
      <c r="P134" s="52" t="str">
        <f t="shared" si="14"/>
        <v/>
      </c>
      <c r="Q134" s="53" t="str">
        <f t="shared" si="15"/>
        <v/>
      </c>
      <c r="R134" s="54">
        <f t="shared" si="16"/>
        <v>125</v>
      </c>
      <c r="S134" s="53">
        <f t="shared" si="17"/>
        <v>1.1940009778525784E-4</v>
      </c>
    </row>
    <row r="135" spans="1:19" x14ac:dyDescent="0.15">
      <c r="A135" s="50"/>
      <c r="B135" s="50"/>
      <c r="J135" s="38">
        <v>126</v>
      </c>
      <c r="K135" s="40"/>
      <c r="L135" s="34">
        <f t="shared" si="11"/>
        <v>1.2362399057694258E-4</v>
      </c>
      <c r="M135" s="35">
        <f t="shared" si="12"/>
        <v>4.2076866529535319E-6</v>
      </c>
      <c r="N135" s="44">
        <f t="shared" si="10"/>
        <v>1.7627260480715753E-4</v>
      </c>
      <c r="O135" s="45" t="e">
        <f t="shared" si="13"/>
        <v>#VALUE!</v>
      </c>
      <c r="P135" s="52" t="str">
        <f t="shared" si="14"/>
        <v/>
      </c>
      <c r="Q135" s="53" t="str">
        <f t="shared" si="15"/>
        <v/>
      </c>
      <c r="R135" s="54">
        <f t="shared" si="16"/>
        <v>126</v>
      </c>
      <c r="S135" s="53">
        <f t="shared" si="17"/>
        <v>1.2362399057694258E-4</v>
      </c>
    </row>
    <row r="136" spans="1:19" x14ac:dyDescent="0.15">
      <c r="A136" s="50"/>
      <c r="B136" s="50"/>
      <c r="J136" s="38">
        <v>127</v>
      </c>
      <c r="K136" s="40"/>
      <c r="L136" s="34">
        <f t="shared" si="11"/>
        <v>1.2781558952496854E-4</v>
      </c>
      <c r="M136" s="35">
        <f t="shared" si="12"/>
        <v>4.1755700272454254E-6</v>
      </c>
      <c r="N136" s="44">
        <f t="shared" si="10"/>
        <v>1.7502022550869528E-4</v>
      </c>
      <c r="O136" s="45" t="e">
        <f t="shared" si="13"/>
        <v>#VALUE!</v>
      </c>
      <c r="P136" s="52" t="str">
        <f t="shared" si="14"/>
        <v/>
      </c>
      <c r="Q136" s="53" t="str">
        <f t="shared" si="15"/>
        <v/>
      </c>
      <c r="R136" s="54">
        <f t="shared" si="16"/>
        <v>127</v>
      </c>
      <c r="S136" s="53">
        <f t="shared" si="17"/>
        <v>1.2781558952496854E-4</v>
      </c>
    </row>
    <row r="137" spans="1:19" x14ac:dyDescent="0.15">
      <c r="A137" s="50"/>
      <c r="B137" s="50"/>
      <c r="J137" s="38">
        <v>128</v>
      </c>
      <c r="K137" s="40"/>
      <c r="L137" s="34">
        <f t="shared" si="11"/>
        <v>1.3197524734367131E-4</v>
      </c>
      <c r="M137" s="35">
        <f t="shared" si="12"/>
        <v>4.1438035413675929E-6</v>
      </c>
      <c r="N137" s="44">
        <f t="shared" ref="N137:N200" si="18">(L187-L137)</f>
        <v>1.7378047984406022E-4</v>
      </c>
      <c r="O137" s="45" t="e">
        <f t="shared" si="13"/>
        <v>#VALUE!</v>
      </c>
      <c r="P137" s="52" t="str">
        <f t="shared" si="14"/>
        <v/>
      </c>
      <c r="Q137" s="53" t="str">
        <f t="shared" si="15"/>
        <v/>
      </c>
      <c r="R137" s="54">
        <f t="shared" si="16"/>
        <v>128</v>
      </c>
      <c r="S137" s="53">
        <f t="shared" si="17"/>
        <v>1.3197524734367131E-4</v>
      </c>
    </row>
    <row r="138" spans="1:19" x14ac:dyDescent="0.15">
      <c r="A138" s="50"/>
      <c r="B138" s="50"/>
      <c r="J138" s="38">
        <v>129</v>
      </c>
      <c r="K138" s="40"/>
      <c r="L138" s="34">
        <f t="shared" ref="L138:L201" si="19">$F$39*((1-$F$40*J138)/(1+$F$41*J138))*(J138-$F$42)</f>
        <v>1.3610331162954359E-4</v>
      </c>
      <c r="M138" s="35">
        <f t="shared" ref="M138:M201" si="20">$F$39*((1-2*$F$40*J138-$F$40*$F$41*(J138^2)+($F$41+$F$40)*$F$42)/(1+$F$41*J138)^2)</f>
        <v>4.1123821240585966E-6</v>
      </c>
      <c r="N138" s="44">
        <f t="shared" si="18"/>
        <v>1.7255319807083877E-4</v>
      </c>
      <c r="O138" s="45" t="e">
        <f t="shared" ref="O138:O201" si="21">IF(N138&lt;=$B$49,1+O137,0)</f>
        <v>#VALUE!</v>
      </c>
      <c r="P138" s="52" t="str">
        <f t="shared" ref="P138:P201" si="22">IF(J138&lt;=$F$42,J138,"")</f>
        <v/>
      </c>
      <c r="Q138" s="53" t="str">
        <f t="shared" ref="Q138:Q201" si="23">IF(J138&lt;=$F$42,L138,"")</f>
        <v/>
      </c>
      <c r="R138" s="54">
        <f t="shared" ref="R138:R201" si="24">IF(AND(J138&gt;=$F$42,J138&lt;=200),J138,"")</f>
        <v>129</v>
      </c>
      <c r="S138" s="53">
        <f t="shared" ref="S138:S201" si="25">IF(AND(J138&gt;=$F$42,J138&lt;=200),L138,"")</f>
        <v>1.3610331162954359E-4</v>
      </c>
    </row>
    <row r="139" spans="1:19" x14ac:dyDescent="0.15">
      <c r="A139" s="50"/>
      <c r="B139" s="50"/>
      <c r="J139" s="38">
        <v>130</v>
      </c>
      <c r="K139" s="40"/>
      <c r="L139" s="34">
        <f t="shared" si="19"/>
        <v>1.4020012495372347E-4</v>
      </c>
      <c r="M139" s="35">
        <f t="shared" si="20"/>
        <v>4.081300795537875E-6</v>
      </c>
      <c r="N139" s="44">
        <f t="shared" si="18"/>
        <v>1.713382132942174E-4</v>
      </c>
      <c r="O139" s="45" t="e">
        <f t="shared" si="21"/>
        <v>#VALUE!</v>
      </c>
      <c r="P139" s="52" t="str">
        <f t="shared" si="22"/>
        <v/>
      </c>
      <c r="Q139" s="53" t="str">
        <f t="shared" si="23"/>
        <v/>
      </c>
      <c r="R139" s="54">
        <f t="shared" si="24"/>
        <v>130</v>
      </c>
      <c r="S139" s="53">
        <f t="shared" si="25"/>
        <v>1.4020012495372347E-4</v>
      </c>
    </row>
    <row r="140" spans="1:19" x14ac:dyDescent="0.15">
      <c r="A140" s="50"/>
      <c r="B140" s="50"/>
      <c r="J140" s="38">
        <v>131</v>
      </c>
      <c r="K140" s="40"/>
      <c r="L140" s="34">
        <f t="shared" si="19"/>
        <v>1.4426602495248476E-4</v>
      </c>
      <c r="M140" s="35">
        <f t="shared" si="20"/>
        <v>4.0505546655325965E-6</v>
      </c>
      <c r="N140" s="44">
        <f t="shared" si="18"/>
        <v>1.7013536140972262E-4</v>
      </c>
      <c r="O140" s="45" t="e">
        <f t="shared" si="21"/>
        <v>#VALUE!</v>
      </c>
      <c r="P140" s="52" t="str">
        <f t="shared" si="22"/>
        <v/>
      </c>
      <c r="Q140" s="53" t="str">
        <f t="shared" si="23"/>
        <v/>
      </c>
      <c r="R140" s="54">
        <f t="shared" si="24"/>
        <v>131</v>
      </c>
      <c r="S140" s="53">
        <f t="shared" si="25"/>
        <v>1.4426602495248476E-4</v>
      </c>
    </row>
    <row r="141" spans="1:19" x14ac:dyDescent="0.15">
      <c r="A141" s="50"/>
      <c r="B141" s="50"/>
      <c r="J141" s="38">
        <v>132</v>
      </c>
      <c r="K141" s="40"/>
      <c r="L141" s="34">
        <f t="shared" si="19"/>
        <v>1.4830134441577863E-4</v>
      </c>
      <c r="M141" s="35">
        <f t="shared" si="20"/>
        <v>4.0201389313539655E-6</v>
      </c>
      <c r="N141" s="44">
        <f t="shared" si="18"/>
        <v>1.689444810473029E-4</v>
      </c>
      <c r="O141" s="45" t="e">
        <f t="shared" si="21"/>
        <v>#VALUE!</v>
      </c>
      <c r="P141" s="52" t="str">
        <f t="shared" si="22"/>
        <v/>
      </c>
      <c r="Q141" s="53" t="str">
        <f t="shared" si="23"/>
        <v/>
      </c>
      <c r="R141" s="54">
        <f t="shared" si="24"/>
        <v>132</v>
      </c>
      <c r="S141" s="53">
        <f t="shared" si="25"/>
        <v>1.4830134441577863E-4</v>
      </c>
    </row>
    <row r="142" spans="1:19" x14ac:dyDescent="0.15">
      <c r="A142" s="50"/>
      <c r="B142" s="50"/>
      <c r="J142" s="38">
        <v>133</v>
      </c>
      <c r="K142" s="40"/>
      <c r="L142" s="34">
        <f t="shared" si="19"/>
        <v>1.5230641137387615E-4</v>
      </c>
      <c r="M142" s="35">
        <f t="shared" si="20"/>
        <v>3.9900488760216177E-6</v>
      </c>
      <c r="N142" s="44">
        <f t="shared" si="18"/>
        <v>1.6776541351671669E-4</v>
      </c>
      <c r="O142" s="45" t="e">
        <f t="shared" si="21"/>
        <v>#VALUE!</v>
      </c>
      <c r="P142" s="52" t="str">
        <f t="shared" si="22"/>
        <v/>
      </c>
      <c r="Q142" s="53" t="str">
        <f t="shared" si="23"/>
        <v/>
      </c>
      <c r="R142" s="54">
        <f t="shared" si="24"/>
        <v>133</v>
      </c>
      <c r="S142" s="53">
        <f t="shared" si="25"/>
        <v>1.5230641137387615E-4</v>
      </c>
    </row>
    <row r="143" spans="1:19" x14ac:dyDescent="0.15">
      <c r="A143" s="50"/>
      <c r="B143" s="50"/>
      <c r="J143" s="38">
        <v>134</v>
      </c>
      <c r="K143" s="40"/>
      <c r="L143" s="34">
        <f t="shared" si="19"/>
        <v>1.5628154918215825E-4</v>
      </c>
      <c r="M143" s="35">
        <f t="shared" si="20"/>
        <v>3.96027986643468E-6</v>
      </c>
      <c r="N143" s="44">
        <f t="shared" si="18"/>
        <v>1.6659800275419111E-4</v>
      </c>
      <c r="O143" s="45" t="e">
        <f t="shared" si="21"/>
        <v>#VALUE!</v>
      </c>
      <c r="P143" s="52" t="str">
        <f t="shared" si="22"/>
        <v/>
      </c>
      <c r="Q143" s="53" t="str">
        <f t="shared" si="23"/>
        <v/>
      </c>
      <c r="R143" s="54">
        <f t="shared" si="24"/>
        <v>134</v>
      </c>
      <c r="S143" s="53">
        <f t="shared" si="25"/>
        <v>1.5628154918215825E-4</v>
      </c>
    </row>
    <row r="144" spans="1:19" x14ac:dyDescent="0.15">
      <c r="A144" s="50"/>
      <c r="B144" s="50"/>
      <c r="J144" s="38">
        <v>135</v>
      </c>
      <c r="K144" s="40"/>
      <c r="L144" s="34">
        <f t="shared" si="19"/>
        <v>1.6022707660409957E-4</v>
      </c>
      <c r="M144" s="35">
        <f t="shared" si="20"/>
        <v>3.9308273515882249E-6</v>
      </c>
      <c r="N144" s="44">
        <f t="shared" si="18"/>
        <v>1.6544209527031818E-4</v>
      </c>
      <c r="O144" s="45" t="e">
        <f t="shared" si="21"/>
        <v>#VALUE!</v>
      </c>
      <c r="P144" s="52" t="str">
        <f t="shared" si="22"/>
        <v/>
      </c>
      <c r="Q144" s="53" t="str">
        <f t="shared" si="23"/>
        <v/>
      </c>
      <c r="R144" s="54">
        <f t="shared" si="24"/>
        <v>135</v>
      </c>
      <c r="S144" s="53">
        <f t="shared" si="25"/>
        <v>1.6022707660409957E-4</v>
      </c>
    </row>
    <row r="145" spans="1:19" x14ac:dyDescent="0.15">
      <c r="A145" s="50"/>
      <c r="B145" s="50"/>
      <c r="J145" s="38">
        <v>136</v>
      </c>
      <c r="K145" s="40"/>
      <c r="L145" s="34">
        <f t="shared" si="19"/>
        <v>1.641433078924914E-4</v>
      </c>
      <c r="M145" s="35">
        <f t="shared" si="20"/>
        <v>3.9016868608337994E-6</v>
      </c>
      <c r="N145" s="44">
        <f t="shared" si="18"/>
        <v>1.6429754009915517E-4</v>
      </c>
      <c r="O145" s="45" t="e">
        <f t="shared" si="21"/>
        <v>#VALUE!</v>
      </c>
      <c r="P145" s="52" t="str">
        <f t="shared" si="22"/>
        <v/>
      </c>
      <c r="Q145" s="53" t="str">
        <f t="shared" si="23"/>
        <v/>
      </c>
      <c r="R145" s="54">
        <f t="shared" si="24"/>
        <v>136</v>
      </c>
      <c r="S145" s="53">
        <f t="shared" si="25"/>
        <v>1.641433078924914E-4</v>
      </c>
    </row>
    <row r="146" spans="1:19" x14ac:dyDescent="0.15">
      <c r="A146" s="50"/>
      <c r="B146" s="50"/>
      <c r="J146" s="38">
        <v>137</v>
      </c>
      <c r="K146" s="40"/>
      <c r="L146" s="34">
        <f t="shared" si="19"/>
        <v>1.6803055286894607E-4</v>
      </c>
      <c r="M146" s="35">
        <f t="shared" si="20"/>
        <v>3.8728540021828079E-6</v>
      </c>
      <c r="N146" s="44">
        <f t="shared" si="18"/>
        <v>1.6316418874849775E-4</v>
      </c>
      <c r="O146" s="45" t="e">
        <f t="shared" si="21"/>
        <v>#VALUE!</v>
      </c>
      <c r="P146" s="52" t="str">
        <f t="shared" si="22"/>
        <v/>
      </c>
      <c r="Q146" s="53" t="str">
        <f t="shared" si="23"/>
        <v/>
      </c>
      <c r="R146" s="54">
        <f t="shared" si="24"/>
        <v>137</v>
      </c>
      <c r="S146" s="53">
        <f t="shared" si="25"/>
        <v>1.6803055286894607E-4</v>
      </c>
    </row>
    <row r="147" spans="1:19" x14ac:dyDescent="0.15">
      <c r="A147" s="50"/>
      <c r="B147" s="50"/>
      <c r="J147" s="38">
        <v>138</v>
      </c>
      <c r="K147" s="40"/>
      <c r="L147" s="34">
        <f t="shared" si="19"/>
        <v>1.7188911700172598E-4</v>
      </c>
      <c r="M147" s="35">
        <f t="shared" si="20"/>
        <v>3.844324460651542E-6</v>
      </c>
      <c r="N147" s="44">
        <f t="shared" si="18"/>
        <v>1.6204189515129494E-4</v>
      </c>
      <c r="O147" s="45" t="e">
        <f t="shared" si="21"/>
        <v>#VALUE!</v>
      </c>
      <c r="P147" s="52" t="str">
        <f t="shared" si="22"/>
        <v/>
      </c>
      <c r="Q147" s="53" t="str">
        <f t="shared" si="23"/>
        <v/>
      </c>
      <c r="R147" s="54">
        <f t="shared" si="24"/>
        <v>138</v>
      </c>
      <c r="S147" s="53">
        <f t="shared" si="25"/>
        <v>1.7188911700172598E-4</v>
      </c>
    </row>
    <row r="148" spans="1:19" x14ac:dyDescent="0.15">
      <c r="A148" s="50"/>
      <c r="B148" s="50"/>
      <c r="J148" s="38">
        <v>139</v>
      </c>
      <c r="K148" s="40"/>
      <c r="L148" s="34">
        <f t="shared" si="19"/>
        <v>1.7571930148193785E-4</v>
      </c>
      <c r="M148" s="35">
        <f t="shared" si="20"/>
        <v>3.8160939966466762E-6</v>
      </c>
      <c r="N148" s="44">
        <f t="shared" si="18"/>
        <v>1.609305156181764E-4</v>
      </c>
      <c r="O148" s="45" t="e">
        <f t="shared" si="21"/>
        <v>#VALUE!</v>
      </c>
      <c r="P148" s="52" t="str">
        <f t="shared" si="22"/>
        <v/>
      </c>
      <c r="Q148" s="53" t="str">
        <f t="shared" si="23"/>
        <v/>
      </c>
      <c r="R148" s="54">
        <f t="shared" si="24"/>
        <v>139</v>
      </c>
      <c r="S148" s="53">
        <f t="shared" si="25"/>
        <v>1.7571930148193785E-4</v>
      </c>
    </row>
    <row r="149" spans="1:19" x14ac:dyDescent="0.15">
      <c r="A149" s="50"/>
      <c r="B149" s="50"/>
      <c r="J149" s="38">
        <v>140</v>
      </c>
      <c r="K149" s="40"/>
      <c r="L149" s="34">
        <f t="shared" si="19"/>
        <v>1.7952140329813239E-4</v>
      </c>
      <c r="M149" s="35">
        <f t="shared" si="20"/>
        <v>3.7881584443901502E-6</v>
      </c>
      <c r="N149" s="44">
        <f t="shared" si="18"/>
        <v>1.5982990879106178E-4</v>
      </c>
      <c r="O149" s="45" t="e">
        <f t="shared" si="21"/>
        <v>#VALUE!</v>
      </c>
      <c r="P149" s="52" t="str">
        <f t="shared" si="22"/>
        <v/>
      </c>
      <c r="Q149" s="53" t="str">
        <f t="shared" si="23"/>
        <v/>
      </c>
      <c r="R149" s="54">
        <f t="shared" si="24"/>
        <v>140</v>
      </c>
      <c r="S149" s="53">
        <f t="shared" si="25"/>
        <v>1.7952140329813239E-4</v>
      </c>
    </row>
    <row r="150" spans="1:19" x14ac:dyDescent="0.15">
      <c r="A150" s="50"/>
      <c r="B150" s="50"/>
      <c r="J150" s="38">
        <v>141</v>
      </c>
      <c r="K150" s="40"/>
      <c r="L150" s="34">
        <f t="shared" si="19"/>
        <v>1.8329571530934801E-4</v>
      </c>
      <c r="M150" s="35">
        <f t="shared" si="20"/>
        <v>3.7605137103822696E-6</v>
      </c>
      <c r="N150" s="44">
        <f t="shared" si="18"/>
        <v>1.587399355978255E-4</v>
      </c>
      <c r="O150" s="45" t="e">
        <f t="shared" si="21"/>
        <v>#VALUE!</v>
      </c>
      <c r="P150" s="52" t="str">
        <f t="shared" si="22"/>
        <v/>
      </c>
      <c r="Q150" s="53" t="str">
        <f t="shared" si="23"/>
        <v/>
      </c>
      <c r="R150" s="54">
        <f t="shared" si="24"/>
        <v>141</v>
      </c>
      <c r="S150" s="53">
        <f t="shared" si="25"/>
        <v>1.8329571530934801E-4</v>
      </c>
    </row>
    <row r="151" spans="1:19" x14ac:dyDescent="0.15">
      <c r="A151" s="50"/>
      <c r="B151" s="50"/>
      <c r="J151" s="38">
        <v>142</v>
      </c>
      <c r="K151" s="40"/>
      <c r="L151" s="34">
        <f t="shared" si="19"/>
        <v>1.8704252631663606E-4</v>
      </c>
      <c r="M151" s="35">
        <f t="shared" si="20"/>
        <v>3.7331557719020467E-6</v>
      </c>
      <c r="N151" s="44">
        <f t="shared" si="18"/>
        <v>1.5766045920798843E-4</v>
      </c>
      <c r="O151" s="45" t="e">
        <f t="shared" si="21"/>
        <v>#VALUE!</v>
      </c>
      <c r="P151" s="52" t="str">
        <f t="shared" si="22"/>
        <v/>
      </c>
      <c r="Q151" s="53" t="str">
        <f t="shared" si="23"/>
        <v/>
      </c>
      <c r="R151" s="54">
        <f t="shared" si="24"/>
        <v>142</v>
      </c>
      <c r="S151" s="53">
        <f t="shared" si="25"/>
        <v>1.8704252631663606E-4</v>
      </c>
    </row>
    <row r="152" spans="1:19" x14ac:dyDescent="0.15">
      <c r="A152" s="50"/>
      <c r="B152" s="50"/>
      <c r="J152" s="38">
        <v>143</v>
      </c>
      <c r="K152" s="40"/>
      <c r="L152" s="34">
        <f t="shared" si="19"/>
        <v>1.9076212113310515E-4</v>
      </c>
      <c r="M152" s="35">
        <f t="shared" si="20"/>
        <v>3.706080675543698E-6</v>
      </c>
      <c r="N152" s="44">
        <f t="shared" si="18"/>
        <v>1.565913449894105E-4</v>
      </c>
      <c r="O152" s="45" t="e">
        <f t="shared" si="21"/>
        <v>#VALUE!</v>
      </c>
      <c r="P152" s="52" t="str">
        <f t="shared" si="22"/>
        <v/>
      </c>
      <c r="Q152" s="53" t="str">
        <f t="shared" si="23"/>
        <v/>
      </c>
      <c r="R152" s="54">
        <f t="shared" si="24"/>
        <v>143</v>
      </c>
      <c r="S152" s="53">
        <f t="shared" si="25"/>
        <v>1.9076212113310515E-4</v>
      </c>
    </row>
    <row r="153" spans="1:19" x14ac:dyDescent="0.15">
      <c r="A153" s="50"/>
      <c r="B153" s="50"/>
      <c r="J153" s="38">
        <v>144</v>
      </c>
      <c r="K153" s="40"/>
      <c r="L153" s="34">
        <f t="shared" si="19"/>
        <v>1.9445478065251899E-4</v>
      </c>
      <c r="M153" s="35">
        <f t="shared" si="20"/>
        <v>3.6792845357883259E-6</v>
      </c>
      <c r="N153" s="44">
        <f t="shared" si="18"/>
        <v>1.5553246046595814E-4</v>
      </c>
      <c r="O153" s="45" t="e">
        <f t="shared" si="21"/>
        <v>#VALUE!</v>
      </c>
      <c r="P153" s="52" t="str">
        <f t="shared" si="22"/>
        <v/>
      </c>
      <c r="Q153" s="53" t="str">
        <f t="shared" si="23"/>
        <v/>
      </c>
      <c r="R153" s="54">
        <f t="shared" si="24"/>
        <v>144</v>
      </c>
      <c r="S153" s="53">
        <f t="shared" si="25"/>
        <v>1.9445478065251899E-4</v>
      </c>
    </row>
    <row r="154" spans="1:19" x14ac:dyDescent="0.15">
      <c r="A154" s="50"/>
      <c r="B154" s="50"/>
      <c r="J154" s="38">
        <v>145</v>
      </c>
      <c r="K154" s="40"/>
      <c r="L154" s="34">
        <f t="shared" si="19"/>
        <v>1.9812078191648372E-4</v>
      </c>
      <c r="M154" s="35">
        <f t="shared" si="20"/>
        <v>3.6527635336098325E-6</v>
      </c>
      <c r="N154" s="44">
        <f t="shared" si="18"/>
        <v>1.5448367527612158E-4</v>
      </c>
      <c r="O154" s="45" t="e">
        <f t="shared" si="21"/>
        <v>#VALUE!</v>
      </c>
      <c r="P154" s="52" t="str">
        <f t="shared" si="22"/>
        <v/>
      </c>
      <c r="Q154" s="53" t="str">
        <f t="shared" si="23"/>
        <v/>
      </c>
      <c r="R154" s="54">
        <f t="shared" si="24"/>
        <v>145</v>
      </c>
      <c r="S154" s="53">
        <f t="shared" si="25"/>
        <v>1.9812078191648372E-4</v>
      </c>
    </row>
    <row r="155" spans="1:19" x14ac:dyDescent="0.15">
      <c r="A155" s="50"/>
      <c r="B155" s="50"/>
      <c r="J155" s="38">
        <v>146</v>
      </c>
      <c r="K155" s="40"/>
      <c r="L155" s="34">
        <f t="shared" si="19"/>
        <v>2.0176039818025734E-4</v>
      </c>
      <c r="M155" s="35">
        <f t="shared" si="20"/>
        <v>3.6265139151141014E-6</v>
      </c>
      <c r="N155" s="44">
        <f t="shared" si="18"/>
        <v>1.5344486113255763E-4</v>
      </c>
      <c r="O155" s="45" t="e">
        <f t="shared" si="21"/>
        <v>#VALUE!</v>
      </c>
      <c r="P155" s="52" t="str">
        <f t="shared" si="22"/>
        <v/>
      </c>
      <c r="Q155" s="53" t="str">
        <f t="shared" si="23"/>
        <v/>
      </c>
      <c r="R155" s="54">
        <f t="shared" si="24"/>
        <v>146</v>
      </c>
      <c r="S155" s="53">
        <f t="shared" si="25"/>
        <v>2.0176039818025734E-4</v>
      </c>
    </row>
    <row r="156" spans="1:19" x14ac:dyDescent="0.15">
      <c r="A156" s="50"/>
      <c r="B156" s="50"/>
      <c r="J156" s="38">
        <v>147</v>
      </c>
      <c r="K156" s="40"/>
      <c r="L156" s="34">
        <f t="shared" si="19"/>
        <v>2.0537389897721487E-4</v>
      </c>
      <c r="M156" s="35">
        <f t="shared" si="20"/>
        <v>3.6005319902105782E-6</v>
      </c>
      <c r="N156" s="44">
        <f t="shared" si="18"/>
        <v>1.5241589178253476E-4</v>
      </c>
      <c r="O156" s="45" t="e">
        <f t="shared" si="21"/>
        <v>#VALUE!</v>
      </c>
      <c r="P156" s="52" t="str">
        <f t="shared" si="22"/>
        <v/>
      </c>
      <c r="Q156" s="53" t="str">
        <f t="shared" si="23"/>
        <v/>
      </c>
      <c r="R156" s="54">
        <f t="shared" si="24"/>
        <v>147</v>
      </c>
      <c r="S156" s="53">
        <f t="shared" si="25"/>
        <v>2.0537389897721487E-4</v>
      </c>
    </row>
    <row r="157" spans="1:19" x14ac:dyDescent="0.15">
      <c r="A157" s="50"/>
      <c r="B157" s="50"/>
      <c r="J157" s="38">
        <v>148</v>
      </c>
      <c r="K157" s="40"/>
      <c r="L157" s="34">
        <f t="shared" si="19"/>
        <v>2.0896155018200084E-4</v>
      </c>
      <c r="M157" s="35">
        <f t="shared" si="20"/>
        <v>3.5748141313153383E-6</v>
      </c>
      <c r="N157" s="44">
        <f t="shared" si="18"/>
        <v>1.5139664296925687E-4</v>
      </c>
      <c r="O157" s="45" t="e">
        <f t="shared" si="21"/>
        <v>#VALUE!</v>
      </c>
      <c r="P157" s="52" t="str">
        <f t="shared" si="22"/>
        <v/>
      </c>
      <c r="Q157" s="53" t="str">
        <f t="shared" si="23"/>
        <v/>
      </c>
      <c r="R157" s="54">
        <f t="shared" si="24"/>
        <v>148</v>
      </c>
      <c r="S157" s="53">
        <f t="shared" si="25"/>
        <v>2.0896155018200084E-4</v>
      </c>
    </row>
    <row r="158" spans="1:19" x14ac:dyDescent="0.15">
      <c r="A158" s="50"/>
      <c r="B158" s="50"/>
      <c r="J158" s="38">
        <v>149</v>
      </c>
      <c r="K158" s="40"/>
      <c r="L158" s="34">
        <f t="shared" si="19"/>
        <v>2.1252361407240043E-4</v>
      </c>
      <c r="M158" s="35">
        <f t="shared" si="20"/>
        <v>3.5493567720848203E-6</v>
      </c>
      <c r="N158" s="44">
        <f t="shared" si="18"/>
        <v>1.5038699239404367E-4</v>
      </c>
      <c r="O158" s="45" t="e">
        <f t="shared" si="21"/>
        <v>#VALUE!</v>
      </c>
      <c r="P158" s="52" t="str">
        <f t="shared" si="22"/>
        <v/>
      </c>
      <c r="Q158" s="53" t="str">
        <f t="shared" si="23"/>
        <v/>
      </c>
      <c r="R158" s="54">
        <f t="shared" si="24"/>
        <v>149</v>
      </c>
      <c r="S158" s="53">
        <f t="shared" si="25"/>
        <v>2.1252361407240043E-4</v>
      </c>
    </row>
    <row r="159" spans="1:19" x14ac:dyDescent="0.15">
      <c r="A159" s="50"/>
      <c r="B159" s="50"/>
      <c r="J159" s="38">
        <v>150</v>
      </c>
      <c r="K159" s="40"/>
      <c r="L159" s="34">
        <f t="shared" si="19"/>
        <v>2.1606034938995898E-4</v>
      </c>
      <c r="M159" s="35">
        <f t="shared" si="20"/>
        <v>3.5241564061793797E-6</v>
      </c>
      <c r="N159" s="44">
        <f t="shared" si="18"/>
        <v>1.4938681967934653E-4</v>
      </c>
      <c r="O159" s="45" t="e">
        <f t="shared" si="21"/>
        <v>#VALUE!</v>
      </c>
      <c r="P159" s="52" t="str">
        <f t="shared" si="22"/>
        <v/>
      </c>
      <c r="Q159" s="53" t="str">
        <f t="shared" si="23"/>
        <v/>
      </c>
      <c r="R159" s="54">
        <f t="shared" si="24"/>
        <v>150</v>
      </c>
      <c r="S159" s="53">
        <f t="shared" si="25"/>
        <v>2.1606034938995898E-4</v>
      </c>
    </row>
    <row r="160" spans="1:19" x14ac:dyDescent="0.15">
      <c r="A160" s="50"/>
      <c r="B160" s="50"/>
      <c r="J160" s="38">
        <v>151</v>
      </c>
      <c r="K160" s="40"/>
      <c r="L160" s="34">
        <f t="shared" si="19"/>
        <v>2.1957201139937967E-4</v>
      </c>
      <c r="M160" s="35">
        <f t="shared" si="20"/>
        <v>3.4992095860558598E-6</v>
      </c>
      <c r="N160" s="44">
        <f t="shared" si="18"/>
        <v>1.483960063325775E-4</v>
      </c>
      <c r="O160" s="45" t="e">
        <f t="shared" si="21"/>
        <v>#VALUE!</v>
      </c>
      <c r="P160" s="52" t="str">
        <f t="shared" si="22"/>
        <v/>
      </c>
      <c r="Q160" s="53" t="str">
        <f t="shared" si="23"/>
        <v/>
      </c>
      <c r="R160" s="54">
        <f t="shared" si="24"/>
        <v>151</v>
      </c>
      <c r="S160" s="53">
        <f t="shared" si="25"/>
        <v>2.1957201139937967E-4</v>
      </c>
    </row>
    <row r="161" spans="1:19" x14ac:dyDescent="0.15">
      <c r="A161" s="50"/>
      <c r="B161" s="50"/>
      <c r="J161" s="38">
        <v>152</v>
      </c>
      <c r="K161" s="40"/>
      <c r="L161" s="34">
        <f t="shared" si="19"/>
        <v>2.2305885194672862E-4</v>
      </c>
      <c r="M161" s="35">
        <f t="shared" si="20"/>
        <v>3.4745129217884421E-6</v>
      </c>
      <c r="N161" s="44">
        <f t="shared" si="18"/>
        <v>1.4741443571073234E-4</v>
      </c>
      <c r="O161" s="45" t="e">
        <f t="shared" si="21"/>
        <v>#VALUE!</v>
      </c>
      <c r="P161" s="52" t="str">
        <f t="shared" si="22"/>
        <v/>
      </c>
      <c r="Q161" s="53" t="str">
        <f t="shared" si="23"/>
        <v/>
      </c>
      <c r="R161" s="54">
        <f t="shared" si="24"/>
        <v>152</v>
      </c>
      <c r="S161" s="53">
        <f t="shared" si="25"/>
        <v>2.2305885194672862E-4</v>
      </c>
    </row>
    <row r="162" spans="1:19" x14ac:dyDescent="0.15">
      <c r="A162" s="50"/>
      <c r="B162" s="50"/>
      <c r="J162" s="38">
        <v>153</v>
      </c>
      <c r="K162" s="40"/>
      <c r="L162" s="34">
        <f t="shared" si="19"/>
        <v>2.2652111951647368E-4</v>
      </c>
      <c r="M162" s="35">
        <f t="shared" si="20"/>
        <v>3.4500630799169638E-6</v>
      </c>
      <c r="N162" s="44">
        <f t="shared" si="18"/>
        <v>1.4644199298578803E-4</v>
      </c>
      <c r="O162" s="45" t="e">
        <f t="shared" si="21"/>
        <v>#VALUE!</v>
      </c>
      <c r="P162" s="52" t="str">
        <f t="shared" si="22"/>
        <v/>
      </c>
      <c r="Q162" s="53" t="str">
        <f t="shared" si="23"/>
        <v/>
      </c>
      <c r="R162" s="54">
        <f t="shared" si="24"/>
        <v>153</v>
      </c>
      <c r="S162" s="53">
        <f t="shared" si="25"/>
        <v>2.2652111951647368E-4</v>
      </c>
    </row>
    <row r="163" spans="1:19" x14ac:dyDescent="0.15">
      <c r="A163" s="50"/>
      <c r="B163" s="50"/>
      <c r="J163" s="38">
        <v>154</v>
      </c>
      <c r="K163" s="40"/>
      <c r="L163" s="34">
        <f t="shared" si="19"/>
        <v>2.2995905928738548E-4</v>
      </c>
      <c r="M163" s="35">
        <f t="shared" si="20"/>
        <v>3.4258567823220155E-6</v>
      </c>
      <c r="N163" s="44">
        <f t="shared" si="18"/>
        <v>1.4547856511085272E-4</v>
      </c>
      <c r="O163" s="45" t="e">
        <f t="shared" si="21"/>
        <v>#VALUE!</v>
      </c>
      <c r="P163" s="52" t="str">
        <f t="shared" si="22"/>
        <v/>
      </c>
      <c r="Q163" s="53" t="str">
        <f t="shared" si="23"/>
        <v/>
      </c>
      <c r="R163" s="54">
        <f t="shared" si="24"/>
        <v>154</v>
      </c>
      <c r="S163" s="53">
        <f t="shared" si="25"/>
        <v>2.2995905928738548E-4</v>
      </c>
    </row>
    <row r="164" spans="1:19" x14ac:dyDescent="0.15">
      <c r="A164" s="50"/>
      <c r="B164" s="50"/>
      <c r="J164" s="38">
        <v>155</v>
      </c>
      <c r="K164" s="40"/>
      <c r="L164" s="34">
        <f t="shared" si="19"/>
        <v>2.333729131873267E-4</v>
      </c>
      <c r="M164" s="35">
        <f t="shared" si="20"/>
        <v>3.4018908051260995E-6</v>
      </c>
      <c r="N164" s="44">
        <f t="shared" si="18"/>
        <v>1.4452404078705344E-4</v>
      </c>
      <c r="O164" s="45" t="e">
        <f t="shared" si="21"/>
        <v>#VALUE!</v>
      </c>
      <c r="P164" s="52" t="str">
        <f t="shared" si="22"/>
        <v/>
      </c>
      <c r="Q164" s="53" t="str">
        <f t="shared" si="23"/>
        <v/>
      </c>
      <c r="R164" s="54">
        <f t="shared" si="24"/>
        <v>155</v>
      </c>
      <c r="S164" s="53">
        <f t="shared" si="25"/>
        <v>2.333729131873267E-4</v>
      </c>
    </row>
    <row r="165" spans="1:19" x14ac:dyDescent="0.15">
      <c r="A165" s="50"/>
      <c r="B165" s="50"/>
      <c r="J165" s="38">
        <v>156</v>
      </c>
      <c r="K165" s="40"/>
      <c r="L165" s="34">
        <f t="shared" si="19"/>
        <v>2.3676291994695521E-4</v>
      </c>
      <c r="M165" s="35">
        <f t="shared" si="20"/>
        <v>3.3781619776201532E-6</v>
      </c>
      <c r="N165" s="44">
        <f t="shared" si="18"/>
        <v>1.4357831043113897E-4</v>
      </c>
      <c r="O165" s="45" t="e">
        <f t="shared" si="21"/>
        <v>#VALUE!</v>
      </c>
      <c r="P165" s="52" t="str">
        <f t="shared" si="22"/>
        <v/>
      </c>
      <c r="Q165" s="53" t="str">
        <f t="shared" si="23"/>
        <v/>
      </c>
      <c r="R165" s="54">
        <f t="shared" si="24"/>
        <v>156</v>
      </c>
      <c r="S165" s="53">
        <f t="shared" si="25"/>
        <v>2.3676291994695521E-4</v>
      </c>
    </row>
    <row r="166" spans="1:19" x14ac:dyDescent="0.15">
      <c r="A166" s="50"/>
      <c r="B166" s="50"/>
      <c r="J166" s="38">
        <v>157</v>
      </c>
      <c r="K166" s="40"/>
      <c r="L166" s="34">
        <f t="shared" si="19"/>
        <v>2.4012931515236615E-4</v>
      </c>
      <c r="M166" s="35">
        <f t="shared" si="20"/>
        <v>3.354667181214789E-6</v>
      </c>
      <c r="N166" s="44">
        <f t="shared" si="18"/>
        <v>1.4264126614378422E-4</v>
      </c>
      <c r="O166" s="45" t="e">
        <f t="shared" si="21"/>
        <v>#VALUE!</v>
      </c>
      <c r="P166" s="52" t="str">
        <f t="shared" si="22"/>
        <v/>
      </c>
      <c r="Q166" s="53" t="str">
        <f t="shared" si="23"/>
        <v/>
      </c>
      <c r="R166" s="54">
        <f t="shared" si="24"/>
        <v>157</v>
      </c>
      <c r="S166" s="53">
        <f t="shared" si="25"/>
        <v>2.4012931515236615E-4</v>
      </c>
    </row>
    <row r="167" spans="1:19" x14ac:dyDescent="0.15">
      <c r="A167" s="50"/>
      <c r="B167" s="50"/>
      <c r="J167" s="38">
        <v>158</v>
      </c>
      <c r="K167" s="40"/>
      <c r="L167" s="34">
        <f t="shared" si="19"/>
        <v>2.4347233129669695E-4</v>
      </c>
      <c r="M167" s="35">
        <f t="shared" si="20"/>
        <v>3.3314033484155703E-6</v>
      </c>
      <c r="N167" s="44">
        <f t="shared" si="18"/>
        <v>1.417128016785759E-4</v>
      </c>
      <c r="O167" s="45" t="e">
        <f t="shared" si="21"/>
        <v>#VALUE!</v>
      </c>
      <c r="P167" s="52" t="str">
        <f t="shared" si="22"/>
        <v/>
      </c>
      <c r="Q167" s="53" t="str">
        <f t="shared" si="23"/>
        <v/>
      </c>
      <c r="R167" s="54">
        <f t="shared" si="24"/>
        <v>158</v>
      </c>
      <c r="S167" s="53">
        <f t="shared" si="25"/>
        <v>2.4347233129669695E-4</v>
      </c>
    </row>
    <row r="168" spans="1:19" x14ac:dyDescent="0.15">
      <c r="A168" s="50"/>
      <c r="B168" s="50"/>
      <c r="J168" s="38">
        <v>159</v>
      </c>
      <c r="K168" s="40"/>
      <c r="L168" s="34">
        <f t="shared" si="19"/>
        <v>2.4679219783072003E-4</v>
      </c>
      <c r="M168" s="35">
        <f t="shared" si="20"/>
        <v>3.308367461821732E-6</v>
      </c>
      <c r="N168" s="44">
        <f t="shared" si="18"/>
        <v>1.4079281241166408E-4</v>
      </c>
      <c r="O168" s="45" t="e">
        <f t="shared" si="21"/>
        <v>#VALUE!</v>
      </c>
      <c r="P168" s="52" t="str">
        <f t="shared" si="22"/>
        <v/>
      </c>
      <c r="Q168" s="53" t="str">
        <f t="shared" si="23"/>
        <v/>
      </c>
      <c r="R168" s="54">
        <f t="shared" si="24"/>
        <v>159</v>
      </c>
      <c r="S168" s="53">
        <f t="shared" si="25"/>
        <v>2.4679219783072003E-4</v>
      </c>
    </row>
    <row r="169" spans="1:19" x14ac:dyDescent="0.15">
      <c r="A169" s="50"/>
      <c r="B169" s="50"/>
      <c r="J169" s="38">
        <v>160</v>
      </c>
      <c r="K169" s="40"/>
      <c r="L169" s="34">
        <f t="shared" si="19"/>
        <v>2.5008914121244522E-4</v>
      </c>
      <c r="M169" s="35">
        <f t="shared" si="20"/>
        <v>3.2855565531477066E-6</v>
      </c>
      <c r="N169" s="44">
        <f t="shared" si="18"/>
        <v>1.398811953120626E-4</v>
      </c>
      <c r="O169" s="45" t="e">
        <f t="shared" si="21"/>
        <v>#VALUE!</v>
      </c>
      <c r="P169" s="52" t="str">
        <f t="shared" si="22"/>
        <v/>
      </c>
      <c r="Q169" s="53" t="str">
        <f t="shared" si="23"/>
        <v/>
      </c>
      <c r="R169" s="54">
        <f t="shared" si="24"/>
        <v>160</v>
      </c>
      <c r="S169" s="53">
        <f t="shared" si="25"/>
        <v>2.5008914121244522E-4</v>
      </c>
    </row>
    <row r="170" spans="1:19" x14ac:dyDescent="0.15">
      <c r="A170" s="50"/>
      <c r="B170" s="50"/>
      <c r="J170" s="38">
        <v>161</v>
      </c>
      <c r="K170" s="40"/>
      <c r="L170" s="34">
        <f t="shared" si="19"/>
        <v>2.533633849557552E-4</v>
      </c>
      <c r="M170" s="35">
        <f t="shared" si="20"/>
        <v>3.2629677022668928E-6</v>
      </c>
      <c r="N170" s="44">
        <f t="shared" si="18"/>
        <v>1.3897784891258366E-4</v>
      </c>
      <c r="O170" s="45" t="e">
        <f t="shared" si="21"/>
        <v>#VALUE!</v>
      </c>
      <c r="P170" s="52" t="str">
        <f t="shared" si="22"/>
        <v/>
      </c>
      <c r="Q170" s="53" t="str">
        <f t="shared" si="23"/>
        <v/>
      </c>
      <c r="R170" s="54">
        <f t="shared" si="24"/>
        <v>161</v>
      </c>
      <c r="S170" s="53">
        <f t="shared" si="25"/>
        <v>2.533633849557552E-4</v>
      </c>
    </row>
    <row r="171" spans="1:19" x14ac:dyDescent="0.15">
      <c r="A171" s="50"/>
      <c r="B171" s="50"/>
      <c r="J171" s="38">
        <v>162</v>
      </c>
      <c r="K171" s="40"/>
      <c r="L171" s="34">
        <f t="shared" si="19"/>
        <v>2.5661514967809481E-4</v>
      </c>
      <c r="M171" s="35">
        <f t="shared" si="20"/>
        <v>3.2405980362770476E-6</v>
      </c>
      <c r="N171" s="44">
        <f t="shared" si="18"/>
        <v>1.3808267328139015E-4</v>
      </c>
      <c r="O171" s="45" t="e">
        <f t="shared" si="21"/>
        <v>#VALUE!</v>
      </c>
      <c r="P171" s="52" t="str">
        <f t="shared" si="22"/>
        <v/>
      </c>
      <c r="Q171" s="53" t="str">
        <f t="shared" si="23"/>
        <v/>
      </c>
      <c r="R171" s="54">
        <f t="shared" si="24"/>
        <v>162</v>
      </c>
      <c r="S171" s="53">
        <f t="shared" si="25"/>
        <v>2.5661514967809481E-4</v>
      </c>
    </row>
    <row r="172" spans="1:19" x14ac:dyDescent="0.15">
      <c r="A172" s="50"/>
      <c r="B172" s="50"/>
      <c r="J172" s="38">
        <v>163</v>
      </c>
      <c r="K172" s="40"/>
      <c r="L172" s="34">
        <f t="shared" si="19"/>
        <v>2.5984465314723792E-4</v>
      </c>
      <c r="M172" s="35">
        <f t="shared" si="20"/>
        <v>3.2184447285868003E-6</v>
      </c>
      <c r="N172" s="44">
        <f t="shared" si="18"/>
        <v>1.3719556999415041E-4</v>
      </c>
      <c r="O172" s="45" t="e">
        <f t="shared" si="21"/>
        <v>#VALUE!</v>
      </c>
      <c r="P172" s="52" t="str">
        <f t="shared" si="22"/>
        <v/>
      </c>
      <c r="Q172" s="53" t="str">
        <f t="shared" si="23"/>
        <v/>
      </c>
      <c r="R172" s="54">
        <f t="shared" si="24"/>
        <v>163</v>
      </c>
      <c r="S172" s="53">
        <f t="shared" si="25"/>
        <v>2.5984465314723792E-4</v>
      </c>
    </row>
    <row r="173" spans="1:19" x14ac:dyDescent="0.15">
      <c r="A173" s="50"/>
      <c r="B173" s="50"/>
      <c r="J173" s="38">
        <v>164</v>
      </c>
      <c r="K173" s="40"/>
      <c r="L173" s="34">
        <f t="shared" si="19"/>
        <v>2.6305211032714895E-4</v>
      </c>
      <c r="M173" s="35">
        <f t="shared" si="20"/>
        <v>3.1965049980226873E-6</v>
      </c>
      <c r="N173" s="44">
        <f t="shared" si="18"/>
        <v>1.3631644210678259E-4</v>
      </c>
      <c r="O173" s="45" t="e">
        <f t="shared" si="21"/>
        <v>#VALUE!</v>
      </c>
      <c r="P173" s="52" t="str">
        <f t="shared" si="22"/>
        <v/>
      </c>
      <c r="Q173" s="53" t="str">
        <f t="shared" si="23"/>
        <v/>
      </c>
      <c r="R173" s="54">
        <f t="shared" si="24"/>
        <v>164</v>
      </c>
      <c r="S173" s="53">
        <f t="shared" si="25"/>
        <v>2.6305211032714895E-4</v>
      </c>
    </row>
    <row r="174" spans="1:19" x14ac:dyDescent="0.15">
      <c r="A174" s="50"/>
      <c r="B174" s="50"/>
      <c r="J174" s="38">
        <v>165</v>
      </c>
      <c r="K174" s="40"/>
      <c r="L174" s="34">
        <f t="shared" si="19"/>
        <v>2.6623773342296364E-4</v>
      </c>
      <c r="M174" s="35">
        <f t="shared" si="20"/>
        <v>3.1747761079562349E-6</v>
      </c>
      <c r="N174" s="44">
        <f t="shared" si="18"/>
        <v>1.3544519412877164E-4</v>
      </c>
      <c r="O174" s="45" t="e">
        <f t="shared" si="21"/>
        <v>#VALUE!</v>
      </c>
      <c r="P174" s="52" t="str">
        <f t="shared" si="22"/>
        <v/>
      </c>
      <c r="Q174" s="53" t="str">
        <f t="shared" si="23"/>
        <v/>
      </c>
      <c r="R174" s="54">
        <f t="shared" si="24"/>
        <v>165</v>
      </c>
      <c r="S174" s="53">
        <f t="shared" si="25"/>
        <v>2.6623773342296364E-4</v>
      </c>
    </row>
    <row r="175" spans="1:19" x14ac:dyDescent="0.15">
      <c r="A175" s="50"/>
      <c r="B175" s="50"/>
      <c r="J175" s="38">
        <v>166</v>
      </c>
      <c r="K175" s="40"/>
      <c r="L175" s="34">
        <f t="shared" si="19"/>
        <v>2.6940173192510544E-4</v>
      </c>
      <c r="M175" s="35">
        <f t="shared" si="20"/>
        <v>3.153255365450534E-6</v>
      </c>
      <c r="N175" s="44">
        <f t="shared" si="18"/>
        <v>1.3458173199704787E-4</v>
      </c>
      <c r="O175" s="45" t="e">
        <f t="shared" si="21"/>
        <v>#VALUE!</v>
      </c>
      <c r="P175" s="52" t="str">
        <f t="shared" si="22"/>
        <v/>
      </c>
      <c r="Q175" s="53" t="str">
        <f t="shared" si="23"/>
        <v/>
      </c>
      <c r="R175" s="54">
        <f t="shared" si="24"/>
        <v>166</v>
      </c>
      <c r="S175" s="53">
        <f t="shared" si="25"/>
        <v>2.6940173192510544E-4</v>
      </c>
    </row>
    <row r="176" spans="1:19" x14ac:dyDescent="0.15">
      <c r="A176" s="50"/>
      <c r="B176" s="50"/>
      <c r="J176" s="38">
        <v>167</v>
      </c>
      <c r="K176" s="40"/>
      <c r="L176" s="34">
        <f t="shared" si="19"/>
        <v>2.7254431265255798E-4</v>
      </c>
      <c r="M176" s="35">
        <f t="shared" si="20"/>
        <v>3.1319401204258419E-6</v>
      </c>
      <c r="N176" s="44">
        <f t="shared" si="18"/>
        <v>1.3372596305041319E-4</v>
      </c>
      <c r="O176" s="45" t="e">
        <f t="shared" si="21"/>
        <v>#VALUE!</v>
      </c>
      <c r="P176" s="52" t="str">
        <f t="shared" si="22"/>
        <v/>
      </c>
      <c r="Q176" s="53" t="str">
        <f t="shared" si="23"/>
        <v/>
      </c>
      <c r="R176" s="54">
        <f t="shared" si="24"/>
        <v>167</v>
      </c>
      <c r="S176" s="53">
        <f t="shared" si="25"/>
        <v>2.7254431265255798E-4</v>
      </c>
    </row>
    <row r="177" spans="1:19" x14ac:dyDescent="0.15">
      <c r="A177" s="50"/>
      <c r="B177" s="50"/>
      <c r="J177" s="38">
        <v>168</v>
      </c>
      <c r="K177" s="40"/>
      <c r="L177" s="34">
        <f t="shared" si="19"/>
        <v>2.7566567979531311E-4</v>
      </c>
      <c r="M177" s="35">
        <f t="shared" si="20"/>
        <v>3.110827764843709E-6</v>
      </c>
      <c r="N177" s="44">
        <f t="shared" si="18"/>
        <v>1.3287779600449858E-4</v>
      </c>
      <c r="O177" s="45" t="e">
        <f t="shared" si="21"/>
        <v>#VALUE!</v>
      </c>
      <c r="P177" s="52" t="str">
        <f t="shared" si="22"/>
        <v/>
      </c>
      <c r="Q177" s="53" t="str">
        <f t="shared" si="23"/>
        <v/>
      </c>
      <c r="R177" s="54">
        <f t="shared" si="24"/>
        <v>168</v>
      </c>
      <c r="S177" s="53">
        <f t="shared" si="25"/>
        <v>2.7566567979531311E-4</v>
      </c>
    </row>
    <row r="178" spans="1:19" x14ac:dyDescent="0.15">
      <c r="A178" s="50"/>
      <c r="B178" s="50"/>
      <c r="J178" s="38">
        <v>169</v>
      </c>
      <c r="K178" s="40"/>
      <c r="L178" s="34">
        <f t="shared" si="19"/>
        <v>2.7876603495601178E-4</v>
      </c>
      <c r="M178" s="35">
        <f t="shared" si="20"/>
        <v>3.0899157319091707E-6</v>
      </c>
      <c r="N178" s="44">
        <f t="shared" si="18"/>
        <v>1.3203714092724616E-4</v>
      </c>
      <c r="O178" s="45" t="e">
        <f t="shared" si="21"/>
        <v>#VALUE!</v>
      </c>
      <c r="P178" s="52" t="str">
        <f t="shared" si="22"/>
        <v/>
      </c>
      <c r="Q178" s="53" t="str">
        <f t="shared" si="23"/>
        <v/>
      </c>
      <c r="R178" s="54">
        <f t="shared" si="24"/>
        <v>169</v>
      </c>
      <c r="S178" s="53">
        <f t="shared" si="25"/>
        <v>2.7876603495601178E-4</v>
      </c>
    </row>
    <row r="179" spans="1:19" x14ac:dyDescent="0.15">
      <c r="A179" s="50"/>
      <c r="B179" s="50"/>
      <c r="J179" s="38">
        <v>170</v>
      </c>
      <c r="K179" s="40"/>
      <c r="L179" s="34">
        <f t="shared" si="19"/>
        <v>2.8184557719079567E-4</v>
      </c>
      <c r="M179" s="35">
        <f t="shared" si="20"/>
        <v>3.0692014952905478E-6</v>
      </c>
      <c r="N179" s="44">
        <f t="shared" si="18"/>
        <v>1.312039092148972E-4</v>
      </c>
      <c r="O179" s="45" t="e">
        <f t="shared" si="21"/>
        <v>#VALUE!</v>
      </c>
      <c r="P179" s="52" t="str">
        <f t="shared" si="22"/>
        <v/>
      </c>
      <c r="Q179" s="53" t="str">
        <f t="shared" si="23"/>
        <v/>
      </c>
      <c r="R179" s="54">
        <f t="shared" si="24"/>
        <v>170</v>
      </c>
      <c r="S179" s="53">
        <f t="shared" si="25"/>
        <v>2.8184557719079567E-4</v>
      </c>
    </row>
    <row r="180" spans="1:19" x14ac:dyDescent="0.15">
      <c r="A180" s="50"/>
      <c r="B180" s="50"/>
      <c r="J180" s="38">
        <v>171</v>
      </c>
      <c r="K180" s="40"/>
      <c r="L180" s="34">
        <f t="shared" si="19"/>
        <v>2.8490450304938816E-4</v>
      </c>
      <c r="M180" s="35">
        <f t="shared" si="20"/>
        <v>3.0486825683564111E-6</v>
      </c>
      <c r="N180" s="44">
        <f t="shared" si="18"/>
        <v>1.3037801356847832E-4</v>
      </c>
      <c r="O180" s="45" t="e">
        <f t="shared" si="21"/>
        <v>#VALUE!</v>
      </c>
      <c r="P180" s="52" t="str">
        <f t="shared" si="22"/>
        <v/>
      </c>
      <c r="Q180" s="53" t="str">
        <f t="shared" si="23"/>
        <v/>
      </c>
      <c r="R180" s="54">
        <f t="shared" si="24"/>
        <v>171</v>
      </c>
      <c r="S180" s="53">
        <f t="shared" si="25"/>
        <v>2.8490450304938816E-4</v>
      </c>
    </row>
    <row r="181" spans="1:19" x14ac:dyDescent="0.15">
      <c r="A181" s="50"/>
      <c r="B181" s="50"/>
      <c r="J181" s="38">
        <v>172</v>
      </c>
      <c r="K181" s="40"/>
      <c r="L181" s="34">
        <f t="shared" si="19"/>
        <v>2.8794300661441938E-4</v>
      </c>
      <c r="M181" s="35">
        <f t="shared" si="20"/>
        <v>3.028356503429283E-6</v>
      </c>
      <c r="N181" s="44">
        <f t="shared" si="18"/>
        <v>1.29559367970773E-4</v>
      </c>
      <c r="O181" s="45" t="e">
        <f t="shared" si="21"/>
        <v>#VALUE!</v>
      </c>
      <c r="P181" s="52" t="str">
        <f t="shared" si="22"/>
        <v/>
      </c>
      <c r="Q181" s="53" t="str">
        <f t="shared" si="23"/>
        <v/>
      </c>
      <c r="R181" s="54">
        <f t="shared" si="24"/>
        <v>172</v>
      </c>
      <c r="S181" s="53">
        <f t="shared" si="25"/>
        <v>2.8794300661441938E-4</v>
      </c>
    </row>
    <row r="182" spans="1:19" x14ac:dyDescent="0.15">
      <c r="A182" s="50"/>
      <c r="B182" s="50"/>
      <c r="J182" s="38">
        <v>173</v>
      </c>
      <c r="K182" s="40"/>
      <c r="L182" s="34">
        <f t="shared" si="19"/>
        <v>2.9096127954001441E-4</v>
      </c>
      <c r="M182" s="35">
        <f t="shared" si="20"/>
        <v>3.0082208910556458E-6</v>
      </c>
      <c r="N182" s="44">
        <f t="shared" si="18"/>
        <v>1.2874788766376532E-4</v>
      </c>
      <c r="O182" s="45" t="e">
        <f t="shared" si="21"/>
        <v>#VALUE!</v>
      </c>
      <c r="P182" s="52" t="str">
        <f t="shared" si="22"/>
        <v/>
      </c>
      <c r="Q182" s="53" t="str">
        <f t="shared" si="23"/>
        <v/>
      </c>
      <c r="R182" s="54">
        <f t="shared" si="24"/>
        <v>173</v>
      </c>
      <c r="S182" s="53">
        <f t="shared" si="25"/>
        <v>2.9096127954001441E-4</v>
      </c>
    </row>
    <row r="183" spans="1:19" x14ac:dyDescent="0.15">
      <c r="A183" s="50"/>
      <c r="B183" s="50"/>
      <c r="J183" s="38">
        <v>174</v>
      </c>
      <c r="K183" s="40"/>
      <c r="L183" s="34">
        <f t="shared" si="19"/>
        <v>2.9395951108965833E-4</v>
      </c>
      <c r="M183" s="35">
        <f t="shared" si="20"/>
        <v>2.9882733592918667E-6</v>
      </c>
      <c r="N183" s="44">
        <f t="shared" si="18"/>
        <v>1.2794348912654758E-4</v>
      </c>
      <c r="O183" s="45" t="e">
        <f t="shared" si="21"/>
        <v>#VALUE!</v>
      </c>
      <c r="P183" s="52" t="str">
        <f t="shared" si="22"/>
        <v/>
      </c>
      <c r="Q183" s="53" t="str">
        <f t="shared" si="23"/>
        <v/>
      </c>
      <c r="R183" s="54">
        <f t="shared" si="24"/>
        <v>174</v>
      </c>
      <c r="S183" s="53">
        <f t="shared" si="25"/>
        <v>2.9395951108965833E-4</v>
      </c>
    </row>
    <row r="184" spans="1:19" x14ac:dyDescent="0.15">
      <c r="A184" s="50"/>
      <c r="B184" s="50"/>
      <c r="J184" s="38">
        <v>175</v>
      </c>
      <c r="K184" s="40"/>
      <c r="L184" s="34">
        <f t="shared" si="19"/>
        <v>2.9693788817335598E-4</v>
      </c>
      <c r="M184" s="35">
        <f t="shared" si="20"/>
        <v>2.9685115730056505E-6</v>
      </c>
      <c r="N184" s="44">
        <f t="shared" si="18"/>
        <v>1.27146090053679E-4</v>
      </c>
      <c r="O184" s="45" t="e">
        <f t="shared" si="21"/>
        <v>#VALUE!</v>
      </c>
      <c r="P184" s="52" t="str">
        <f t="shared" si="22"/>
        <v/>
      </c>
      <c r="Q184" s="53" t="str">
        <f t="shared" si="23"/>
        <v/>
      </c>
      <c r="R184" s="54">
        <f t="shared" si="24"/>
        <v>175</v>
      </c>
      <c r="S184" s="53">
        <f t="shared" si="25"/>
        <v>2.9693788817335598E-4</v>
      </c>
    </row>
    <row r="185" spans="1:19" x14ac:dyDescent="0.15">
      <c r="A185" s="50"/>
      <c r="B185" s="50"/>
      <c r="J185" s="38">
        <v>176</v>
      </c>
      <c r="K185" s="40"/>
      <c r="L185" s="34">
        <f t="shared" si="19"/>
        <v>2.9989659538410011E-4</v>
      </c>
      <c r="M185" s="35">
        <f t="shared" si="20"/>
        <v>2.9489332331925933E-6</v>
      </c>
      <c r="N185" s="44">
        <f t="shared" si="18"/>
        <v>1.2635560933398505E-4</v>
      </c>
      <c r="O185" s="45" t="e">
        <f t="shared" si="21"/>
        <v>#VALUE!</v>
      </c>
      <c r="P185" s="52" t="str">
        <f t="shared" si="22"/>
        <v/>
      </c>
      <c r="Q185" s="53" t="str">
        <f t="shared" si="23"/>
        <v/>
      </c>
      <c r="R185" s="54">
        <f t="shared" si="24"/>
        <v>176</v>
      </c>
      <c r="S185" s="53">
        <f t="shared" si="25"/>
        <v>2.9989659538410011E-4</v>
      </c>
    </row>
    <row r="186" spans="1:19" x14ac:dyDescent="0.15">
      <c r="A186" s="50"/>
      <c r="B186" s="50"/>
      <c r="J186" s="38">
        <v>177</v>
      </c>
      <c r="K186" s="40"/>
      <c r="L186" s="34">
        <f t="shared" si="19"/>
        <v>3.0283581503366382E-4</v>
      </c>
      <c r="M186" s="35">
        <f t="shared" si="20"/>
        <v>2.9295360763075222E-6</v>
      </c>
      <c r="N186" s="44">
        <f t="shared" si="18"/>
        <v>1.2557196702978892E-4</v>
      </c>
      <c r="O186" s="45" t="e">
        <f t="shared" si="21"/>
        <v>#VALUE!</v>
      </c>
      <c r="P186" s="52" t="str">
        <f t="shared" si="22"/>
        <v/>
      </c>
      <c r="Q186" s="53" t="str">
        <f t="shared" si="23"/>
        <v/>
      </c>
      <c r="R186" s="54">
        <f t="shared" si="24"/>
        <v>177</v>
      </c>
      <c r="S186" s="53">
        <f t="shared" si="25"/>
        <v>3.0283581503366382E-4</v>
      </c>
    </row>
    <row r="187" spans="1:19" x14ac:dyDescent="0.15">
      <c r="A187" s="50"/>
      <c r="B187" s="50"/>
      <c r="J187" s="38">
        <v>178</v>
      </c>
      <c r="K187" s="40"/>
      <c r="L187" s="34">
        <f t="shared" si="19"/>
        <v>3.0575572718773153E-4</v>
      </c>
      <c r="M187" s="35">
        <f t="shared" si="20"/>
        <v>2.910317873610213E-6</v>
      </c>
      <c r="N187" s="44">
        <f t="shared" si="18"/>
        <v>1.2479508435656245E-4</v>
      </c>
      <c r="O187" s="45" t="e">
        <f t="shared" si="21"/>
        <v>#VALUE!</v>
      </c>
      <c r="P187" s="52" t="str">
        <f t="shared" si="22"/>
        <v/>
      </c>
      <c r="Q187" s="53" t="str">
        <f t="shared" si="23"/>
        <v/>
      </c>
      <c r="R187" s="54">
        <f t="shared" si="24"/>
        <v>178</v>
      </c>
      <c r="S187" s="53">
        <f t="shared" si="25"/>
        <v>3.0575572718773153E-4</v>
      </c>
    </row>
    <row r="188" spans="1:19" x14ac:dyDescent="0.15">
      <c r="A188" s="50"/>
      <c r="B188" s="50"/>
      <c r="J188" s="38">
        <v>179</v>
      </c>
      <c r="K188" s="40"/>
      <c r="L188" s="34">
        <f t="shared" si="19"/>
        <v>3.0865650970038236E-4</v>
      </c>
      <c r="M188" s="35">
        <f t="shared" si="20"/>
        <v>2.891276430525152E-6</v>
      </c>
      <c r="N188" s="44">
        <f t="shared" si="18"/>
        <v>1.2402488366298917E-4</v>
      </c>
      <c r="O188" s="45" t="e">
        <f t="shared" si="21"/>
        <v>#VALUE!</v>
      </c>
      <c r="P188" s="52" t="str">
        <f t="shared" si="22"/>
        <v/>
      </c>
      <c r="Q188" s="53" t="str">
        <f t="shared" si="23"/>
        <v/>
      </c>
      <c r="R188" s="54">
        <f t="shared" si="24"/>
        <v>179</v>
      </c>
      <c r="S188" s="53">
        <f t="shared" si="25"/>
        <v>3.0865650970038236E-4</v>
      </c>
    </row>
    <row r="189" spans="1:19" x14ac:dyDescent="0.15">
      <c r="A189" s="50"/>
      <c r="B189" s="50"/>
      <c r="J189" s="38">
        <v>180</v>
      </c>
      <c r="K189" s="40"/>
      <c r="L189" s="34">
        <f t="shared" si="19"/>
        <v>3.1153833824794087E-4</v>
      </c>
      <c r="M189" s="35">
        <f t="shared" si="20"/>
        <v>2.8724095860150057E-6</v>
      </c>
      <c r="N189" s="44">
        <f t="shared" si="18"/>
        <v>1.2326128841142842E-4</v>
      </c>
      <c r="O189" s="45" t="e">
        <f t="shared" si="21"/>
        <v>#VALUE!</v>
      </c>
      <c r="P189" s="52" t="str">
        <f t="shared" si="22"/>
        <v/>
      </c>
      <c r="Q189" s="53" t="str">
        <f t="shared" si="23"/>
        <v/>
      </c>
      <c r="R189" s="54">
        <f t="shared" si="24"/>
        <v>180</v>
      </c>
      <c r="S189" s="53">
        <f t="shared" si="25"/>
        <v>3.1153833824794087E-4</v>
      </c>
    </row>
    <row r="190" spans="1:19" x14ac:dyDescent="0.15">
      <c r="A190" s="50"/>
      <c r="B190" s="50"/>
      <c r="J190" s="38">
        <v>181</v>
      </c>
      <c r="K190" s="40"/>
      <c r="L190" s="34">
        <f t="shared" si="19"/>
        <v>3.1440138636220738E-4</v>
      </c>
      <c r="M190" s="35">
        <f t="shared" si="20"/>
        <v>2.8537152119674392E-6</v>
      </c>
      <c r="N190" s="44">
        <f t="shared" si="18"/>
        <v>1.2250422315877223E-4</v>
      </c>
      <c r="O190" s="45" t="e">
        <f t="shared" si="21"/>
        <v>#VALUE!</v>
      </c>
      <c r="P190" s="52" t="str">
        <f t="shared" si="22"/>
        <v/>
      </c>
      <c r="Q190" s="53" t="str">
        <f t="shared" si="23"/>
        <v/>
      </c>
      <c r="R190" s="54">
        <f t="shared" si="24"/>
        <v>181</v>
      </c>
      <c r="S190" s="53">
        <f t="shared" si="25"/>
        <v>3.1440138636220738E-4</v>
      </c>
    </row>
    <row r="191" spans="1:19" x14ac:dyDescent="0.15">
      <c r="A191" s="50"/>
      <c r="B191" s="50"/>
      <c r="J191" s="38">
        <v>182</v>
      </c>
      <c r="K191" s="40"/>
      <c r="L191" s="34">
        <f t="shared" si="19"/>
        <v>3.1724582546308153E-4</v>
      </c>
      <c r="M191" s="35">
        <f t="shared" si="20"/>
        <v>2.8351912125949829E-6</v>
      </c>
      <c r="N191" s="44">
        <f t="shared" si="18"/>
        <v>1.2175361353768593E-4</v>
      </c>
      <c r="O191" s="45" t="e">
        <f t="shared" si="21"/>
        <v>#VALUE!</v>
      </c>
      <c r="P191" s="52" t="str">
        <f t="shared" si="22"/>
        <v/>
      </c>
      <c r="Q191" s="53" t="str">
        <f t="shared" si="23"/>
        <v/>
      </c>
      <c r="R191" s="54">
        <f t="shared" si="24"/>
        <v>182</v>
      </c>
      <c r="S191" s="53">
        <f t="shared" si="25"/>
        <v>3.1724582546308153E-4</v>
      </c>
    </row>
    <row r="192" spans="1:19" x14ac:dyDescent="0.15">
      <c r="A192" s="50"/>
      <c r="B192" s="50"/>
      <c r="J192" s="38">
        <v>183</v>
      </c>
      <c r="K192" s="40"/>
      <c r="L192" s="34">
        <f t="shared" si="19"/>
        <v>3.2007182489059285E-4</v>
      </c>
      <c r="M192" s="35">
        <f t="shared" si="20"/>
        <v>2.8168355238476226E-6</v>
      </c>
      <c r="N192" s="44">
        <f t="shared" si="18"/>
        <v>1.2100938623822201E-4</v>
      </c>
      <c r="O192" s="45" t="e">
        <f t="shared" si="21"/>
        <v>#VALUE!</v>
      </c>
      <c r="P192" s="52" t="str">
        <f t="shared" si="22"/>
        <v/>
      </c>
      <c r="Q192" s="53" t="str">
        <f t="shared" si="23"/>
        <v/>
      </c>
      <c r="R192" s="54">
        <f t="shared" si="24"/>
        <v>183</v>
      </c>
      <c r="S192" s="53">
        <f t="shared" si="25"/>
        <v>3.2007182489059285E-4</v>
      </c>
    </row>
    <row r="193" spans="1:19" x14ac:dyDescent="0.15">
      <c r="A193" s="50"/>
      <c r="B193" s="50"/>
      <c r="J193" s="38">
        <v>184</v>
      </c>
      <c r="K193" s="40"/>
      <c r="L193" s="34">
        <f t="shared" si="19"/>
        <v>3.2287955193634936E-4</v>
      </c>
      <c r="M193" s="35">
        <f t="shared" si="20"/>
        <v>2.7986461128378E-6</v>
      </c>
      <c r="N193" s="44">
        <f t="shared" si="18"/>
        <v>1.2027146898980215E-4</v>
      </c>
      <c r="O193" s="45" t="e">
        <f t="shared" si="21"/>
        <v>#VALUE!</v>
      </c>
      <c r="P193" s="52" t="str">
        <f t="shared" si="22"/>
        <v/>
      </c>
      <c r="Q193" s="53" t="str">
        <f t="shared" si="23"/>
        <v/>
      </c>
      <c r="R193" s="54">
        <f t="shared" si="24"/>
        <v>184</v>
      </c>
      <c r="S193" s="53">
        <f t="shared" si="25"/>
        <v>3.2287955193634936E-4</v>
      </c>
    </row>
    <row r="194" spans="1:19" x14ac:dyDescent="0.15">
      <c r="A194" s="50"/>
      <c r="B194" s="50"/>
      <c r="J194" s="38">
        <v>185</v>
      </c>
      <c r="K194" s="40"/>
      <c r="L194" s="34">
        <f t="shared" si="19"/>
        <v>3.2566917187441775E-4</v>
      </c>
      <c r="M194" s="35">
        <f t="shared" si="20"/>
        <v>2.7806209772775433E-6</v>
      </c>
      <c r="N194" s="44">
        <f t="shared" si="18"/>
        <v>1.1953979054355525E-4</v>
      </c>
      <c r="O194" s="45" t="e">
        <f t="shared" si="21"/>
        <v>#VALUE!</v>
      </c>
      <c r="P194" s="52" t="str">
        <f t="shared" si="22"/>
        <v/>
      </c>
      <c r="Q194" s="53" t="str">
        <f t="shared" si="23"/>
        <v/>
      </c>
      <c r="R194" s="54">
        <f t="shared" si="24"/>
        <v>185</v>
      </c>
      <c r="S194" s="53">
        <f t="shared" si="25"/>
        <v>3.2566917187441775E-4</v>
      </c>
    </row>
    <row r="195" spans="1:19" x14ac:dyDescent="0.15">
      <c r="A195" s="50"/>
      <c r="B195" s="50"/>
      <c r="J195" s="38">
        <v>186</v>
      </c>
      <c r="K195" s="40"/>
      <c r="L195" s="34">
        <f t="shared" si="19"/>
        <v>3.2844084799164657E-4</v>
      </c>
      <c r="M195" s="35">
        <f t="shared" si="20"/>
        <v>2.7627581449274048E-6</v>
      </c>
      <c r="N195" s="44">
        <f t="shared" si="18"/>
        <v>1.1881428065500609E-4</v>
      </c>
      <c r="O195" s="45" t="e">
        <f t="shared" si="21"/>
        <v>#VALUE!</v>
      </c>
      <c r="P195" s="52" t="str">
        <f t="shared" si="22"/>
        <v/>
      </c>
      <c r="Q195" s="53" t="str">
        <f t="shared" si="23"/>
        <v/>
      </c>
      <c r="R195" s="54">
        <f t="shared" si="24"/>
        <v>186</v>
      </c>
      <c r="S195" s="53">
        <f t="shared" si="25"/>
        <v>3.2844084799164657E-4</v>
      </c>
    </row>
    <row r="196" spans="1:19" x14ac:dyDescent="0.15">
      <c r="A196" s="50"/>
      <c r="B196" s="50"/>
      <c r="J196" s="38">
        <v>187</v>
      </c>
      <c r="K196" s="40"/>
      <c r="L196" s="34">
        <f t="shared" si="19"/>
        <v>3.3119474161744382E-4</v>
      </c>
      <c r="M196" s="35">
        <f t="shared" si="20"/>
        <v>2.7450556730569543E-6</v>
      </c>
      <c r="N196" s="44">
        <f t="shared" si="18"/>
        <v>1.1809487006710556E-4</v>
      </c>
      <c r="O196" s="45" t="e">
        <f t="shared" si="21"/>
        <v>#VALUE!</v>
      </c>
      <c r="P196" s="52" t="str">
        <f t="shared" si="22"/>
        <v/>
      </c>
      <c r="Q196" s="53" t="str">
        <f t="shared" si="23"/>
        <v/>
      </c>
      <c r="R196" s="54">
        <f t="shared" si="24"/>
        <v>187</v>
      </c>
      <c r="S196" s="53">
        <f t="shared" si="25"/>
        <v>3.3119474161744382E-4</v>
      </c>
    </row>
    <row r="197" spans="1:19" x14ac:dyDescent="0.15">
      <c r="A197" s="50"/>
      <c r="B197" s="50"/>
      <c r="J197" s="38">
        <v>188</v>
      </c>
      <c r="K197" s="40"/>
      <c r="L197" s="34">
        <f t="shared" si="19"/>
        <v>3.3393101215302092E-4</v>
      </c>
      <c r="M197" s="35">
        <f t="shared" si="20"/>
        <v>2.727511647916536E-6</v>
      </c>
      <c r="N197" s="44">
        <f t="shared" si="18"/>
        <v>1.1738149049359507E-4</v>
      </c>
      <c r="O197" s="45" t="e">
        <f t="shared" si="21"/>
        <v>#VALUE!</v>
      </c>
      <c r="P197" s="52" t="str">
        <f t="shared" si="22"/>
        <v/>
      </c>
      <c r="Q197" s="53" t="str">
        <f t="shared" si="23"/>
        <v/>
      </c>
      <c r="R197" s="54">
        <f t="shared" si="24"/>
        <v>188</v>
      </c>
      <c r="S197" s="53">
        <f t="shared" si="25"/>
        <v>3.3393101215302092E-4</v>
      </c>
    </row>
    <row r="198" spans="1:19" x14ac:dyDescent="0.15">
      <c r="A198" s="50"/>
      <c r="B198" s="50"/>
      <c r="J198" s="38">
        <v>189</v>
      </c>
      <c r="K198" s="40"/>
      <c r="L198" s="34">
        <f t="shared" si="19"/>
        <v>3.3664981710011425E-4</v>
      </c>
      <c r="M198" s="35">
        <f t="shared" si="20"/>
        <v>2.7101241842200322E-6</v>
      </c>
      <c r="N198" s="44">
        <f t="shared" si="18"/>
        <v>1.1667407460269695E-4</v>
      </c>
      <c r="O198" s="45" t="e">
        <f t="shared" si="21"/>
        <v>#VALUE!</v>
      </c>
      <c r="P198" s="52" t="str">
        <f t="shared" si="22"/>
        <v/>
      </c>
      <c r="Q198" s="53" t="str">
        <f t="shared" si="23"/>
        <v/>
      </c>
      <c r="R198" s="54">
        <f t="shared" si="24"/>
        <v>189</v>
      </c>
      <c r="S198" s="53">
        <f t="shared" si="25"/>
        <v>3.3664981710011425E-4</v>
      </c>
    </row>
    <row r="199" spans="1:19" x14ac:dyDescent="0.15">
      <c r="A199" s="50"/>
      <c r="B199" s="50"/>
      <c r="J199" s="38">
        <v>190</v>
      </c>
      <c r="K199" s="40"/>
      <c r="L199" s="34">
        <f t="shared" si="19"/>
        <v>3.3935131208919417E-4</v>
      </c>
      <c r="M199" s="35">
        <f t="shared" si="20"/>
        <v>2.6928914246383489E-6</v>
      </c>
      <c r="N199" s="44">
        <f t="shared" si="18"/>
        <v>1.1597255600112523E-4</v>
      </c>
      <c r="O199" s="45" t="e">
        <f t="shared" si="21"/>
        <v>#VALUE!</v>
      </c>
      <c r="P199" s="52" t="str">
        <f t="shared" si="22"/>
        <v/>
      </c>
      <c r="Q199" s="53" t="str">
        <f t="shared" si="23"/>
        <v/>
      </c>
      <c r="R199" s="54">
        <f t="shared" si="24"/>
        <v>190</v>
      </c>
      <c r="S199" s="53">
        <f t="shared" si="25"/>
        <v>3.3935131208919417E-4</v>
      </c>
    </row>
    <row r="200" spans="1:19" x14ac:dyDescent="0.15">
      <c r="A200" s="50"/>
      <c r="B200" s="50"/>
      <c r="J200" s="38">
        <v>191</v>
      </c>
      <c r="K200" s="40"/>
      <c r="L200" s="34">
        <f t="shared" si="19"/>
        <v>3.4203565090717351E-4</v>
      </c>
      <c r="M200" s="35">
        <f t="shared" si="20"/>
        <v>2.6758115393034012E-6</v>
      </c>
      <c r="N200" s="44">
        <f t="shared" si="18"/>
        <v>1.152768692184072E-4</v>
      </c>
      <c r="O200" s="45" t="e">
        <f t="shared" si="21"/>
        <v>#VALUE!</v>
      </c>
      <c r="P200" s="52" t="str">
        <f t="shared" si="22"/>
        <v/>
      </c>
      <c r="Q200" s="53" t="str">
        <f t="shared" si="23"/>
        <v/>
      </c>
      <c r="R200" s="54">
        <f t="shared" si="24"/>
        <v>191</v>
      </c>
      <c r="S200" s="53">
        <f t="shared" si="25"/>
        <v>3.4203565090717351E-4</v>
      </c>
    </row>
    <row r="201" spans="1:19" x14ac:dyDescent="0.15">
      <c r="A201" s="50"/>
      <c r="B201" s="50"/>
      <c r="J201" s="38">
        <v>192</v>
      </c>
      <c r="K201" s="40"/>
      <c r="L201" s="34">
        <f t="shared" si="19"/>
        <v>3.4470298552462448E-4</v>
      </c>
      <c r="M201" s="35">
        <f t="shared" si="20"/>
        <v>2.6588827253223295E-6</v>
      </c>
      <c r="N201" s="44">
        <f t="shared" ref="N201:N264" si="26">(L251-L201)</f>
        <v>1.1458694969151165E-4</v>
      </c>
      <c r="O201" s="45" t="e">
        <f t="shared" si="21"/>
        <v>#VALUE!</v>
      </c>
      <c r="P201" s="52" t="str">
        <f t="shared" si="22"/>
        <v/>
      </c>
      <c r="Q201" s="53" t="str">
        <f t="shared" si="23"/>
        <v/>
      </c>
      <c r="R201" s="54">
        <f t="shared" si="24"/>
        <v>192</v>
      </c>
      <c r="S201" s="53">
        <f t="shared" si="25"/>
        <v>3.4470298552462448E-4</v>
      </c>
    </row>
    <row r="202" spans="1:19" x14ac:dyDescent="0.15">
      <c r="A202" s="50"/>
      <c r="B202" s="50"/>
      <c r="J202" s="38">
        <v>193</v>
      </c>
      <c r="K202" s="40"/>
      <c r="L202" s="34">
        <f t="shared" ref="L202:L265" si="27">$F$39*((1-$F$40*J202)/(1+$F$41*J202))*(J202-$F$42)</f>
        <v>3.4735346612251565E-4</v>
      </c>
      <c r="M202" s="35">
        <f t="shared" ref="M202:M265" si="28">$F$39*((1-2*$F$40*J202-$F$40*$F$41*(J202^2)+($F$41+$F$40)*$F$42)/(1+$F$41*J202)^2)</f>
        <v>2.6421032063017077E-6</v>
      </c>
      <c r="N202" s="44">
        <f t="shared" si="26"/>
        <v>1.1390273374977365E-4</v>
      </c>
      <c r="O202" s="45" t="e">
        <f t="shared" ref="O202:O265" si="29">IF(N202&lt;=$B$49,1+O201,0)</f>
        <v>#VALUE!</v>
      </c>
      <c r="P202" s="52" t="str">
        <f t="shared" ref="P202:P265" si="30">IF(J202&lt;=$F$42,J202,"")</f>
        <v/>
      </c>
      <c r="Q202" s="53" t="str">
        <f t="shared" ref="Q202:Q265" si="31">IF(J202&lt;=$F$42,L202,"")</f>
        <v/>
      </c>
      <c r="R202" s="54">
        <f t="shared" ref="R202:R265" si="32">IF(AND(J202&gt;=$F$42,J202&lt;=200),J202,"")</f>
        <v>193</v>
      </c>
      <c r="S202" s="53">
        <f t="shared" ref="S202:S265" si="33">IF(AND(J202&gt;=$F$42,J202&lt;=200),L202,"")</f>
        <v>3.4735346612251565E-4</v>
      </c>
    </row>
    <row r="203" spans="1:19" x14ac:dyDescent="0.15">
      <c r="A203" s="50"/>
      <c r="B203" s="50"/>
      <c r="J203" s="38">
        <v>194</v>
      </c>
      <c r="K203" s="40"/>
      <c r="L203" s="34">
        <f t="shared" si="27"/>
        <v>3.4998724111847714E-4</v>
      </c>
      <c r="M203" s="35">
        <f t="shared" si="28"/>
        <v>2.6254712318815254E-6</v>
      </c>
      <c r="N203" s="44">
        <f t="shared" si="26"/>
        <v>1.1322415860011268E-4</v>
      </c>
      <c r="O203" s="45" t="e">
        <f t="shared" si="29"/>
        <v>#VALUE!</v>
      </c>
      <c r="P203" s="52" t="str">
        <f t="shared" si="30"/>
        <v/>
      </c>
      <c r="Q203" s="53" t="str">
        <f t="shared" si="31"/>
        <v/>
      </c>
      <c r="R203" s="54">
        <f t="shared" si="32"/>
        <v>194</v>
      </c>
      <c r="S203" s="53">
        <f t="shared" si="33"/>
        <v>3.4998724111847714E-4</v>
      </c>
    </row>
    <row r="204" spans="1:19" x14ac:dyDescent="0.15">
      <c r="A204" s="50"/>
      <c r="B204" s="50"/>
      <c r="J204" s="38">
        <v>195</v>
      </c>
      <c r="K204" s="40"/>
      <c r="L204" s="34">
        <f t="shared" si="27"/>
        <v>3.5260445719260529E-4</v>
      </c>
      <c r="M204" s="35">
        <f t="shared" si="28"/>
        <v>2.6089850772786941E-6</v>
      </c>
      <c r="N204" s="44">
        <f t="shared" si="26"/>
        <v>1.1255116231253571E-4</v>
      </c>
      <c r="O204" s="45" t="e">
        <f t="shared" si="29"/>
        <v>#VALUE!</v>
      </c>
      <c r="P204" s="52" t="str">
        <f t="shared" si="30"/>
        <v/>
      </c>
      <c r="Q204" s="53" t="str">
        <f t="shared" si="31"/>
        <v/>
      </c>
      <c r="R204" s="54">
        <f t="shared" si="32"/>
        <v>195</v>
      </c>
      <c r="S204" s="53">
        <f t="shared" si="33"/>
        <v>3.5260445719260529E-4</v>
      </c>
    </row>
    <row r="205" spans="1:19" x14ac:dyDescent="0.15">
      <c r="A205" s="50"/>
      <c r="B205" s="50"/>
      <c r="J205" s="38">
        <v>196</v>
      </c>
      <c r="K205" s="40"/>
      <c r="L205" s="34">
        <f t="shared" si="27"/>
        <v>3.5520525931281497E-4</v>
      </c>
      <c r="M205" s="35">
        <f t="shared" si="28"/>
        <v>2.5926430428398586E-6</v>
      </c>
      <c r="N205" s="44">
        <f t="shared" si="26"/>
        <v>1.1188368380591869E-4</v>
      </c>
      <c r="O205" s="45" t="e">
        <f t="shared" si="29"/>
        <v>#VALUE!</v>
      </c>
      <c r="P205" s="52" t="str">
        <f t="shared" si="30"/>
        <v/>
      </c>
      <c r="Q205" s="53" t="str">
        <f t="shared" si="31"/>
        <v/>
      </c>
      <c r="R205" s="54">
        <f t="shared" si="32"/>
        <v>196</v>
      </c>
      <c r="S205" s="53">
        <f t="shared" si="33"/>
        <v>3.5520525931281497E-4</v>
      </c>
    </row>
    <row r="206" spans="1:19" x14ac:dyDescent="0.15">
      <c r="A206" s="50"/>
      <c r="B206" s="50"/>
      <c r="J206" s="38">
        <v>197</v>
      </c>
      <c r="K206" s="40"/>
      <c r="L206" s="34">
        <f t="shared" si="27"/>
        <v>3.5778979075974963E-4</v>
      </c>
      <c r="M206" s="35">
        <f t="shared" si="28"/>
        <v>2.5764434536033225E-6</v>
      </c>
      <c r="N206" s="44">
        <f t="shared" si="26"/>
        <v>1.1122166283406205E-4</v>
      </c>
      <c r="O206" s="45" t="e">
        <f t="shared" si="29"/>
        <v>#VALUE!</v>
      </c>
      <c r="P206" s="52" t="str">
        <f t="shared" si="30"/>
        <v/>
      </c>
      <c r="Q206" s="53" t="str">
        <f t="shared" si="31"/>
        <v/>
      </c>
      <c r="R206" s="54">
        <f t="shared" si="32"/>
        <v>197</v>
      </c>
      <c r="S206" s="53">
        <f t="shared" si="33"/>
        <v>3.5778979075974963E-4</v>
      </c>
    </row>
    <row r="207" spans="1:19" x14ac:dyDescent="0.15">
      <c r="A207" s="50"/>
      <c r="B207" s="50"/>
      <c r="J207" s="38">
        <v>198</v>
      </c>
      <c r="K207" s="40"/>
      <c r="L207" s="34">
        <f t="shared" si="27"/>
        <v>3.603581931512577E-4</v>
      </c>
      <c r="M207" s="35">
        <f t="shared" si="28"/>
        <v>2.5603846588698415E-6</v>
      </c>
      <c r="N207" s="44">
        <f t="shared" si="26"/>
        <v>1.1056503997201156E-4</v>
      </c>
      <c r="O207" s="45" t="e">
        <f t="shared" si="29"/>
        <v>#VALUE!</v>
      </c>
      <c r="P207" s="52" t="str">
        <f t="shared" si="30"/>
        <v/>
      </c>
      <c r="Q207" s="53" t="str">
        <f t="shared" si="31"/>
        <v/>
      </c>
      <c r="R207" s="54">
        <f t="shared" si="32"/>
        <v>198</v>
      </c>
      <c r="S207" s="53">
        <f t="shared" si="33"/>
        <v>3.603581931512577E-4</v>
      </c>
    </row>
    <row r="208" spans="1:19" x14ac:dyDescent="0.15">
      <c r="A208" s="50"/>
      <c r="B208" s="50"/>
      <c r="J208" s="38">
        <v>199</v>
      </c>
      <c r="K208" s="40"/>
      <c r="L208" s="34">
        <f t="shared" si="27"/>
        <v>3.629106064664441E-4</v>
      </c>
      <c r="M208" s="35">
        <f t="shared" si="28"/>
        <v>2.5444650317821035E-6</v>
      </c>
      <c r="N208" s="44">
        <f t="shared" si="26"/>
        <v>1.0991375660264181E-4</v>
      </c>
      <c r="O208" s="45" t="e">
        <f t="shared" si="29"/>
        <v>#VALUE!</v>
      </c>
      <c r="P208" s="52" t="str">
        <f t="shared" si="30"/>
        <v/>
      </c>
      <c r="Q208" s="53" t="str">
        <f t="shared" si="31"/>
        <v/>
      </c>
      <c r="R208" s="54">
        <f t="shared" si="32"/>
        <v>199</v>
      </c>
      <c r="S208" s="53">
        <f t="shared" si="33"/>
        <v>3.629106064664441E-4</v>
      </c>
    </row>
    <row r="209" spans="1:19" x14ac:dyDescent="0.15">
      <c r="A209" s="50"/>
      <c r="B209" s="50"/>
      <c r="J209" s="38">
        <v>200</v>
      </c>
      <c r="K209" s="75">
        <f>B23</f>
        <v>6.1560059999999999E-4</v>
      </c>
      <c r="L209" s="34">
        <f t="shared" si="27"/>
        <v>3.6544716906930551E-4</v>
      </c>
      <c r="M209" s="35">
        <f t="shared" si="28"/>
        <v>2.5286829689126827E-6</v>
      </c>
      <c r="N209" s="44">
        <f t="shared" si="26"/>
        <v>1.092677549034945E-4</v>
      </c>
      <c r="O209" s="45" t="e">
        <f t="shared" si="29"/>
        <v>#VALUE!</v>
      </c>
      <c r="P209" s="52" t="str">
        <f t="shared" si="30"/>
        <v/>
      </c>
      <c r="Q209" s="53" t="str">
        <f t="shared" si="31"/>
        <v/>
      </c>
      <c r="R209" s="54">
        <f t="shared" si="32"/>
        <v>200</v>
      </c>
      <c r="S209" s="53">
        <f t="shared" si="33"/>
        <v>3.6544716906930551E-4</v>
      </c>
    </row>
    <row r="210" spans="1:19" x14ac:dyDescent="0.15">
      <c r="A210" s="50"/>
      <c r="B210" s="50"/>
      <c r="J210" s="38">
        <v>201</v>
      </c>
      <c r="K210" s="40"/>
      <c r="L210" s="34">
        <f t="shared" si="27"/>
        <v>3.6796801773195716E-4</v>
      </c>
      <c r="M210" s="35">
        <f t="shared" si="28"/>
        <v>2.5130368898602812E-6</v>
      </c>
      <c r="N210" s="44">
        <f t="shared" si="26"/>
        <v>1.0862697783386673E-4</v>
      </c>
      <c r="O210" s="45" t="e">
        <f t="shared" si="29"/>
        <v>#VALUE!</v>
      </c>
      <c r="P210" s="52" t="str">
        <f t="shared" si="30"/>
        <v/>
      </c>
      <c r="Q210" s="53" t="str">
        <f t="shared" si="31"/>
        <v/>
      </c>
      <c r="R210" s="54" t="str">
        <f t="shared" si="32"/>
        <v/>
      </c>
      <c r="S210" s="53" t="str">
        <f t="shared" si="33"/>
        <v/>
      </c>
    </row>
    <row r="211" spans="1:19" x14ac:dyDescent="0.15">
      <c r="A211" s="50"/>
      <c r="B211" s="50"/>
      <c r="J211" s="38">
        <v>202</v>
      </c>
      <c r="K211" s="40"/>
      <c r="L211" s="34">
        <f t="shared" si="27"/>
        <v>3.7047328765746096E-4</v>
      </c>
      <c r="M211" s="35">
        <f t="shared" si="28"/>
        <v>2.4975252368540615E-6</v>
      </c>
      <c r="N211" s="44">
        <f t="shared" si="26"/>
        <v>1.0799136912214332E-4</v>
      </c>
      <c r="O211" s="45" t="e">
        <f t="shared" si="29"/>
        <v>#VALUE!</v>
      </c>
      <c r="P211" s="52" t="str">
        <f t="shared" si="30"/>
        <v/>
      </c>
      <c r="Q211" s="53" t="str">
        <f t="shared" si="31"/>
        <v/>
      </c>
      <c r="R211" s="54" t="str">
        <f t="shared" si="32"/>
        <v/>
      </c>
      <c r="S211" s="53" t="str">
        <f t="shared" si="33"/>
        <v/>
      </c>
    </row>
    <row r="212" spans="1:19" x14ac:dyDescent="0.15">
      <c r="A212" s="50"/>
      <c r="B212" s="50"/>
      <c r="J212" s="38">
        <v>203</v>
      </c>
      <c r="K212" s="40"/>
      <c r="L212" s="34">
        <f t="shared" si="27"/>
        <v>3.7296311250226171E-4</v>
      </c>
      <c r="M212" s="35">
        <f t="shared" si="28"/>
        <v>2.4821464743658976E-6</v>
      </c>
      <c r="N212" s="44">
        <f t="shared" si="26"/>
        <v>1.0736087325336841E-4</v>
      </c>
      <c r="O212" s="45" t="e">
        <f t="shared" si="29"/>
        <v>#VALUE!</v>
      </c>
      <c r="P212" s="52" t="str">
        <f t="shared" si="30"/>
        <v/>
      </c>
      <c r="Q212" s="53" t="str">
        <f t="shared" si="31"/>
        <v/>
      </c>
      <c r="R212" s="54" t="str">
        <f t="shared" si="32"/>
        <v/>
      </c>
      <c r="S212" s="53" t="str">
        <f t="shared" si="33"/>
        <v/>
      </c>
    </row>
    <row r="213" spans="1:19" x14ac:dyDescent="0.15">
      <c r="A213" s="50"/>
      <c r="B213" s="50"/>
      <c r="J213" s="38">
        <v>204</v>
      </c>
      <c r="K213" s="40"/>
      <c r="L213" s="34">
        <f t="shared" si="27"/>
        <v>3.754376243982382E-4</v>
      </c>
      <c r="M213" s="35">
        <f t="shared" si="28"/>
        <v>2.4668990887303373E-6</v>
      </c>
      <c r="N213" s="44">
        <f t="shared" si="26"/>
        <v>1.0673543545705214E-4</v>
      </c>
      <c r="O213" s="45" t="e">
        <f t="shared" si="29"/>
        <v>#VALUE!</v>
      </c>
      <c r="P213" s="52" t="str">
        <f t="shared" si="30"/>
        <v/>
      </c>
      <c r="Q213" s="53" t="str">
        <f t="shared" si="31"/>
        <v/>
      </c>
      <c r="R213" s="54" t="str">
        <f t="shared" si="32"/>
        <v/>
      </c>
      <c r="S213" s="53" t="str">
        <f t="shared" si="33"/>
        <v/>
      </c>
    </row>
    <row r="214" spans="1:19" x14ac:dyDescent="0.15">
      <c r="A214" s="50"/>
      <c r="B214" s="50"/>
      <c r="J214" s="38">
        <v>205</v>
      </c>
      <c r="K214" s="40"/>
      <c r="L214" s="34">
        <f t="shared" si="27"/>
        <v>3.7789695397438014E-4</v>
      </c>
      <c r="M214" s="35">
        <f t="shared" si="28"/>
        <v>2.4517815877721415E-6</v>
      </c>
      <c r="N214" s="44">
        <f t="shared" si="26"/>
        <v>1.0611500169520419E-4</v>
      </c>
      <c r="O214" s="45" t="e">
        <f t="shared" si="29"/>
        <v>#VALUE!</v>
      </c>
      <c r="P214" s="52" t="str">
        <f t="shared" si="30"/>
        <v/>
      </c>
      <c r="Q214" s="53" t="str">
        <f t="shared" si="31"/>
        <v/>
      </c>
      <c r="R214" s="54" t="str">
        <f t="shared" si="32"/>
        <v/>
      </c>
      <c r="S214" s="53" t="str">
        <f t="shared" si="33"/>
        <v/>
      </c>
    </row>
    <row r="215" spans="1:19" x14ac:dyDescent="0.15">
      <c r="A215" s="50"/>
      <c r="B215" s="50"/>
      <c r="J215" s="38">
        <v>206</v>
      </c>
      <c r="K215" s="40"/>
      <c r="L215" s="34">
        <f t="shared" si="27"/>
        <v>3.8034123037809417E-4</v>
      </c>
      <c r="M215" s="35">
        <f t="shared" si="28"/>
        <v>2.4367925004411814E-6</v>
      </c>
      <c r="N215" s="44">
        <f t="shared" si="26"/>
        <v>1.0549951865059404E-4</v>
      </c>
      <c r="O215" s="45" t="e">
        <f t="shared" si="29"/>
        <v>#VALUE!</v>
      </c>
      <c r="P215" s="52" t="str">
        <f t="shared" si="30"/>
        <v/>
      </c>
      <c r="Q215" s="53" t="str">
        <f t="shared" si="31"/>
        <v/>
      </c>
      <c r="R215" s="54" t="str">
        <f t="shared" si="32"/>
        <v/>
      </c>
      <c r="S215" s="53" t="str">
        <f t="shared" si="33"/>
        <v/>
      </c>
    </row>
    <row r="216" spans="1:19" x14ac:dyDescent="0.15">
      <c r="A216" s="50"/>
      <c r="B216" s="50"/>
      <c r="J216" s="38">
        <v>207</v>
      </c>
      <c r="K216" s="40"/>
      <c r="L216" s="34">
        <f t="shared" si="27"/>
        <v>3.8277058129615037E-4</v>
      </c>
      <c r="M216" s="35">
        <f t="shared" si="28"/>
        <v>2.4219303764545731E-6</v>
      </c>
      <c r="N216" s="44">
        <f t="shared" si="26"/>
        <v>1.0488893371522783E-4</v>
      </c>
      <c r="O216" s="45" t="e">
        <f t="shared" si="29"/>
        <v>#VALUE!</v>
      </c>
      <c r="P216" s="52" t="str">
        <f t="shared" si="30"/>
        <v/>
      </c>
      <c r="Q216" s="53" t="str">
        <f t="shared" si="31"/>
        <v/>
      </c>
      <c r="R216" s="54" t="str">
        <f t="shared" si="32"/>
        <v/>
      </c>
      <c r="S216" s="53" t="str">
        <f t="shared" si="33"/>
        <v/>
      </c>
    </row>
    <row r="217" spans="1:19" x14ac:dyDescent="0.15">
      <c r="A217" s="50"/>
      <c r="B217" s="50"/>
      <c r="J217" s="38">
        <v>208</v>
      </c>
      <c r="K217" s="40"/>
      <c r="L217" s="34">
        <f t="shared" si="27"/>
        <v>3.8518513297527285E-4</v>
      </c>
      <c r="M217" s="35">
        <f t="shared" si="28"/>
        <v>2.407193785945848E-6</v>
      </c>
      <c r="N217" s="44">
        <f t="shared" si="26"/>
        <v>1.0428319497904185E-4</v>
      </c>
      <c r="O217" s="45" t="e">
        <f t="shared" si="29"/>
        <v>#VALUE!</v>
      </c>
      <c r="P217" s="52" t="str">
        <f t="shared" si="30"/>
        <v/>
      </c>
      <c r="Q217" s="53" t="str">
        <f t="shared" si="31"/>
        <v/>
      </c>
      <c r="R217" s="54" t="str">
        <f t="shared" si="32"/>
        <v/>
      </c>
      <c r="S217" s="53" t="str">
        <f t="shared" si="33"/>
        <v/>
      </c>
    </row>
    <row r="218" spans="1:19" x14ac:dyDescent="0.15">
      <c r="A218" s="50"/>
      <c r="B218" s="50"/>
      <c r="J218" s="38">
        <v>209</v>
      </c>
      <c r="K218" s="40"/>
      <c r="L218" s="34">
        <f t="shared" si="27"/>
        <v>3.8758501024238411E-4</v>
      </c>
      <c r="M218" s="35">
        <f t="shared" si="28"/>
        <v>2.3925813191210345E-6</v>
      </c>
      <c r="N218" s="44">
        <f t="shared" si="26"/>
        <v>1.0368225121880494E-4</v>
      </c>
      <c r="O218" s="45" t="e">
        <f t="shared" si="29"/>
        <v>#VALUE!</v>
      </c>
      <c r="P218" s="52" t="str">
        <f t="shared" si="30"/>
        <v/>
      </c>
      <c r="Q218" s="53" t="str">
        <f t="shared" si="31"/>
        <v/>
      </c>
      <c r="R218" s="54" t="str">
        <f t="shared" si="32"/>
        <v/>
      </c>
      <c r="S218" s="53" t="str">
        <f t="shared" si="33"/>
        <v/>
      </c>
    </row>
    <row r="219" spans="1:19" x14ac:dyDescent="0.15">
      <c r="A219" s="50"/>
      <c r="B219" s="50"/>
      <c r="J219" s="38">
        <v>210</v>
      </c>
      <c r="K219" s="40"/>
      <c r="L219" s="34">
        <f t="shared" si="27"/>
        <v>3.8997033652450781E-4</v>
      </c>
      <c r="M219" s="35">
        <f t="shared" si="28"/>
        <v>2.3780915859214622E-6</v>
      </c>
      <c r="N219" s="44">
        <f t="shared" si="26"/>
        <v>1.0308605188722787E-4</v>
      </c>
      <c r="O219" s="45" t="e">
        <f t="shared" si="29"/>
        <v>#VALUE!</v>
      </c>
      <c r="P219" s="52" t="str">
        <f t="shared" si="30"/>
        <v/>
      </c>
      <c r="Q219" s="53" t="str">
        <f t="shared" si="31"/>
        <v/>
      </c>
      <c r="R219" s="54" t="str">
        <f t="shared" si="32"/>
        <v/>
      </c>
      <c r="S219" s="53" t="str">
        <f t="shared" si="33"/>
        <v/>
      </c>
    </row>
    <row r="220" spans="1:19" x14ac:dyDescent="0.15">
      <c r="A220" s="50"/>
      <c r="B220" s="50"/>
      <c r="J220" s="38">
        <v>211</v>
      </c>
      <c r="K220" s="40"/>
      <c r="L220" s="34">
        <f t="shared" si="27"/>
        <v>3.9234123386833886E-4</v>
      </c>
      <c r="M220" s="35">
        <f t="shared" si="28"/>
        <v>2.3637232156931685E-6</v>
      </c>
      <c r="N220" s="44">
        <f t="shared" si="26"/>
        <v>1.0249454710227148E-4</v>
      </c>
      <c r="O220" s="45" t="e">
        <f t="shared" si="29"/>
        <v>#VALUE!</v>
      </c>
      <c r="P220" s="52" t="str">
        <f t="shared" si="30"/>
        <v/>
      </c>
      <c r="Q220" s="53" t="str">
        <f t="shared" si="31"/>
        <v/>
      </c>
      <c r="R220" s="54" t="str">
        <f t="shared" si="32"/>
        <v/>
      </c>
      <c r="S220" s="53" t="str">
        <f t="shared" si="33"/>
        <v/>
      </c>
    </row>
    <row r="221" spans="1:19" x14ac:dyDescent="0.15">
      <c r="A221" s="50"/>
      <c r="B221" s="50"/>
      <c r="J221" s="38">
        <v>212</v>
      </c>
      <c r="K221" s="40"/>
      <c r="L221" s="34">
        <f t="shared" si="27"/>
        <v>3.9469782295948496E-4</v>
      </c>
      <c r="M221" s="35">
        <f t="shared" si="28"/>
        <v>2.3494748568627492E-6</v>
      </c>
      <c r="N221" s="44">
        <f t="shared" si="26"/>
        <v>1.0190768763665452E-4</v>
      </c>
      <c r="O221" s="45" t="e">
        <f t="shared" si="29"/>
        <v>#VALUE!</v>
      </c>
      <c r="P221" s="52" t="str">
        <f t="shared" si="30"/>
        <v/>
      </c>
      <c r="Q221" s="53" t="str">
        <f t="shared" si="31"/>
        <v/>
      </c>
      <c r="R221" s="54" t="str">
        <f t="shared" si="32"/>
        <v/>
      </c>
      <c r="S221" s="53" t="str">
        <f t="shared" si="33"/>
        <v/>
      </c>
    </row>
    <row r="222" spans="1:19" x14ac:dyDescent="0.15">
      <c r="A222" s="50"/>
      <c r="B222" s="50"/>
      <c r="J222" s="38">
        <v>213</v>
      </c>
      <c r="K222" s="40"/>
      <c r="L222" s="34">
        <f t="shared" si="27"/>
        <v>3.9704022314138832E-4</v>
      </c>
      <c r="M222" s="35">
        <f t="shared" si="28"/>
        <v>2.3353451766194978E-6</v>
      </c>
      <c r="N222" s="44">
        <f t="shared" si="26"/>
        <v>1.0132542490755232E-4</v>
      </c>
      <c r="O222" s="45" t="e">
        <f t="shared" si="29"/>
        <v>#VALUE!</v>
      </c>
      <c r="P222" s="52" t="str">
        <f t="shared" si="30"/>
        <v/>
      </c>
      <c r="Q222" s="53" t="str">
        <f t="shared" si="31"/>
        <v/>
      </c>
      <c r="R222" s="54" t="str">
        <f t="shared" si="32"/>
        <v/>
      </c>
      <c r="S222" s="53" t="str">
        <f t="shared" si="33"/>
        <v/>
      </c>
    </row>
    <row r="223" spans="1:19" x14ac:dyDescent="0.15">
      <c r="A223" s="50"/>
      <c r="B223" s="50"/>
      <c r="J223" s="38">
        <v>214</v>
      </c>
      <c r="K223" s="40"/>
      <c r="L223" s="34">
        <f t="shared" si="27"/>
        <v>3.9936855243393154E-4</v>
      </c>
      <c r="M223" s="35">
        <f t="shared" si="28"/>
        <v>2.3213328606037158E-6</v>
      </c>
      <c r="N223" s="44">
        <f t="shared" si="26"/>
        <v>1.0074771096648603E-4</v>
      </c>
      <c r="O223" s="45" t="e">
        <f t="shared" si="29"/>
        <v>#VALUE!</v>
      </c>
      <c r="P223" s="52" t="str">
        <f t="shared" si="30"/>
        <v/>
      </c>
      <c r="Q223" s="53" t="str">
        <f t="shared" si="31"/>
        <v/>
      </c>
      <c r="R223" s="54" t="str">
        <f t="shared" si="32"/>
        <v/>
      </c>
      <c r="S223" s="53" t="str">
        <f t="shared" si="33"/>
        <v/>
      </c>
    </row>
    <row r="224" spans="1:19" x14ac:dyDescent="0.15">
      <c r="A224" s="50"/>
      <c r="B224" s="50"/>
      <c r="J224" s="38">
        <v>215</v>
      </c>
      <c r="K224" s="40"/>
      <c r="L224" s="34">
        <f t="shared" si="27"/>
        <v>4.0168292755173528E-4</v>
      </c>
      <c r="M224" s="35">
        <f t="shared" si="28"/>
        <v>2.3074366126010418E-6</v>
      </c>
      <c r="N224" s="44">
        <f t="shared" si="26"/>
        <v>1.0017449848939534E-4</v>
      </c>
      <c r="O224" s="45" t="e">
        <f t="shared" si="29"/>
        <v>#VALUE!</v>
      </c>
      <c r="P224" s="52" t="str">
        <f t="shared" si="30"/>
        <v/>
      </c>
      <c r="Q224" s="53" t="str">
        <f t="shared" si="31"/>
        <v/>
      </c>
      <c r="R224" s="54" t="str">
        <f t="shared" si="32"/>
        <v/>
      </c>
      <c r="S224" s="53" t="str">
        <f t="shared" si="33"/>
        <v/>
      </c>
    </row>
    <row r="225" spans="1:19" x14ac:dyDescent="0.15">
      <c r="A225" s="50"/>
      <c r="B225" s="50"/>
      <c r="J225" s="38">
        <v>216</v>
      </c>
      <c r="K225" s="40"/>
      <c r="L225" s="34">
        <f t="shared" si="27"/>
        <v>4.0398346392215331E-4</v>
      </c>
      <c r="M225" s="35">
        <f t="shared" si="28"/>
        <v>2.293655154242674E-6</v>
      </c>
      <c r="N225" s="44">
        <f t="shared" si="26"/>
        <v>9.9605740766892385E-5</v>
      </c>
      <c r="O225" s="45" t="e">
        <f t="shared" si="29"/>
        <v>#VALUE!</v>
      </c>
      <c r="P225" s="52" t="str">
        <f t="shared" si="30"/>
        <v/>
      </c>
      <c r="Q225" s="53" t="str">
        <f t="shared" si="31"/>
        <v/>
      </c>
      <c r="R225" s="54" t="str">
        <f t="shared" si="32"/>
        <v/>
      </c>
      <c r="S225" s="53" t="str">
        <f t="shared" si="33"/>
        <v/>
      </c>
    </row>
    <row r="226" spans="1:19" x14ac:dyDescent="0.15">
      <c r="A226" s="50"/>
      <c r="B226" s="50"/>
      <c r="J226" s="38">
        <v>217</v>
      </c>
      <c r="K226" s="40"/>
      <c r="L226" s="34">
        <f t="shared" si="27"/>
        <v>4.0627027570297117E-4</v>
      </c>
      <c r="M226" s="35">
        <f t="shared" si="28"/>
        <v>2.2799872247113552E-6</v>
      </c>
      <c r="N226" s="44">
        <f t="shared" si="26"/>
        <v>9.9041391694693352E-5</v>
      </c>
      <c r="O226" s="45" t="e">
        <f t="shared" si="29"/>
        <v>#VALUE!</v>
      </c>
      <c r="P226" s="52" t="str">
        <f t="shared" si="30"/>
        <v/>
      </c>
      <c r="Q226" s="53" t="str">
        <f t="shared" si="31"/>
        <v/>
      </c>
      <c r="R226" s="54" t="str">
        <f t="shared" si="32"/>
        <v/>
      </c>
      <c r="S226" s="53" t="str">
        <f t="shared" si="33"/>
        <v/>
      </c>
    </row>
    <row r="227" spans="1:19" x14ac:dyDescent="0.15">
      <c r="A227" s="50"/>
      <c r="B227" s="50"/>
      <c r="J227" s="38">
        <v>218</v>
      </c>
      <c r="K227" s="40"/>
      <c r="L227" s="34">
        <f t="shared" si="27"/>
        <v>4.0854347579981169E-4</v>
      </c>
      <c r="M227" s="35">
        <f t="shared" si="28"/>
        <v>2.2664315804529926E-6</v>
      </c>
      <c r="N227" s="44">
        <f t="shared" si="26"/>
        <v>9.8481405764224068E-5</v>
      </c>
      <c r="O227" s="45" t="e">
        <f t="shared" si="29"/>
        <v>#VALUE!</v>
      </c>
      <c r="P227" s="52" t="str">
        <f t="shared" si="30"/>
        <v/>
      </c>
      <c r="Q227" s="53" t="str">
        <f t="shared" si="31"/>
        <v/>
      </c>
      <c r="R227" s="54" t="str">
        <f t="shared" si="32"/>
        <v/>
      </c>
      <c r="S227" s="53" t="str">
        <f t="shared" si="33"/>
        <v/>
      </c>
    </row>
    <row r="228" spans="1:19" x14ac:dyDescent="0.15">
      <c r="A228" s="50"/>
      <c r="B228" s="50"/>
      <c r="J228" s="38">
        <v>219</v>
      </c>
      <c r="K228" s="40"/>
      <c r="L228" s="34">
        <f t="shared" si="27"/>
        <v>4.1080317588325794E-4</v>
      </c>
      <c r="M228" s="35">
        <f t="shared" si="28"/>
        <v>2.2529869948937912E-6</v>
      </c>
      <c r="N228" s="44">
        <f t="shared" si="26"/>
        <v>9.7925738053394071E-5</v>
      </c>
      <c r="O228" s="45" t="e">
        <f t="shared" si="29"/>
        <v>#VALUE!</v>
      </c>
      <c r="P228" s="52" t="str">
        <f t="shared" si="30"/>
        <v/>
      </c>
      <c r="Q228" s="53" t="str">
        <f t="shared" si="31"/>
        <v/>
      </c>
      <c r="R228" s="54" t="str">
        <f t="shared" si="32"/>
        <v/>
      </c>
      <c r="S228" s="53" t="str">
        <f t="shared" si="33"/>
        <v/>
      </c>
    </row>
    <row r="229" spans="1:19" x14ac:dyDescent="0.15">
      <c r="A229" s="50"/>
      <c r="B229" s="50"/>
      <c r="J229" s="38">
        <v>220</v>
      </c>
      <c r="K229" s="40"/>
      <c r="L229" s="34">
        <f t="shared" si="27"/>
        <v>4.1304948640569287E-4</v>
      </c>
      <c r="M229" s="35">
        <f t="shared" si="28"/>
        <v>2.2396522581627821E-6</v>
      </c>
      <c r="N229" s="44">
        <f t="shared" si="26"/>
        <v>9.7374344217538865E-5</v>
      </c>
      <c r="O229" s="45" t="e">
        <f t="shared" si="29"/>
        <v>#VALUE!</v>
      </c>
      <c r="P229" s="52" t="str">
        <f t="shared" si="30"/>
        <v/>
      </c>
      <c r="Q229" s="53" t="str">
        <f t="shared" si="31"/>
        <v/>
      </c>
      <c r="R229" s="54" t="str">
        <f t="shared" si="32"/>
        <v/>
      </c>
      <c r="S229" s="53" t="str">
        <f t="shared" si="33"/>
        <v/>
      </c>
    </row>
    <row r="230" spans="1:19" x14ac:dyDescent="0.15">
      <c r="A230" s="50"/>
      <c r="B230" s="50"/>
      <c r="J230" s="38">
        <v>221</v>
      </c>
      <c r="K230" s="40"/>
      <c r="L230" s="34">
        <f t="shared" si="27"/>
        <v>4.1528251661786649E-4</v>
      </c>
      <c r="M230" s="35">
        <f t="shared" si="28"/>
        <v>2.2264261768196158E-6</v>
      </c>
      <c r="N230" s="44">
        <f t="shared" si="26"/>
        <v>9.6827180480523552E-5</v>
      </c>
      <c r="O230" s="45" t="e">
        <f t="shared" si="29"/>
        <v>#VALUE!</v>
      </c>
      <c r="P230" s="52" t="str">
        <f t="shared" si="30"/>
        <v/>
      </c>
      <c r="Q230" s="53" t="str">
        <f t="shared" si="31"/>
        <v/>
      </c>
      <c r="R230" s="54" t="str">
        <f t="shared" si="32"/>
        <v/>
      </c>
      <c r="S230" s="53" t="str">
        <f t="shared" si="33"/>
        <v/>
      </c>
    </row>
    <row r="231" spans="1:19" x14ac:dyDescent="0.15">
      <c r="A231" s="50"/>
      <c r="B231" s="50"/>
      <c r="J231" s="38">
        <v>222</v>
      </c>
      <c r="K231" s="40"/>
      <c r="L231" s="34">
        <f t="shared" si="27"/>
        <v>4.1750237458519239E-4</v>
      </c>
      <c r="M231" s="35">
        <f t="shared" si="28"/>
        <v>2.2133075735875367E-6</v>
      </c>
      <c r="N231" s="44">
        <f t="shared" si="26"/>
        <v>9.6284203626007469E-5</v>
      </c>
      <c r="O231" s="45" t="e">
        <f t="shared" si="29"/>
        <v>#VALUE!</v>
      </c>
      <c r="P231" s="52" t="str">
        <f t="shared" si="30"/>
        <v/>
      </c>
      <c r="Q231" s="53" t="str">
        <f t="shared" si="31"/>
        <v/>
      </c>
      <c r="R231" s="54" t="str">
        <f t="shared" si="32"/>
        <v/>
      </c>
      <c r="S231" s="53" t="str">
        <f t="shared" si="33"/>
        <v/>
      </c>
    </row>
    <row r="232" spans="1:19" x14ac:dyDescent="0.15">
      <c r="A232" s="50"/>
      <c r="B232" s="50"/>
      <c r="J232" s="38">
        <v>223</v>
      </c>
      <c r="K232" s="40"/>
      <c r="L232" s="34">
        <f t="shared" si="27"/>
        <v>4.1970916720377973E-4</v>
      </c>
      <c r="M232" s="35">
        <f t="shared" si="28"/>
        <v>2.2002952870913854E-6</v>
      </c>
      <c r="N232" s="44">
        <f t="shared" si="26"/>
        <v>9.5745370988864844E-5</v>
      </c>
      <c r="O232" s="45" t="e">
        <f t="shared" si="29"/>
        <v>#VALUE!</v>
      </c>
      <c r="P232" s="52" t="str">
        <f t="shared" si="30"/>
        <v/>
      </c>
      <c r="Q232" s="53" t="str">
        <f t="shared" si="31"/>
        <v/>
      </c>
      <c r="R232" s="54" t="str">
        <f t="shared" si="32"/>
        <v/>
      </c>
      <c r="S232" s="53" t="str">
        <f t="shared" si="33"/>
        <v/>
      </c>
    </row>
    <row r="233" spans="1:19" x14ac:dyDescent="0.15">
      <c r="A233" s="50"/>
      <c r="B233" s="50"/>
      <c r="J233" s="38">
        <v>224</v>
      </c>
      <c r="K233" s="40"/>
      <c r="L233" s="34">
        <f t="shared" si="27"/>
        <v>4.2190300021620591E-4</v>
      </c>
      <c r="M233" s="35">
        <f t="shared" si="28"/>
        <v>2.1873881716005578E-6</v>
      </c>
      <c r="N233" s="44">
        <f t="shared" si="26"/>
        <v>9.5210640446758104E-5</v>
      </c>
      <c r="O233" s="45" t="e">
        <f t="shared" si="29"/>
        <v>#VALUE!</v>
      </c>
      <c r="P233" s="52" t="str">
        <f t="shared" si="30"/>
        <v/>
      </c>
      <c r="Q233" s="53" t="str">
        <f t="shared" si="31"/>
        <v/>
      </c>
      <c r="R233" s="54" t="str">
        <f t="shared" si="32"/>
        <v/>
      </c>
      <c r="S233" s="53" t="str">
        <f t="shared" si="33"/>
        <v/>
      </c>
    </row>
    <row r="234" spans="1:19" x14ac:dyDescent="0.15">
      <c r="A234" s="50"/>
      <c r="B234" s="50"/>
      <c r="J234" s="38">
        <v>225</v>
      </c>
      <c r="K234" s="40"/>
      <c r="L234" s="34">
        <f t="shared" si="27"/>
        <v>4.2408397822703498E-4</v>
      </c>
      <c r="M234" s="35">
        <f t="shared" si="28"/>
        <v>2.1745850967767877E-6</v>
      </c>
      <c r="N234" s="44">
        <f t="shared" si="26"/>
        <v>9.4679970411861943E-5</v>
      </c>
      <c r="O234" s="45" t="e">
        <f t="shared" si="29"/>
        <v>#VALUE!</v>
      </c>
      <c r="P234" s="52" t="str">
        <f t="shared" si="30"/>
        <v/>
      </c>
      <c r="Q234" s="53" t="str">
        <f t="shared" si="31"/>
        <v/>
      </c>
      <c r="R234" s="54" t="str">
        <f t="shared" si="32"/>
        <v/>
      </c>
      <c r="S234" s="53" t="str">
        <f t="shared" si="33"/>
        <v/>
      </c>
    </row>
    <row r="235" spans="1:19" x14ac:dyDescent="0.15">
      <c r="A235" s="50"/>
      <c r="B235" s="50"/>
      <c r="J235" s="38">
        <v>226</v>
      </c>
      <c r="K235" s="40"/>
      <c r="L235" s="34">
        <f t="shared" si="27"/>
        <v>4.2625220471808516E-4</v>
      </c>
      <c r="M235" s="35">
        <f t="shared" si="28"/>
        <v>2.1618849474266688E-6</v>
      </c>
      <c r="N235" s="44">
        <f t="shared" si="26"/>
        <v>9.41533198227343E-5</v>
      </c>
      <c r="O235" s="45" t="e">
        <f t="shared" si="29"/>
        <v>#VALUE!</v>
      </c>
      <c r="P235" s="52" t="str">
        <f t="shared" si="30"/>
        <v/>
      </c>
      <c r="Q235" s="53" t="str">
        <f t="shared" si="31"/>
        <v/>
      </c>
      <c r="R235" s="54" t="str">
        <f t="shared" si="32"/>
        <v/>
      </c>
      <c r="S235" s="53" t="str">
        <f t="shared" si="33"/>
        <v/>
      </c>
    </row>
    <row r="236" spans="1:19" x14ac:dyDescent="0.15">
      <c r="A236" s="50"/>
      <c r="B236" s="50"/>
      <c r="J236" s="38">
        <v>227</v>
      </c>
      <c r="K236" s="40"/>
      <c r="L236" s="34">
        <f t="shared" si="27"/>
        <v>4.2840778206345274E-4</v>
      </c>
      <c r="M236" s="35">
        <f t="shared" si="28"/>
        <v>2.149286623258806E-6</v>
      </c>
      <c r="N236" s="44">
        <f t="shared" si="26"/>
        <v>9.36306481363311E-5</v>
      </c>
      <c r="O236" s="45" t="e">
        <f t="shared" si="29"/>
        <v>#VALUE!</v>
      </c>
      <c r="P236" s="52" t="str">
        <f t="shared" si="30"/>
        <v/>
      </c>
      <c r="Q236" s="53" t="str">
        <f t="shared" si="31"/>
        <v/>
      </c>
      <c r="R236" s="54" t="str">
        <f t="shared" si="32"/>
        <v/>
      </c>
      <c r="S236" s="53" t="str">
        <f t="shared" si="33"/>
        <v/>
      </c>
    </row>
    <row r="237" spans="1:19" x14ac:dyDescent="0.15">
      <c r="A237" s="50"/>
      <c r="B237" s="50"/>
      <c r="J237" s="38">
        <v>228</v>
      </c>
      <c r="K237" s="40"/>
      <c r="L237" s="34">
        <f t="shared" si="27"/>
        <v>4.3055081154429398E-4</v>
      </c>
      <c r="M237" s="35">
        <f t="shared" si="28"/>
        <v>2.1367890386454881E-6</v>
      </c>
      <c r="N237" s="44">
        <f t="shared" si="26"/>
        <v>9.3111915320162055E-5</v>
      </c>
      <c r="O237" s="45" t="e">
        <f t="shared" si="29"/>
        <v>#VALUE!</v>
      </c>
      <c r="P237" s="52" t="str">
        <f t="shared" si="30"/>
        <v/>
      </c>
      <c r="Q237" s="53" t="str">
        <f t="shared" si="31"/>
        <v/>
      </c>
      <c r="R237" s="54" t="str">
        <f t="shared" si="32"/>
        <v/>
      </c>
      <c r="S237" s="53" t="str">
        <f t="shared" si="33"/>
        <v/>
      </c>
    </row>
    <row r="238" spans="1:19" x14ac:dyDescent="0.15">
      <c r="A238" s="50"/>
      <c r="B238" s="50"/>
      <c r="J238" s="38">
        <v>229</v>
      </c>
      <c r="K238" s="40"/>
      <c r="L238" s="34">
        <f t="shared" si="27"/>
        <v>4.3268139336337153E-4</v>
      </c>
      <c r="M238" s="35">
        <f t="shared" si="28"/>
        <v>2.1243911223888073E-6</v>
      </c>
      <c r="N238" s="44">
        <f t="shared" si="26"/>
        <v>9.2597081844586211E-5</v>
      </c>
      <c r="O238" s="45" t="e">
        <f t="shared" si="29"/>
        <v>#VALUE!</v>
      </c>
      <c r="P238" s="52" t="str">
        <f t="shared" si="30"/>
        <v/>
      </c>
      <c r="Q238" s="53" t="str">
        <f t="shared" si="31"/>
        <v/>
      </c>
      <c r="R238" s="54" t="str">
        <f t="shared" si="32"/>
        <v/>
      </c>
      <c r="S238" s="53" t="str">
        <f t="shared" si="33"/>
        <v/>
      </c>
    </row>
    <row r="239" spans="1:19" x14ac:dyDescent="0.15">
      <c r="A239" s="50"/>
      <c r="B239" s="50"/>
      <c r="J239" s="38">
        <v>230</v>
      </c>
      <c r="K239" s="40"/>
      <c r="L239" s="34">
        <f t="shared" si="27"/>
        <v>4.3479962665936929E-4</v>
      </c>
      <c r="M239" s="35">
        <f t="shared" si="28"/>
        <v>2.1120918174911109E-6</v>
      </c>
      <c r="N239" s="44">
        <f t="shared" si="26"/>
        <v>9.208610867524026E-5</v>
      </c>
      <c r="O239" s="45" t="e">
        <f t="shared" si="29"/>
        <v>#VALUE!</v>
      </c>
      <c r="P239" s="52" t="str">
        <f t="shared" si="30"/>
        <v/>
      </c>
      <c r="Q239" s="53" t="str">
        <f t="shared" si="31"/>
        <v/>
      </c>
      <c r="R239" s="54" t="str">
        <f t="shared" si="32"/>
        <v/>
      </c>
      <c r="S239" s="53" t="str">
        <f t="shared" si="33"/>
        <v/>
      </c>
    </row>
    <row r="240" spans="1:19" x14ac:dyDescent="0.15">
      <c r="A240" s="50"/>
      <c r="B240" s="50"/>
      <c r="J240" s="38">
        <v>231</v>
      </c>
      <c r="K240" s="40"/>
      <c r="L240" s="34">
        <f t="shared" si="27"/>
        <v>4.3690560952097961E-4</v>
      </c>
      <c r="M240" s="35">
        <f t="shared" si="28"/>
        <v>2.0998900809297072E-6</v>
      </c>
      <c r="N240" s="44">
        <f t="shared" si="26"/>
        <v>9.1578957265602218E-5</v>
      </c>
      <c r="O240" s="45" t="e">
        <f t="shared" si="29"/>
        <v>#VALUE!</v>
      </c>
      <c r="P240" s="52" t="str">
        <f t="shared" si="30"/>
        <v/>
      </c>
      <c r="Q240" s="53" t="str">
        <f t="shared" si="31"/>
        <v/>
      </c>
      <c r="R240" s="54" t="str">
        <f t="shared" si="32"/>
        <v/>
      </c>
      <c r="S240" s="53" t="str">
        <f t="shared" si="33"/>
        <v/>
      </c>
    </row>
    <row r="241" spans="1:19" x14ac:dyDescent="0.15">
      <c r="A241" s="50"/>
      <c r="B241" s="50"/>
      <c r="J241" s="38">
        <v>232</v>
      </c>
      <c r="K241" s="40"/>
      <c r="L241" s="34">
        <f t="shared" si="27"/>
        <v>4.3899943900076746E-4</v>
      </c>
      <c r="M241" s="35">
        <f t="shared" si="28"/>
        <v>2.0877848834357312E-6</v>
      </c>
      <c r="N241" s="44">
        <f t="shared" si="26"/>
        <v>9.1075589549683572E-5</v>
      </c>
      <c r="O241" s="45" t="e">
        <f t="shared" si="29"/>
        <v>#VALUE!</v>
      </c>
      <c r="P241" s="52" t="str">
        <f t="shared" si="30"/>
        <v/>
      </c>
      <c r="Q241" s="53" t="str">
        <f t="shared" si="31"/>
        <v/>
      </c>
      <c r="R241" s="54" t="str">
        <f t="shared" si="32"/>
        <v/>
      </c>
      <c r="S241" s="53" t="str">
        <f t="shared" si="33"/>
        <v/>
      </c>
    </row>
    <row r="242" spans="1:19" x14ac:dyDescent="0.15">
      <c r="A242" s="50"/>
      <c r="B242" s="50"/>
      <c r="J242" s="38">
        <v>233</v>
      </c>
      <c r="K242" s="40"/>
      <c r="L242" s="34">
        <f t="shared" si="27"/>
        <v>4.4108121112881486E-4</v>
      </c>
      <c r="M242" s="35">
        <f t="shared" si="28"/>
        <v>2.0757752092770724E-6</v>
      </c>
      <c r="N242" s="44">
        <f t="shared" si="26"/>
        <v>9.0575967934850563E-5</v>
      </c>
      <c r="O242" s="45" t="e">
        <f t="shared" si="29"/>
        <v>#VALUE!</v>
      </c>
      <c r="P242" s="52" t="str">
        <f t="shared" si="30"/>
        <v/>
      </c>
      <c r="Q242" s="53" t="str">
        <f t="shared" si="31"/>
        <v/>
      </c>
      <c r="R242" s="54" t="str">
        <f t="shared" si="32"/>
        <v/>
      </c>
      <c r="S242" s="53" t="str">
        <f t="shared" si="33"/>
        <v/>
      </c>
    </row>
    <row r="243" spans="1:19" x14ac:dyDescent="0.15">
      <c r="A243" s="50"/>
      <c r="B243" s="50"/>
      <c r="J243" s="38">
        <v>234</v>
      </c>
      <c r="K243" s="40"/>
      <c r="L243" s="34">
        <f t="shared" si="27"/>
        <v>4.4315102092615152E-4</v>
      </c>
      <c r="M243" s="35">
        <f t="shared" si="28"/>
        <v>2.0638600560453012E-6</v>
      </c>
      <c r="N243" s="44">
        <f t="shared" si="26"/>
        <v>9.0080055294768687E-5</v>
      </c>
      <c r="O243" s="45" t="e">
        <f t="shared" si="29"/>
        <v>#VALUE!</v>
      </c>
      <c r="P243" s="52" t="str">
        <f t="shared" si="30"/>
        <v/>
      </c>
      <c r="Q243" s="53" t="str">
        <f t="shared" si="31"/>
        <v/>
      </c>
      <c r="R243" s="54" t="str">
        <f t="shared" si="32"/>
        <v/>
      </c>
      <c r="S243" s="53" t="str">
        <f t="shared" si="33"/>
        <v/>
      </c>
    </row>
    <row r="244" spans="1:19" x14ac:dyDescent="0.15">
      <c r="A244" s="50"/>
      <c r="B244" s="50"/>
      <c r="J244" s="38">
        <v>235</v>
      </c>
      <c r="K244" s="40"/>
      <c r="L244" s="34">
        <f t="shared" si="27"/>
        <v>4.45208962417973E-4</v>
      </c>
      <c r="M244" s="35">
        <f t="shared" si="28"/>
        <v>2.0520384344464904E-6</v>
      </c>
      <c r="N244" s="44">
        <f t="shared" si="26"/>
        <v>8.9587814962470793E-5</v>
      </c>
      <c r="O244" s="45" t="e">
        <f t="shared" si="29"/>
        <v>#VALUE!</v>
      </c>
      <c r="P244" s="52" t="str">
        <f t="shared" si="30"/>
        <v/>
      </c>
      <c r="Q244" s="53" t="str">
        <f t="shared" si="31"/>
        <v/>
      </c>
      <c r="R244" s="54" t="str">
        <f t="shared" si="32"/>
        <v/>
      </c>
      <c r="S244" s="53" t="str">
        <f t="shared" si="33"/>
        <v/>
      </c>
    </row>
    <row r="245" spans="1:19" x14ac:dyDescent="0.15">
      <c r="A245" s="50"/>
      <c r="B245" s="50"/>
      <c r="J245" s="38">
        <v>236</v>
      </c>
      <c r="K245" s="40"/>
      <c r="L245" s="34">
        <f t="shared" si="27"/>
        <v>4.4725512864665266E-4</v>
      </c>
      <c r="M245" s="35">
        <f t="shared" si="28"/>
        <v>2.0403093680958628E-6</v>
      </c>
      <c r="N245" s="44">
        <f t="shared" si="26"/>
        <v>8.9099210723544823E-5</v>
      </c>
      <c r="O245" s="45" t="e">
        <f t="shared" si="29"/>
        <v>#VALUE!</v>
      </c>
      <c r="P245" s="52" t="str">
        <f t="shared" si="30"/>
        <v/>
      </c>
      <c r="Q245" s="53" t="str">
        <f t="shared" si="31"/>
        <v/>
      </c>
      <c r="R245" s="54" t="str">
        <f t="shared" si="32"/>
        <v/>
      </c>
      <c r="S245" s="53" t="str">
        <f t="shared" si="33"/>
        <v/>
      </c>
    </row>
    <row r="246" spans="1:19" x14ac:dyDescent="0.15">
      <c r="A246" s="50"/>
      <c r="B246" s="50"/>
      <c r="J246" s="38">
        <v>237</v>
      </c>
      <c r="K246" s="40"/>
      <c r="L246" s="34">
        <f t="shared" si="27"/>
        <v>4.4928961168454938E-4</v>
      </c>
      <c r="M246" s="35">
        <f t="shared" si="28"/>
        <v>2.0286718933161764E-6</v>
      </c>
      <c r="N246" s="44">
        <f t="shared" si="26"/>
        <v>8.8614206809439517E-5</v>
      </c>
      <c r="O246" s="45" t="e">
        <f t="shared" si="29"/>
        <v>#VALUE!</v>
      </c>
      <c r="P246" s="52" t="str">
        <f t="shared" si="30"/>
        <v/>
      </c>
      <c r="Q246" s="53" t="str">
        <f t="shared" si="31"/>
        <v/>
      </c>
      <c r="R246" s="54" t="str">
        <f t="shared" si="32"/>
        <v/>
      </c>
      <c r="S246" s="53" t="str">
        <f t="shared" si="33"/>
        <v/>
      </c>
    </row>
    <row r="247" spans="1:19" x14ac:dyDescent="0.15">
      <c r="A247" s="50"/>
      <c r="B247" s="50"/>
      <c r="J247" s="38">
        <v>238</v>
      </c>
      <c r="K247" s="40"/>
      <c r="L247" s="34">
        <f t="shared" si="27"/>
        <v>4.51312502646616E-4</v>
      </c>
      <c r="M247" s="35">
        <f t="shared" si="28"/>
        <v>2.0171250589397727E-6</v>
      </c>
      <c r="N247" s="44">
        <f t="shared" si="26"/>
        <v>8.8132767890886391E-5</v>
      </c>
      <c r="O247" s="45" t="e">
        <f t="shared" si="29"/>
        <v>#VALUE!</v>
      </c>
      <c r="P247" s="52" t="str">
        <f t="shared" si="30"/>
        <v/>
      </c>
      <c r="Q247" s="53" t="str">
        <f t="shared" si="31"/>
        <v/>
      </c>
      <c r="R247" s="54" t="str">
        <f t="shared" si="32"/>
        <v/>
      </c>
      <c r="S247" s="53" t="str">
        <f t="shared" si="33"/>
        <v/>
      </c>
    </row>
    <row r="248" spans="1:19" x14ac:dyDescent="0.15">
      <c r="A248" s="50"/>
      <c r="B248" s="50"/>
      <c r="J248" s="38">
        <v>239</v>
      </c>
      <c r="K248" s="40"/>
      <c r="L248" s="34">
        <f t="shared" si="27"/>
        <v>4.533238917028112E-4</v>
      </c>
      <c r="M248" s="35">
        <f t="shared" si="28"/>
        <v>2.0056679261142195E-6</v>
      </c>
      <c r="N248" s="44">
        <f t="shared" si="26"/>
        <v>8.7654859071431719E-5</v>
      </c>
      <c r="O248" s="45" t="e">
        <f t="shared" si="29"/>
        <v>#VALUE!</v>
      </c>
      <c r="P248" s="52" t="str">
        <f t="shared" si="30"/>
        <v/>
      </c>
      <c r="Q248" s="53" t="str">
        <f t="shared" si="31"/>
        <v/>
      </c>
      <c r="R248" s="54" t="str">
        <f t="shared" si="32"/>
        <v/>
      </c>
      <c r="S248" s="53" t="str">
        <f t="shared" si="33"/>
        <v/>
      </c>
    </row>
    <row r="249" spans="1:19" x14ac:dyDescent="0.15">
      <c r="A249" s="50"/>
      <c r="B249" s="50"/>
      <c r="J249" s="38">
        <v>240</v>
      </c>
      <c r="K249" s="40"/>
      <c r="L249" s="34">
        <f t="shared" si="27"/>
        <v>4.553238680903194E-4</v>
      </c>
      <c r="M249" s="35">
        <f t="shared" si="28"/>
        <v>1.9942995681114626E-6</v>
      </c>
      <c r="N249" s="44">
        <f t="shared" si="26"/>
        <v>8.7180445881083698E-5</v>
      </c>
      <c r="O249" s="45" t="e">
        <f t="shared" si="29"/>
        <v>#VALUE!</v>
      </c>
      <c r="P249" s="52" t="str">
        <f t="shared" si="30"/>
        <v/>
      </c>
      <c r="Q249" s="53" t="str">
        <f t="shared" si="31"/>
        <v/>
      </c>
      <c r="R249" s="54" t="str">
        <f t="shared" si="32"/>
        <v/>
      </c>
      <c r="S249" s="53" t="str">
        <f t="shared" si="33"/>
        <v/>
      </c>
    </row>
    <row r="250" spans="1:19" x14ac:dyDescent="0.15">
      <c r="A250" s="50"/>
      <c r="B250" s="50"/>
      <c r="J250" s="38">
        <v>241</v>
      </c>
      <c r="K250" s="40"/>
      <c r="L250" s="34">
        <f t="shared" si="27"/>
        <v>4.5731252012558071E-4</v>
      </c>
      <c r="M250" s="35">
        <f t="shared" si="28"/>
        <v>1.9830190701404201E-6</v>
      </c>
      <c r="N250" s="44">
        <f t="shared" si="26"/>
        <v>8.6709494270064899E-5</v>
      </c>
      <c r="O250" s="45" t="e">
        <f t="shared" si="29"/>
        <v>#VALUE!</v>
      </c>
      <c r="P250" s="52" t="str">
        <f t="shared" si="30"/>
        <v/>
      </c>
      <c r="Q250" s="53" t="str">
        <f t="shared" si="31"/>
        <v/>
      </c>
      <c r="R250" s="54" t="str">
        <f t="shared" si="32"/>
        <v/>
      </c>
      <c r="S250" s="53" t="str">
        <f t="shared" si="33"/>
        <v/>
      </c>
    </row>
    <row r="251" spans="1:19" x14ac:dyDescent="0.15">
      <c r="A251" s="50"/>
      <c r="B251" s="50"/>
      <c r="J251" s="38">
        <v>242</v>
      </c>
      <c r="K251" s="40"/>
      <c r="L251" s="34">
        <f t="shared" si="27"/>
        <v>4.5928993521613613E-4</v>
      </c>
      <c r="M251" s="35">
        <f t="shared" si="28"/>
        <v>1.9718255291629485E-6</v>
      </c>
      <c r="N251" s="44">
        <f t="shared" si="26"/>
        <v>8.6241970602672971E-5</v>
      </c>
      <c r="O251" s="45" t="e">
        <f t="shared" si="29"/>
        <v>#VALUE!</v>
      </c>
      <c r="P251" s="52" t="str">
        <f t="shared" si="30"/>
        <v/>
      </c>
      <c r="Q251" s="53" t="str">
        <f t="shared" si="31"/>
        <v/>
      </c>
      <c r="R251" s="54" t="str">
        <f t="shared" si="32"/>
        <v/>
      </c>
      <c r="S251" s="53" t="str">
        <f t="shared" si="33"/>
        <v/>
      </c>
    </row>
    <row r="252" spans="1:19" x14ac:dyDescent="0.15">
      <c r="A252" s="50"/>
      <c r="B252" s="50"/>
      <c r="J252" s="38">
        <v>243</v>
      </c>
      <c r="K252" s="40"/>
      <c r="L252" s="34">
        <f t="shared" si="27"/>
        <v>4.612561998722893E-4</v>
      </c>
      <c r="M252" s="35">
        <f t="shared" si="28"/>
        <v>1.960718053713108E-6</v>
      </c>
      <c r="N252" s="44">
        <f t="shared" si="26"/>
        <v>8.5777841651246028E-5</v>
      </c>
      <c r="O252" s="45" t="e">
        <f t="shared" si="29"/>
        <v>#VALUE!</v>
      </c>
      <c r="P252" s="52" t="str">
        <f t="shared" si="30"/>
        <v/>
      </c>
      <c r="Q252" s="53" t="str">
        <f t="shared" si="31"/>
        <v/>
      </c>
      <c r="R252" s="54" t="str">
        <f t="shared" si="32"/>
        <v/>
      </c>
      <c r="S252" s="53" t="str">
        <f t="shared" si="33"/>
        <v/>
      </c>
    </row>
    <row r="253" spans="1:19" x14ac:dyDescent="0.15">
      <c r="A253" s="50"/>
      <c r="B253" s="50"/>
      <c r="J253" s="38">
        <v>244</v>
      </c>
      <c r="K253" s="40"/>
      <c r="L253" s="34">
        <f t="shared" si="27"/>
        <v>4.6321139971858982E-4</v>
      </c>
      <c r="M253" s="35">
        <f t="shared" si="28"/>
        <v>1.9496957637196635E-6</v>
      </c>
      <c r="N253" s="44">
        <f t="shared" si="26"/>
        <v>8.5317074590229565E-5</v>
      </c>
      <c r="O253" s="45" t="e">
        <f t="shared" si="29"/>
        <v>#VALUE!</v>
      </c>
      <c r="P253" s="52" t="str">
        <f t="shared" si="30"/>
        <v/>
      </c>
      <c r="Q253" s="53" t="str">
        <f t="shared" si="31"/>
        <v/>
      </c>
      <c r="R253" s="54" t="str">
        <f t="shared" si="32"/>
        <v/>
      </c>
      <c r="S253" s="53" t="str">
        <f t="shared" si="33"/>
        <v/>
      </c>
    </row>
    <row r="254" spans="1:19" x14ac:dyDescent="0.15">
      <c r="A254" s="50"/>
      <c r="B254" s="50"/>
      <c r="J254" s="38">
        <v>245</v>
      </c>
      <c r="K254" s="40"/>
      <c r="L254" s="34">
        <f t="shared" si="27"/>
        <v>4.6515561950514101E-4</v>
      </c>
      <c r="M254" s="35">
        <f t="shared" si="28"/>
        <v>1.9387577903317578E-6</v>
      </c>
      <c r="N254" s="44">
        <f t="shared" si="26"/>
        <v>8.4859636990343185E-5</v>
      </c>
      <c r="O254" s="45" t="e">
        <f t="shared" si="29"/>
        <v>#VALUE!</v>
      </c>
      <c r="P254" s="52" t="str">
        <f t="shared" si="30"/>
        <v/>
      </c>
      <c r="Q254" s="53" t="str">
        <f t="shared" si="31"/>
        <v/>
      </c>
      <c r="R254" s="54" t="str">
        <f t="shared" si="32"/>
        <v/>
      </c>
      <c r="S254" s="53" t="str">
        <f t="shared" si="33"/>
        <v/>
      </c>
    </row>
    <row r="255" spans="1:19" x14ac:dyDescent="0.15">
      <c r="A255" s="50"/>
      <c r="B255" s="50"/>
      <c r="J255" s="38">
        <v>246</v>
      </c>
      <c r="K255" s="40"/>
      <c r="L255" s="34">
        <f t="shared" si="27"/>
        <v>4.6708894311873366E-4</v>
      </c>
      <c r="M255" s="35">
        <f t="shared" si="28"/>
        <v>1.9279032757476806E-6</v>
      </c>
      <c r="N255" s="44">
        <f t="shared" si="26"/>
        <v>8.4405496812849719E-5</v>
      </c>
      <c r="O255" s="45" t="e">
        <f t="shared" si="29"/>
        <v>#VALUE!</v>
      </c>
      <c r="P255" s="52" t="str">
        <f t="shared" si="30"/>
        <v/>
      </c>
      <c r="Q255" s="53" t="str">
        <f t="shared" si="31"/>
        <v/>
      </c>
      <c r="R255" s="54" t="str">
        <f t="shared" si="32"/>
        <v/>
      </c>
      <c r="S255" s="53" t="str">
        <f t="shared" si="33"/>
        <v/>
      </c>
    </row>
    <row r="256" spans="1:19" x14ac:dyDescent="0.15">
      <c r="A256" s="50"/>
      <c r="B256" s="50"/>
      <c r="J256" s="38">
        <v>247</v>
      </c>
      <c r="K256" s="40"/>
      <c r="L256" s="34">
        <f t="shared" si="27"/>
        <v>4.6901145359381168E-4</v>
      </c>
      <c r="M256" s="35">
        <f t="shared" si="28"/>
        <v>1.9171313730466834E-6</v>
      </c>
      <c r="N256" s="44">
        <f t="shared" si="26"/>
        <v>8.3954622403915533E-5</v>
      </c>
      <c r="O256" s="45" t="e">
        <f t="shared" si="29"/>
        <v>#VALUE!</v>
      </c>
      <c r="P256" s="52" t="str">
        <f t="shared" si="30"/>
        <v/>
      </c>
      <c r="Q256" s="53" t="str">
        <f t="shared" si="31"/>
        <v/>
      </c>
      <c r="R256" s="54" t="str">
        <f t="shared" si="32"/>
        <v/>
      </c>
      <c r="S256" s="53" t="str">
        <f t="shared" si="33"/>
        <v/>
      </c>
    </row>
    <row r="257" spans="1:19" x14ac:dyDescent="0.15">
      <c r="A257" s="50"/>
      <c r="B257" s="50"/>
      <c r="J257" s="38">
        <v>248</v>
      </c>
      <c r="K257" s="40"/>
      <c r="L257" s="34">
        <f t="shared" si="27"/>
        <v>4.7092323312326927E-4</v>
      </c>
      <c r="M257" s="35">
        <f t="shared" si="28"/>
        <v>1.9064412460237747E-6</v>
      </c>
      <c r="N257" s="44">
        <f t="shared" si="26"/>
        <v>8.3506982489070525E-5</v>
      </c>
      <c r="O257" s="45" t="e">
        <f t="shared" si="29"/>
        <v>#VALUE!</v>
      </c>
      <c r="P257" s="52" t="str">
        <f t="shared" si="30"/>
        <v/>
      </c>
      <c r="Q257" s="53" t="str">
        <f t="shared" si="31"/>
        <v/>
      </c>
      <c r="R257" s="54" t="str">
        <f t="shared" si="32"/>
        <v/>
      </c>
      <c r="S257" s="53" t="str">
        <f t="shared" si="33"/>
        <v/>
      </c>
    </row>
    <row r="258" spans="1:19" x14ac:dyDescent="0.15">
      <c r="A258" s="50"/>
      <c r="B258" s="50"/>
      <c r="J258" s="38">
        <v>249</v>
      </c>
      <c r="K258" s="40"/>
      <c r="L258" s="34">
        <f t="shared" si="27"/>
        <v>4.7282436306908592E-4</v>
      </c>
      <c r="M258" s="35">
        <f t="shared" si="28"/>
        <v>1.8958320690274266E-6</v>
      </c>
      <c r="N258" s="44">
        <f t="shared" si="26"/>
        <v>8.3062546167757571E-5</v>
      </c>
      <c r="O258" s="45" t="e">
        <f t="shared" si="29"/>
        <v>#VALUE!</v>
      </c>
      <c r="P258" s="52" t="str">
        <f t="shared" si="30"/>
        <v/>
      </c>
      <c r="Q258" s="53" t="str">
        <f t="shared" si="31"/>
        <v/>
      </c>
      <c r="R258" s="54" t="str">
        <f t="shared" si="32"/>
        <v/>
      </c>
      <c r="S258" s="53" t="str">
        <f t="shared" si="33"/>
        <v/>
      </c>
    </row>
    <row r="259" spans="1:19" x14ac:dyDescent="0.15">
      <c r="A259" s="50"/>
      <c r="B259" s="50"/>
      <c r="J259" s="38">
        <v>250</v>
      </c>
      <c r="K259" s="39"/>
      <c r="L259" s="34">
        <f t="shared" si="27"/>
        <v>4.7471492397280001E-4</v>
      </c>
      <c r="M259" s="35">
        <f t="shared" si="28"/>
        <v>1.8853030268001547E-6</v>
      </c>
      <c r="N259" s="44">
        <f t="shared" si="26"/>
        <v>8.2621282907975482E-5</v>
      </c>
      <c r="O259" s="45" t="e">
        <f t="shared" si="29"/>
        <v>#VALUE!</v>
      </c>
      <c r="P259" s="52" t="str">
        <f t="shared" si="30"/>
        <v/>
      </c>
      <c r="Q259" s="53" t="str">
        <f t="shared" si="31"/>
        <v/>
      </c>
      <c r="R259" s="54" t="str">
        <f t="shared" si="32"/>
        <v/>
      </c>
      <c r="S259" s="53" t="str">
        <f t="shared" si="33"/>
        <v/>
      </c>
    </row>
    <row r="260" spans="1:19" x14ac:dyDescent="0.15">
      <c r="A260" s="50"/>
      <c r="B260" s="50"/>
      <c r="J260" s="38">
        <v>251</v>
      </c>
      <c r="K260" s="40"/>
      <c r="L260" s="34">
        <f t="shared" si="27"/>
        <v>4.765949955658239E-4</v>
      </c>
      <c r="M260" s="35">
        <f t="shared" si="28"/>
        <v>1.8748533143218887E-6</v>
      </c>
      <c r="N260" s="44">
        <f t="shared" si="26"/>
        <v>8.2183162541010161E-5</v>
      </c>
      <c r="O260" s="45" t="e">
        <f t="shared" si="29"/>
        <v>#VALUE!</v>
      </c>
      <c r="P260" s="52" t="str">
        <f t="shared" si="30"/>
        <v/>
      </c>
      <c r="Q260" s="53" t="str">
        <f t="shared" si="31"/>
        <v/>
      </c>
      <c r="R260" s="54" t="str">
        <f t="shared" si="32"/>
        <v/>
      </c>
      <c r="S260" s="53" t="str">
        <f t="shared" si="33"/>
        <v/>
      </c>
    </row>
    <row r="261" spans="1:19" x14ac:dyDescent="0.15">
      <c r="A261" s="50"/>
      <c r="B261" s="50"/>
      <c r="J261" s="38">
        <v>252</v>
      </c>
      <c r="K261" s="40"/>
      <c r="L261" s="34">
        <f t="shared" si="27"/>
        <v>4.7846465677960429E-4</v>
      </c>
      <c r="M261" s="35">
        <f t="shared" si="28"/>
        <v>1.8644821366560928E-6</v>
      </c>
      <c r="N261" s="44">
        <f t="shared" si="26"/>
        <v>8.1748155256253902E-5</v>
      </c>
      <c r="O261" s="45" t="e">
        <f t="shared" si="29"/>
        <v>#VALUE!</v>
      </c>
      <c r="P261" s="52" t="str">
        <f t="shared" si="30"/>
        <v/>
      </c>
      <c r="Q261" s="53" t="str">
        <f t="shared" si="31"/>
        <v/>
      </c>
      <c r="R261" s="54" t="str">
        <f t="shared" si="32"/>
        <v/>
      </c>
      <c r="S261" s="53" t="str">
        <f t="shared" si="33"/>
        <v/>
      </c>
    </row>
    <row r="262" spans="1:19" x14ac:dyDescent="0.15">
      <c r="A262" s="50"/>
      <c r="B262" s="50"/>
      <c r="J262" s="38">
        <v>253</v>
      </c>
      <c r="K262" s="40"/>
      <c r="L262" s="34">
        <f t="shared" si="27"/>
        <v>4.8032398575563012E-4</v>
      </c>
      <c r="M262" s="35">
        <f t="shared" si="28"/>
        <v>1.8541887087985821E-6</v>
      </c>
      <c r="N262" s="44">
        <f t="shared" si="26"/>
        <v>8.1316231596110947E-5</v>
      </c>
      <c r="O262" s="45" t="e">
        <f t="shared" si="29"/>
        <v>#VALUE!</v>
      </c>
      <c r="P262" s="52" t="str">
        <f t="shared" si="30"/>
        <v/>
      </c>
      <c r="Q262" s="53" t="str">
        <f t="shared" si="31"/>
        <v/>
      </c>
      <c r="R262" s="54" t="str">
        <f t="shared" si="32"/>
        <v/>
      </c>
      <c r="S262" s="53" t="str">
        <f t="shared" si="33"/>
        <v/>
      </c>
    </row>
    <row r="263" spans="1:19" x14ac:dyDescent="0.15">
      <c r="A263" s="50"/>
      <c r="B263" s="50"/>
      <c r="J263" s="38">
        <v>254</v>
      </c>
      <c r="K263" s="40"/>
      <c r="L263" s="34">
        <f t="shared" si="27"/>
        <v>4.8217305985529034E-4</v>
      </c>
      <c r="M263" s="35">
        <f t="shared" si="28"/>
        <v>1.8439722555289722E-6</v>
      </c>
      <c r="N263" s="44">
        <f t="shared" si="26"/>
        <v>8.0887362450986948E-5</v>
      </c>
      <c r="O263" s="45" t="e">
        <f t="shared" si="29"/>
        <v>#VALUE!</v>
      </c>
      <c r="P263" s="52" t="str">
        <f t="shared" si="30"/>
        <v/>
      </c>
      <c r="Q263" s="53" t="str">
        <f t="shared" si="31"/>
        <v/>
      </c>
      <c r="R263" s="54" t="str">
        <f t="shared" si="32"/>
        <v/>
      </c>
      <c r="S263" s="53" t="str">
        <f t="shared" si="33"/>
        <v/>
      </c>
    </row>
    <row r="264" spans="1:19" x14ac:dyDescent="0.15">
      <c r="J264" s="38">
        <v>255</v>
      </c>
      <c r="K264" s="40"/>
      <c r="L264" s="34">
        <f t="shared" si="27"/>
        <v>4.8401195566958433E-4</v>
      </c>
      <c r="M264" s="35">
        <f t="shared" si="28"/>
        <v>1.8338320112647172E-6</v>
      </c>
      <c r="N264" s="44">
        <f t="shared" si="26"/>
        <v>8.0461519054362792E-5</v>
      </c>
      <c r="O264" s="45" t="e">
        <f t="shared" si="29"/>
        <v>#VALUE!</v>
      </c>
      <c r="P264" s="52" t="str">
        <f t="shared" si="30"/>
        <v/>
      </c>
      <c r="Q264" s="53" t="str">
        <f t="shared" si="31"/>
        <v/>
      </c>
      <c r="R264" s="54" t="str">
        <f t="shared" si="32"/>
        <v/>
      </c>
      <c r="S264" s="53" t="str">
        <f t="shared" si="33"/>
        <v/>
      </c>
    </row>
    <row r="265" spans="1:19" x14ac:dyDescent="0.15">
      <c r="J265" s="38">
        <v>256</v>
      </c>
      <c r="K265" s="40"/>
      <c r="L265" s="34">
        <f t="shared" si="27"/>
        <v>4.8584074902868822E-4</v>
      </c>
      <c r="M265" s="35">
        <f t="shared" si="28"/>
        <v>1.8237672199176812E-6</v>
      </c>
      <c r="N265" s="44">
        <f t="shared" ref="N265:N328" si="34">(L315-L265)</f>
        <v>8.0038672977946314E-5</v>
      </c>
      <c r="O265" s="45" t="e">
        <f t="shared" si="29"/>
        <v>#VALUE!</v>
      </c>
      <c r="P265" s="52" t="str">
        <f t="shared" si="30"/>
        <v/>
      </c>
      <c r="Q265" s="53" t="str">
        <f t="shared" si="31"/>
        <v/>
      </c>
      <c r="R265" s="54" t="str">
        <f t="shared" si="32"/>
        <v/>
      </c>
      <c r="S265" s="53" t="str">
        <f t="shared" si="33"/>
        <v/>
      </c>
    </row>
    <row r="266" spans="1:19" x14ac:dyDescent="0.15">
      <c r="J266" s="38">
        <v>257</v>
      </c>
      <c r="K266" s="40"/>
      <c r="L266" s="34">
        <f t="shared" ref="L266:L329" si="35">$F$39*((1-$F$40*J266)/(1+$F$41*J266))*(J266-$F$42)</f>
        <v>4.876595150113782E-4</v>
      </c>
      <c r="M266" s="35">
        <f t="shared" ref="M266:M329" si="36">$F$39*((1-2*$F$40*J266-$F$40*$F$41*(J266^2)+($F$41+$F$40)*$F$42)/(1+$F$41*J266)^2)</f>
        <v>1.8137771347531914E-6</v>
      </c>
      <c r="N266" s="44">
        <f t="shared" si="34"/>
        <v>7.9618796126908751E-5</v>
      </c>
      <c r="O266" s="45" t="e">
        <f t="shared" ref="O266:O329" si="37">IF(N266&lt;=$B$49,1+O265,0)</f>
        <v>#VALUE!</v>
      </c>
      <c r="P266" s="52" t="str">
        <f t="shared" ref="P266:P329" si="38">IF(J266&lt;=$F$42,J266,"")</f>
        <v/>
      </c>
      <c r="Q266" s="53" t="str">
        <f t="shared" ref="Q266:Q329" si="39">IF(J266&lt;=$F$42,L266,"")</f>
        <v/>
      </c>
      <c r="R266" s="54" t="str">
        <f t="shared" ref="R266:R329" si="40">IF(AND(J266&gt;=$F$42,J266&lt;=200),J266,"")</f>
        <v/>
      </c>
      <c r="S266" s="53" t="str">
        <f t="shared" ref="S266:S329" si="41">IF(AND(J266&gt;=$F$42,J266&lt;=200),L266,"")</f>
        <v/>
      </c>
    </row>
    <row r="267" spans="1:19" x14ac:dyDescent="0.15">
      <c r="J267" s="38">
        <v>258</v>
      </c>
      <c r="K267" s="40"/>
      <c r="L267" s="34">
        <f t="shared" si="35"/>
        <v>4.894683279543147E-4</v>
      </c>
      <c r="M267" s="35">
        <f t="shared" si="36"/>
        <v>1.8038610182515282E-6</v>
      </c>
      <c r="N267" s="44">
        <f t="shared" si="34"/>
        <v>7.9201860735194913E-5</v>
      </c>
      <c r="O267" s="45" t="e">
        <f t="shared" si="37"/>
        <v>#VALUE!</v>
      </c>
      <c r="P267" s="52" t="str">
        <f t="shared" si="38"/>
        <v/>
      </c>
      <c r="Q267" s="53" t="str">
        <f t="shared" si="39"/>
        <v/>
      </c>
      <c r="R267" s="54" t="str">
        <f t="shared" si="40"/>
        <v/>
      </c>
      <c r="S267" s="53" t="str">
        <f t="shared" si="41"/>
        <v/>
      </c>
    </row>
    <row r="268" spans="1:19" x14ac:dyDescent="0.15">
      <c r="J268" s="38">
        <v>259</v>
      </c>
      <c r="K268" s="40"/>
      <c r="L268" s="34">
        <f t="shared" si="35"/>
        <v>4.9126726146118906E-4</v>
      </c>
      <c r="M268" s="35">
        <f t="shared" si="36"/>
        <v>1.7940181419718068E-6</v>
      </c>
      <c r="N268" s="44">
        <f t="shared" si="34"/>
        <v>7.8787839360912456E-5</v>
      </c>
      <c r="O268" s="45" t="e">
        <f t="shared" si="37"/>
        <v>#VALUE!</v>
      </c>
      <c r="P268" s="52" t="str">
        <f t="shared" si="38"/>
        <v/>
      </c>
      <c r="Q268" s="53" t="str">
        <f t="shared" si="39"/>
        <v/>
      </c>
      <c r="R268" s="54" t="str">
        <f t="shared" si="40"/>
        <v/>
      </c>
      <c r="S268" s="53" t="str">
        <f t="shared" si="41"/>
        <v/>
      </c>
    </row>
    <row r="269" spans="1:19" x14ac:dyDescent="0.15">
      <c r="J269" s="38">
        <v>260</v>
      </c>
      <c r="K269" s="40"/>
      <c r="L269" s="34">
        <f t="shared" si="35"/>
        <v>4.9305638841173568E-4</v>
      </c>
      <c r="M269" s="35">
        <f t="shared" si="36"/>
        <v>1.7842477864181907E-6</v>
      </c>
      <c r="N269" s="44">
        <f t="shared" si="34"/>
        <v>7.8376704881795954E-5</v>
      </c>
      <c r="O269" s="45" t="e">
        <f t="shared" si="37"/>
        <v>#VALUE!</v>
      </c>
      <c r="P269" s="52" t="str">
        <f t="shared" si="38"/>
        <v/>
      </c>
      <c r="Q269" s="53" t="str">
        <f t="shared" si="39"/>
        <v/>
      </c>
      <c r="R269" s="54" t="str">
        <f t="shared" si="40"/>
        <v/>
      </c>
      <c r="S269" s="53" t="str">
        <f t="shared" si="41"/>
        <v/>
      </c>
    </row>
    <row r="270" spans="1:19" x14ac:dyDescent="0.15">
      <c r="J270" s="38">
        <v>261</v>
      </c>
      <c r="K270" s="40"/>
      <c r="L270" s="34">
        <f t="shared" si="35"/>
        <v>4.9483578097061034E-4</v>
      </c>
      <c r="M270" s="35">
        <f t="shared" si="36"/>
        <v>1.7745492409084039E-6</v>
      </c>
      <c r="N270" s="44">
        <f t="shared" si="34"/>
        <v>7.7968430490745464E-5</v>
      </c>
      <c r="O270" s="45" t="e">
        <f t="shared" si="37"/>
        <v>#VALUE!</v>
      </c>
      <c r="P270" s="52" t="str">
        <f t="shared" si="38"/>
        <v/>
      </c>
      <c r="Q270" s="53" t="str">
        <f t="shared" si="39"/>
        <v/>
      </c>
      <c r="R270" s="54" t="str">
        <f t="shared" si="40"/>
        <v/>
      </c>
      <c r="S270" s="53" t="str">
        <f t="shared" si="41"/>
        <v/>
      </c>
    </row>
    <row r="271" spans="1:19" x14ac:dyDescent="0.15">
      <c r="J271" s="38">
        <v>262</v>
      </c>
      <c r="K271" s="40"/>
      <c r="L271" s="34">
        <f t="shared" si="35"/>
        <v>4.9660551059613949E-4</v>
      </c>
      <c r="M271" s="35">
        <f t="shared" si="36"/>
        <v>1.7649218034444931E-6</v>
      </c>
      <c r="N271" s="44">
        <f t="shared" si="34"/>
        <v>7.7562989691436972E-5</v>
      </c>
      <c r="O271" s="45" t="e">
        <f t="shared" si="37"/>
        <v>#VALUE!</v>
      </c>
      <c r="P271" s="52" t="str">
        <f t="shared" si="38"/>
        <v/>
      </c>
      <c r="Q271" s="53" t="str">
        <f t="shared" si="39"/>
        <v/>
      </c>
      <c r="R271" s="54" t="str">
        <f t="shared" si="40"/>
        <v/>
      </c>
      <c r="S271" s="53" t="str">
        <f t="shared" si="41"/>
        <v/>
      </c>
    </row>
    <row r="272" spans="1:19" x14ac:dyDescent="0.15">
      <c r="J272" s="38">
        <v>263</v>
      </c>
      <c r="K272" s="40"/>
      <c r="L272" s="34">
        <f t="shared" si="35"/>
        <v>4.9836564804894064E-4</v>
      </c>
      <c r="M272" s="35">
        <f t="shared" si="36"/>
        <v>1.7553647805857926E-6</v>
      </c>
      <c r="N272" s="44">
        <f t="shared" si="34"/>
        <v>7.7160356294003903E-5</v>
      </c>
      <c r="O272" s="45" t="e">
        <f t="shared" si="37"/>
        <v>#VALUE!</v>
      </c>
      <c r="P272" s="52" t="str">
        <f t="shared" si="38"/>
        <v/>
      </c>
      <c r="Q272" s="53" t="str">
        <f t="shared" si="39"/>
        <v/>
      </c>
      <c r="R272" s="54" t="str">
        <f t="shared" si="40"/>
        <v/>
      </c>
      <c r="S272" s="53" t="str">
        <f t="shared" si="41"/>
        <v/>
      </c>
    </row>
    <row r="273" spans="10:19" x14ac:dyDescent="0.15">
      <c r="J273" s="38">
        <v>264</v>
      </c>
      <c r="K273" s="40"/>
      <c r="L273" s="34">
        <f t="shared" si="35"/>
        <v>5.0011626340041757E-4</v>
      </c>
      <c r="M273" s="35">
        <f t="shared" si="36"/>
        <v>1.7458774873240581E-6</v>
      </c>
      <c r="N273" s="44">
        <f t="shared" si="34"/>
        <v>7.6760504410789548E-5</v>
      </c>
      <c r="O273" s="45" t="e">
        <f t="shared" si="37"/>
        <v>#VALUE!</v>
      </c>
      <c r="P273" s="52" t="str">
        <f t="shared" si="38"/>
        <v/>
      </c>
      <c r="Q273" s="53" t="str">
        <f t="shared" si="39"/>
        <v/>
      </c>
      <c r="R273" s="54" t="str">
        <f t="shared" si="40"/>
        <v/>
      </c>
      <c r="S273" s="53" t="str">
        <f t="shared" si="41"/>
        <v/>
      </c>
    </row>
    <row r="274" spans="10:19" x14ac:dyDescent="0.15">
      <c r="J274" s="38">
        <v>265</v>
      </c>
      <c r="K274" s="40"/>
      <c r="L274" s="34">
        <f t="shared" si="35"/>
        <v>5.0185742604113063E-4</v>
      </c>
      <c r="M274" s="35">
        <f t="shared" si="36"/>
        <v>1.736459246960712E-6</v>
      </c>
      <c r="N274" s="44">
        <f t="shared" si="34"/>
        <v>7.6363408452167136E-5</v>
      </c>
      <c r="O274" s="45" t="e">
        <f t="shared" si="37"/>
        <v>#VALUE!</v>
      </c>
      <c r="P274" s="52" t="str">
        <f t="shared" si="38"/>
        <v/>
      </c>
      <c r="Q274" s="53" t="str">
        <f t="shared" si="39"/>
        <v/>
      </c>
      <c r="R274" s="54" t="str">
        <f t="shared" si="40"/>
        <v/>
      </c>
      <c r="S274" s="53" t="str">
        <f t="shared" si="41"/>
        <v/>
      </c>
    </row>
    <row r="275" spans="10:19" x14ac:dyDescent="0.15">
      <c r="J275" s="38">
        <v>266</v>
      </c>
      <c r="K275" s="40"/>
      <c r="L275" s="34">
        <f t="shared" si="35"/>
        <v>5.0358920468904569E-4</v>
      </c>
      <c r="M275" s="35">
        <f t="shared" si="36"/>
        <v>1.7271093909861754E-6</v>
      </c>
      <c r="N275" s="44">
        <f t="shared" si="34"/>
        <v>7.5969043122427779E-5</v>
      </c>
      <c r="O275" s="45" t="e">
        <f t="shared" si="37"/>
        <v>#VALUE!</v>
      </c>
      <c r="P275" s="52" t="str">
        <f t="shared" si="38"/>
        <v/>
      </c>
      <c r="Q275" s="53" t="str">
        <f t="shared" si="39"/>
        <v/>
      </c>
      <c r="R275" s="54" t="str">
        <f t="shared" si="40"/>
        <v/>
      </c>
      <c r="S275" s="53" t="str">
        <f t="shared" si="41"/>
        <v/>
      </c>
    </row>
    <row r="276" spans="10:19" x14ac:dyDescent="0.15">
      <c r="J276" s="38">
        <v>267</v>
      </c>
      <c r="K276" s="40"/>
      <c r="L276" s="34">
        <f t="shared" si="35"/>
        <v>5.0531166739766452E-4</v>
      </c>
      <c r="M276" s="35">
        <f t="shared" si="36"/>
        <v>1.7178272589612372E-6</v>
      </c>
      <c r="N276" s="44">
        <f t="shared" si="34"/>
        <v>7.5577383415734449E-5</v>
      </c>
      <c r="O276" s="45" t="e">
        <f t="shared" si="37"/>
        <v>#VALUE!</v>
      </c>
      <c r="P276" s="52" t="str">
        <f t="shared" si="38"/>
        <v/>
      </c>
      <c r="Q276" s="53" t="str">
        <f t="shared" si="39"/>
        <v/>
      </c>
      <c r="R276" s="54" t="str">
        <f t="shared" si="40"/>
        <v/>
      </c>
      <c r="S276" s="53" t="str">
        <f t="shared" si="41"/>
        <v/>
      </c>
    </row>
    <row r="277" spans="10:19" x14ac:dyDescent="0.15">
      <c r="J277" s="38">
        <v>268</v>
      </c>
      <c r="K277" s="40"/>
      <c r="L277" s="34">
        <f t="shared" si="35"/>
        <v>5.0702488156403576E-4</v>
      </c>
      <c r="M277" s="35">
        <f t="shared" si="36"/>
        <v>1.7086121984004215E-6</v>
      </c>
      <c r="N277" s="44">
        <f t="shared" si="34"/>
        <v>7.5188404612140571E-5</v>
      </c>
      <c r="O277" s="45" t="e">
        <f t="shared" si="37"/>
        <v>#VALUE!</v>
      </c>
      <c r="P277" s="52" t="str">
        <f t="shared" si="38"/>
        <v/>
      </c>
      <c r="Q277" s="53" t="str">
        <f t="shared" si="39"/>
        <v/>
      </c>
      <c r="R277" s="54" t="str">
        <f t="shared" si="40"/>
        <v/>
      </c>
      <c r="S277" s="53" t="str">
        <f t="shared" si="41"/>
        <v/>
      </c>
    </row>
    <row r="278" spans="10:19" x14ac:dyDescent="0.15">
      <c r="J278" s="38">
        <v>269</v>
      </c>
      <c r="K278" s="40"/>
      <c r="L278" s="34">
        <f t="shared" si="35"/>
        <v>5.0872891393665201E-4</v>
      </c>
      <c r="M278" s="35">
        <f t="shared" si="36"/>
        <v>1.6994635646573236E-6</v>
      </c>
      <c r="N278" s="44">
        <f t="shared" si="34"/>
        <v>7.4802082273672799E-5</v>
      </c>
      <c r="O278" s="45" t="e">
        <f t="shared" si="37"/>
        <v>#VALUE!</v>
      </c>
      <c r="P278" s="52" t="str">
        <f t="shared" si="38"/>
        <v/>
      </c>
      <c r="Q278" s="53" t="str">
        <f t="shared" si="39"/>
        <v/>
      </c>
      <c r="R278" s="54" t="str">
        <f t="shared" si="40"/>
        <v/>
      </c>
      <c r="S278" s="53" t="str">
        <f t="shared" si="41"/>
        <v/>
      </c>
    </row>
    <row r="279" spans="10:19" x14ac:dyDescent="0.15">
      <c r="J279" s="38">
        <v>270</v>
      </c>
      <c r="K279" s="40"/>
      <c r="L279" s="34">
        <f t="shared" si="35"/>
        <v>5.1042383062323174E-4</v>
      </c>
      <c r="M279" s="35">
        <f t="shared" si="36"/>
        <v>1.69038072081186E-6</v>
      </c>
      <c r="N279" s="44">
        <f t="shared" si="34"/>
        <v>7.4418392240475592E-5</v>
      </c>
      <c r="O279" s="45" t="e">
        <f t="shared" si="37"/>
        <v>#VALUE!</v>
      </c>
      <c r="P279" s="52" t="str">
        <f t="shared" si="38"/>
        <v/>
      </c>
      <c r="Q279" s="53" t="str">
        <f t="shared" si="39"/>
        <v/>
      </c>
      <c r="R279" s="54" t="str">
        <f t="shared" si="40"/>
        <v/>
      </c>
      <c r="S279" s="53" t="str">
        <f t="shared" si="41"/>
        <v/>
      </c>
    </row>
    <row r="280" spans="10:19" x14ac:dyDescent="0.15">
      <c r="J280" s="38">
        <v>271</v>
      </c>
      <c r="K280" s="40"/>
      <c r="L280" s="34">
        <f t="shared" si="35"/>
        <v>5.1210969709839004E-4</v>
      </c>
      <c r="M280" s="35">
        <f t="shared" si="36"/>
        <v>1.6813630375594123E-6</v>
      </c>
      <c r="N280" s="44">
        <f t="shared" si="34"/>
        <v>7.4037310627019111E-5</v>
      </c>
      <c r="O280" s="45" t="e">
        <f t="shared" si="37"/>
        <v>#VALUE!</v>
      </c>
      <c r="P280" s="52" t="str">
        <f t="shared" si="38"/>
        <v/>
      </c>
      <c r="Q280" s="53" t="str">
        <f t="shared" si="39"/>
        <v/>
      </c>
      <c r="R280" s="54" t="str">
        <f t="shared" si="40"/>
        <v/>
      </c>
      <c r="S280" s="53" t="str">
        <f t="shared" si="41"/>
        <v/>
      </c>
    </row>
    <row r="281" spans="10:19" x14ac:dyDescent="0.15">
      <c r="J281" s="38">
        <v>272</v>
      </c>
      <c r="K281" s="40"/>
      <c r="L281" s="34">
        <f t="shared" si="35"/>
        <v>5.1378657821119986E-4</v>
      </c>
      <c r="M281" s="35">
        <f t="shared" si="36"/>
        <v>1.6724098931018211E-6</v>
      </c>
      <c r="N281" s="44">
        <f t="shared" si="34"/>
        <v>7.3658813818363819E-5</v>
      </c>
      <c r="O281" s="45" t="e">
        <f t="shared" si="37"/>
        <v>#VALUE!</v>
      </c>
      <c r="P281" s="52" t="str">
        <f t="shared" si="38"/>
        <v/>
      </c>
      <c r="Q281" s="53" t="str">
        <f t="shared" si="39"/>
        <v/>
      </c>
      <c r="R281" s="54" t="str">
        <f t="shared" si="40"/>
        <v/>
      </c>
      <c r="S281" s="53" t="str">
        <f t="shared" si="41"/>
        <v/>
      </c>
    </row>
    <row r="282" spans="10:19" x14ac:dyDescent="0.15">
      <c r="J282" s="38">
        <v>273</v>
      </c>
      <c r="K282" s="40"/>
      <c r="L282" s="34">
        <f t="shared" si="35"/>
        <v>5.1545453819264457E-4</v>
      </c>
      <c r="M282" s="35">
        <f t="shared" si="36"/>
        <v>1.6635206730401972E-6</v>
      </c>
      <c r="N282" s="44">
        <f t="shared" si="34"/>
        <v>7.3282878466488064E-5</v>
      </c>
      <c r="O282" s="45" t="e">
        <f t="shared" si="37"/>
        <v>#VALUE!</v>
      </c>
      <c r="P282" s="52" t="str">
        <f t="shared" si="38"/>
        <v/>
      </c>
      <c r="Q282" s="53" t="str">
        <f t="shared" si="39"/>
        <v/>
      </c>
      <c r="R282" s="54" t="str">
        <f t="shared" si="40"/>
        <v/>
      </c>
      <c r="S282" s="53" t="str">
        <f t="shared" si="41"/>
        <v/>
      </c>
    </row>
    <row r="283" spans="10:19" x14ac:dyDescent="0.15">
      <c r="J283" s="38">
        <v>274</v>
      </c>
      <c r="K283" s="40"/>
      <c r="L283" s="34">
        <f t="shared" si="35"/>
        <v>5.1711364066296401E-4</v>
      </c>
      <c r="M283" s="35">
        <f t="shared" si="36"/>
        <v>1.6546947702695116E-6</v>
      </c>
      <c r="N283" s="44">
        <f t="shared" si="34"/>
        <v>7.2909481486672163E-5</v>
      </c>
      <c r="O283" s="45" t="e">
        <f t="shared" si="37"/>
        <v>#VALUE!</v>
      </c>
      <c r="P283" s="52" t="str">
        <f t="shared" si="38"/>
        <v/>
      </c>
      <c r="Q283" s="53" t="str">
        <f t="shared" si="39"/>
        <v/>
      </c>
      <c r="R283" s="54" t="str">
        <f t="shared" si="40"/>
        <v/>
      </c>
      <c r="S283" s="53" t="str">
        <f t="shared" si="41"/>
        <v/>
      </c>
    </row>
    <row r="284" spans="10:19" x14ac:dyDescent="0.15">
      <c r="J284" s="38">
        <v>275</v>
      </c>
      <c r="K284" s="40"/>
      <c r="L284" s="34">
        <f t="shared" si="35"/>
        <v>5.1876394863889692E-4</v>
      </c>
      <c r="M284" s="35">
        <f t="shared" si="36"/>
        <v>1.6459315848749325E-6</v>
      </c>
      <c r="N284" s="44">
        <f t="shared" si="34"/>
        <v>7.2538600053938425E-5</v>
      </c>
      <c r="O284" s="45" t="e">
        <f t="shared" si="37"/>
        <v>#VALUE!</v>
      </c>
      <c r="P284" s="52" t="str">
        <f t="shared" si="38"/>
        <v/>
      </c>
      <c r="Q284" s="53" t="str">
        <f t="shared" si="39"/>
        <v/>
      </c>
      <c r="R284" s="54" t="str">
        <f t="shared" si="40"/>
        <v/>
      </c>
      <c r="S284" s="53" t="str">
        <f t="shared" si="41"/>
        <v/>
      </c>
    </row>
    <row r="285" spans="10:19" x14ac:dyDescent="0.15">
      <c r="J285" s="38">
        <v>276</v>
      </c>
      <c r="K285" s="40"/>
      <c r="L285" s="34">
        <f t="shared" si="35"/>
        <v>5.2040552454081946E-4</v>
      </c>
      <c r="M285" s="35">
        <f t="shared" si="36"/>
        <v>1.6372305240298824E-6</v>
      </c>
      <c r="N285" s="44">
        <f t="shared" si="34"/>
        <v>7.2170211599549821E-5</v>
      </c>
      <c r="O285" s="45" t="e">
        <f t="shared" si="37"/>
        <v>#VALUE!</v>
      </c>
      <c r="P285" s="52" t="str">
        <f t="shared" si="38"/>
        <v/>
      </c>
      <c r="Q285" s="53" t="str">
        <f t="shared" si="39"/>
        <v/>
      </c>
      <c r="R285" s="54" t="str">
        <f t="shared" si="40"/>
        <v/>
      </c>
      <c r="S285" s="53" t="str">
        <f t="shared" si="41"/>
        <v/>
      </c>
    </row>
    <row r="286" spans="10:19" x14ac:dyDescent="0.15">
      <c r="J286" s="38">
        <v>277</v>
      </c>
      <c r="K286" s="40"/>
      <c r="L286" s="34">
        <f t="shared" si="35"/>
        <v>5.2203843019978384E-4</v>
      </c>
      <c r="M286" s="35">
        <f t="shared" si="36"/>
        <v>1.6285910018957708E-6</v>
      </c>
      <c r="N286" s="44">
        <f t="shared" si="34"/>
        <v>7.1804293807560819E-5</v>
      </c>
      <c r="O286" s="45" t="e">
        <f t="shared" si="37"/>
        <v>#VALUE!</v>
      </c>
      <c r="P286" s="52" t="str">
        <f t="shared" si="38"/>
        <v/>
      </c>
      <c r="Q286" s="53" t="str">
        <f t="shared" si="39"/>
        <v/>
      </c>
      <c r="R286" s="54" t="str">
        <f t="shared" si="40"/>
        <v/>
      </c>
      <c r="S286" s="53" t="str">
        <f t="shared" si="41"/>
        <v/>
      </c>
    </row>
    <row r="287" spans="10:19" x14ac:dyDescent="0.15">
      <c r="J287" s="38">
        <v>278</v>
      </c>
      <c r="K287" s="40"/>
      <c r="L287" s="34">
        <f t="shared" si="35"/>
        <v>5.2366272686445604E-4</v>
      </c>
      <c r="M287" s="35">
        <f t="shared" si="36"/>
        <v>1.6200124395233851E-6</v>
      </c>
      <c r="N287" s="44">
        <f t="shared" si="34"/>
        <v>7.1440824611425564E-5</v>
      </c>
      <c r="O287" s="45" t="e">
        <f t="shared" si="37"/>
        <v>#VALUE!</v>
      </c>
      <c r="P287" s="52" t="str">
        <f t="shared" si="38"/>
        <v/>
      </c>
      <c r="Q287" s="53" t="str">
        <f t="shared" si="39"/>
        <v/>
      </c>
      <c r="R287" s="54" t="str">
        <f t="shared" si="40"/>
        <v/>
      </c>
      <c r="S287" s="53" t="str">
        <f t="shared" si="41"/>
        <v/>
      </c>
    </row>
    <row r="288" spans="10:19" x14ac:dyDescent="0.15">
      <c r="J288" s="38">
        <v>279</v>
      </c>
      <c r="K288" s="40"/>
      <c r="L288" s="34">
        <f t="shared" si="35"/>
        <v>5.2527847520795774E-4</v>
      </c>
      <c r="M288" s="35">
        <f t="shared" si="36"/>
        <v>1.611494264755894E-6</v>
      </c>
      <c r="N288" s="44">
        <f t="shared" si="34"/>
        <v>7.1079782190654845E-5</v>
      </c>
      <c r="O288" s="45" t="e">
        <f t="shared" si="37"/>
        <v>#VALUE!</v>
      </c>
      <c r="P288" s="52" t="str">
        <f t="shared" si="38"/>
        <v/>
      </c>
      <c r="Q288" s="53" t="str">
        <f t="shared" si="39"/>
        <v/>
      </c>
      <c r="R288" s="54" t="str">
        <f t="shared" si="40"/>
        <v/>
      </c>
      <c r="S288" s="53" t="str">
        <f t="shared" si="41"/>
        <v/>
      </c>
    </row>
    <row r="289" spans="10:19" x14ac:dyDescent="0.15">
      <c r="J289" s="38">
        <v>280</v>
      </c>
      <c r="K289" s="40"/>
      <c r="L289" s="34">
        <f t="shared" si="35"/>
        <v>5.2688573533460955E-4</v>
      </c>
      <c r="M289" s="35">
        <f t="shared" si="36"/>
        <v>1.6030359121334432E-6</v>
      </c>
      <c r="N289" s="44">
        <f t="shared" si="34"/>
        <v>7.0721144967529777E-5</v>
      </c>
      <c r="O289" s="45" t="e">
        <f t="shared" si="37"/>
        <v>#VALUE!</v>
      </c>
      <c r="P289" s="52" t="str">
        <f t="shared" si="38"/>
        <v/>
      </c>
      <c r="Q289" s="53" t="str">
        <f t="shared" si="39"/>
        <v/>
      </c>
      <c r="R289" s="54" t="str">
        <f t="shared" si="40"/>
        <v/>
      </c>
      <c r="S289" s="53" t="str">
        <f t="shared" si="41"/>
        <v/>
      </c>
    </row>
    <row r="290" spans="10:19" x14ac:dyDescent="0.15">
      <c r="J290" s="38">
        <v>281</v>
      </c>
      <c r="K290" s="40"/>
      <c r="L290" s="34">
        <f t="shared" si="35"/>
        <v>5.2848456678658182E-4</v>
      </c>
      <c r="M290" s="35">
        <f t="shared" si="36"/>
        <v>1.5946368227993121E-6</v>
      </c>
      <c r="N290" s="44">
        <f t="shared" si="34"/>
        <v>7.0364891603863933E-5</v>
      </c>
      <c r="O290" s="45" t="e">
        <f t="shared" si="37"/>
        <v>#VALUE!</v>
      </c>
      <c r="P290" s="52" t="str">
        <f t="shared" si="38"/>
        <v/>
      </c>
      <c r="Q290" s="53" t="str">
        <f t="shared" si="39"/>
        <v/>
      </c>
      <c r="R290" s="54" t="str">
        <f t="shared" si="40"/>
        <v/>
      </c>
      <c r="S290" s="53" t="str">
        <f t="shared" si="41"/>
        <v/>
      </c>
    </row>
    <row r="291" spans="10:19" x14ac:dyDescent="0.15">
      <c r="J291" s="38">
        <v>282</v>
      </c>
      <c r="K291" s="40"/>
      <c r="L291" s="34">
        <f t="shared" si="35"/>
        <v>5.3007502855045103E-4</v>
      </c>
      <c r="M291" s="35">
        <f t="shared" si="36"/>
        <v>1.5862964444076007E-6</v>
      </c>
      <c r="N291" s="44">
        <f t="shared" si="34"/>
        <v>7.0011000997815577E-5</v>
      </c>
      <c r="O291" s="45" t="e">
        <f t="shared" si="37"/>
        <v>#VALUE!</v>
      </c>
      <c r="P291" s="52" t="str">
        <f t="shared" si="38"/>
        <v/>
      </c>
      <c r="Q291" s="53" t="str">
        <f t="shared" si="39"/>
        <v/>
      </c>
      <c r="R291" s="54" t="str">
        <f t="shared" si="40"/>
        <v/>
      </c>
      <c r="S291" s="53" t="str">
        <f t="shared" si="41"/>
        <v/>
      </c>
    </row>
    <row r="292" spans="10:19" x14ac:dyDescent="0.15">
      <c r="J292" s="38">
        <v>283</v>
      </c>
      <c r="K292" s="40"/>
      <c r="L292" s="34">
        <f t="shared" si="35"/>
        <v>5.3165717906366542E-4</v>
      </c>
      <c r="M292" s="35">
        <f t="shared" si="36"/>
        <v>1.5780142310324181E-6</v>
      </c>
      <c r="N292" s="44">
        <f t="shared" si="34"/>
        <v>6.9659452280751606E-5</v>
      </c>
      <c r="O292" s="45" t="e">
        <f t="shared" si="37"/>
        <v>#VALUE!</v>
      </c>
      <c r="P292" s="52" t="str">
        <f t="shared" si="38"/>
        <v/>
      </c>
      <c r="Q292" s="53" t="str">
        <f t="shared" si="39"/>
        <v/>
      </c>
      <c r="R292" s="54" t="str">
        <f t="shared" si="40"/>
        <v/>
      </c>
      <c r="S292" s="53" t="str">
        <f t="shared" si="41"/>
        <v/>
      </c>
    </row>
    <row r="293" spans="10:19" x14ac:dyDescent="0.15">
      <c r="J293" s="38">
        <v>284</v>
      </c>
      <c r="K293" s="40"/>
      <c r="L293" s="34">
        <f t="shared" si="35"/>
        <v>5.332310762209202E-4</v>
      </c>
      <c r="M293" s="35">
        <f t="shared" si="36"/>
        <v>1.5697896430785424E-6</v>
      </c>
      <c r="N293" s="44">
        <f t="shared" si="34"/>
        <v>6.9310224814157035E-5</v>
      </c>
      <c r="O293" s="45" t="e">
        <f t="shared" si="37"/>
        <v>#VALUE!</v>
      </c>
      <c r="P293" s="52" t="str">
        <f t="shared" si="38"/>
        <v/>
      </c>
      <c r="Q293" s="53" t="str">
        <f t="shared" si="39"/>
        <v/>
      </c>
      <c r="R293" s="54" t="str">
        <f t="shared" si="40"/>
        <v/>
      </c>
      <c r="S293" s="53" t="str">
        <f t="shared" si="41"/>
        <v/>
      </c>
    </row>
    <row r="294" spans="10:19" x14ac:dyDescent="0.15">
      <c r="J294" s="38">
        <v>285</v>
      </c>
      <c r="K294" s="40"/>
      <c r="L294" s="34">
        <f t="shared" si="35"/>
        <v>5.347967773804438E-4</v>
      </c>
      <c r="M294" s="35">
        <f t="shared" si="36"/>
        <v>1.5616221471935347E-6</v>
      </c>
      <c r="N294" s="44">
        <f t="shared" si="34"/>
        <v>6.8963298186594784E-5</v>
      </c>
      <c r="O294" s="45" t="e">
        <f t="shared" si="37"/>
        <v>#VALUE!</v>
      </c>
      <c r="P294" s="52" t="str">
        <f t="shared" si="38"/>
        <v/>
      </c>
      <c r="Q294" s="53" t="str">
        <f t="shared" si="39"/>
        <v/>
      </c>
      <c r="R294" s="54" t="str">
        <f t="shared" si="40"/>
        <v/>
      </c>
      <c r="S294" s="53" t="str">
        <f t="shared" si="41"/>
        <v/>
      </c>
    </row>
    <row r="295" spans="10:19" x14ac:dyDescent="0.15">
      <c r="J295" s="38">
        <v>286</v>
      </c>
      <c r="K295" s="40"/>
      <c r="L295" s="34">
        <f t="shared" si="35"/>
        <v>5.3635433937019748E-4</v>
      </c>
      <c r="M295" s="35">
        <f t="shared" si="36"/>
        <v>1.5535112161812638E-6</v>
      </c>
      <c r="N295" s="44">
        <f t="shared" si="34"/>
        <v>6.8618652210710785E-5</v>
      </c>
      <c r="O295" s="45" t="e">
        <f t="shared" si="37"/>
        <v>#VALUE!</v>
      </c>
      <c r="P295" s="52" t="str">
        <f t="shared" si="38"/>
        <v/>
      </c>
      <c r="Q295" s="53" t="str">
        <f t="shared" si="39"/>
        <v/>
      </c>
      <c r="R295" s="54" t="str">
        <f t="shared" si="40"/>
        <v/>
      </c>
      <c r="S295" s="53" t="str">
        <f t="shared" si="41"/>
        <v/>
      </c>
    </row>
    <row r="296" spans="10:19" x14ac:dyDescent="0.15">
      <c r="J296" s="38">
        <v>287</v>
      </c>
      <c r="K296" s="40"/>
      <c r="L296" s="34">
        <f t="shared" si="35"/>
        <v>5.379038184939889E-4</v>
      </c>
      <c r="M296" s="35">
        <f t="shared" si="36"/>
        <v>1.5454563289168374E-6</v>
      </c>
      <c r="N296" s="44">
        <f t="shared" si="34"/>
        <v>6.8276266920285497E-5</v>
      </c>
      <c r="O296" s="45" t="e">
        <f t="shared" si="37"/>
        <v>#VALUE!</v>
      </c>
      <c r="P296" s="52" t="str">
        <f t="shared" si="38"/>
        <v/>
      </c>
      <c r="Q296" s="53" t="str">
        <f t="shared" si="39"/>
        <v/>
      </c>
      <c r="R296" s="54" t="str">
        <f t="shared" si="40"/>
        <v/>
      </c>
      <c r="S296" s="53" t="str">
        <f t="shared" si="41"/>
        <v/>
      </c>
    </row>
    <row r="297" spans="10:19" x14ac:dyDescent="0.15">
      <c r="J297" s="38">
        <v>288</v>
      </c>
      <c r="K297" s="40"/>
      <c r="L297" s="34">
        <f t="shared" si="35"/>
        <v>5.3944527053750239E-4</v>
      </c>
      <c r="M297" s="35">
        <f t="shared" si="36"/>
        <v>1.5374569702628876E-6</v>
      </c>
      <c r="N297" s="44">
        <f t="shared" si="34"/>
        <v>6.793612256733052E-5</v>
      </c>
      <c r="O297" s="45" t="e">
        <f t="shared" si="37"/>
        <v>#VALUE!</v>
      </c>
      <c r="P297" s="52" t="str">
        <f t="shared" si="38"/>
        <v/>
      </c>
      <c r="Q297" s="53" t="str">
        <f t="shared" si="39"/>
        <v/>
      </c>
      <c r="R297" s="54" t="str">
        <f t="shared" si="40"/>
        <v/>
      </c>
      <c r="S297" s="53" t="str">
        <f t="shared" si="41"/>
        <v/>
      </c>
    </row>
    <row r="298" spans="10:19" x14ac:dyDescent="0.15">
      <c r="J298" s="38">
        <v>289</v>
      </c>
      <c r="K298" s="40"/>
      <c r="L298" s="34">
        <f t="shared" si="35"/>
        <v>5.4097875077424291E-4</v>
      </c>
      <c r="M298" s="35">
        <f t="shared" si="36"/>
        <v>1.5295126309872118E-6</v>
      </c>
      <c r="N298" s="44">
        <f t="shared" si="34"/>
        <v>6.7598199619230419E-5</v>
      </c>
      <c r="O298" s="45" t="e">
        <f t="shared" si="37"/>
        <v>#VALUE!</v>
      </c>
      <c r="P298" s="52" t="str">
        <f t="shared" si="38"/>
        <v/>
      </c>
      <c r="Q298" s="53" t="str">
        <f t="shared" si="39"/>
        <v/>
      </c>
      <c r="R298" s="54" t="str">
        <f t="shared" si="40"/>
        <v/>
      </c>
      <c r="S298" s="53" t="str">
        <f t="shared" si="41"/>
        <v/>
      </c>
    </row>
    <row r="299" spans="10:19" x14ac:dyDescent="0.15">
      <c r="J299" s="38">
        <v>290</v>
      </c>
      <c r="K299" s="40"/>
      <c r="L299" s="34">
        <f t="shared" si="35"/>
        <v>5.425043139714031E-4</v>
      </c>
      <c r="M299" s="35">
        <f t="shared" si="36"/>
        <v>1.5216228076817245E-6</v>
      </c>
      <c r="N299" s="44">
        <f t="shared" si="34"/>
        <v>6.726247875592662E-5</v>
      </c>
      <c r="O299" s="45" t="e">
        <f t="shared" si="37"/>
        <v>#VALUE!</v>
      </c>
      <c r="P299" s="52" t="str">
        <f t="shared" si="38"/>
        <v/>
      </c>
      <c r="Q299" s="53" t="str">
        <f t="shared" si="39"/>
        <v/>
      </c>
      <c r="R299" s="54" t="str">
        <f t="shared" si="40"/>
        <v/>
      </c>
      <c r="S299" s="53" t="str">
        <f t="shared" si="41"/>
        <v/>
      </c>
    </row>
    <row r="300" spans="10:19" x14ac:dyDescent="0.15">
      <c r="J300" s="38">
        <v>291</v>
      </c>
      <c r="K300" s="40"/>
      <c r="L300" s="34">
        <f t="shared" si="35"/>
        <v>5.4402201439564561E-4</v>
      </c>
      <c r="M300" s="35">
        <f t="shared" si="36"/>
        <v>1.5137870026827084E-6</v>
      </c>
      <c r="N300" s="44">
        <f t="shared" si="34"/>
        <v>6.6928940867145431E-5</v>
      </c>
      <c r="O300" s="45" t="e">
        <f t="shared" si="37"/>
        <v>#VALUE!</v>
      </c>
      <c r="P300" s="52" t="str">
        <f t="shared" si="38"/>
        <v/>
      </c>
      <c r="Q300" s="53" t="str">
        <f t="shared" si="39"/>
        <v/>
      </c>
      <c r="R300" s="54" t="str">
        <f t="shared" si="40"/>
        <v/>
      </c>
      <c r="S300" s="53" t="str">
        <f t="shared" si="41"/>
        <v/>
      </c>
    </row>
    <row r="301" spans="10:19" x14ac:dyDescent="0.15">
      <c r="J301" s="38">
        <v>292</v>
      </c>
      <c r="K301" s="40"/>
      <c r="L301" s="34">
        <f t="shared" si="35"/>
        <v>5.455319058188091E-4</v>
      </c>
      <c r="M301" s="35">
        <f t="shared" si="36"/>
        <v>1.5060047239923348E-6</v>
      </c>
      <c r="N301" s="44">
        <f t="shared" si="34"/>
        <v>6.6597567049668234E-5</v>
      </c>
      <c r="O301" s="45" t="e">
        <f t="shared" si="37"/>
        <v>#VALUE!</v>
      </c>
      <c r="P301" s="52" t="str">
        <f t="shared" si="38"/>
        <v/>
      </c>
      <c r="Q301" s="53" t="str">
        <f t="shared" si="39"/>
        <v/>
      </c>
      <c r="R301" s="54" t="str">
        <f t="shared" si="40"/>
        <v/>
      </c>
      <c r="S301" s="53" t="str">
        <f t="shared" si="41"/>
        <v/>
      </c>
    </row>
    <row r="302" spans="10:19" x14ac:dyDescent="0.15">
      <c r="J302" s="38">
        <v>293</v>
      </c>
      <c r="K302" s="40"/>
      <c r="L302" s="34">
        <f t="shared" si="35"/>
        <v>5.4703404152353532E-4</v>
      </c>
      <c r="M302" s="35">
        <f t="shared" si="36"/>
        <v>1.4982754852014334E-6</v>
      </c>
      <c r="N302" s="44">
        <f t="shared" si="34"/>
        <v>6.6268338604641907E-5</v>
      </c>
      <c r="O302" s="45" t="e">
        <f t="shared" si="37"/>
        <v>#VALUE!</v>
      </c>
      <c r="P302" s="52" t="str">
        <f t="shared" si="38"/>
        <v/>
      </c>
      <c r="Q302" s="53" t="str">
        <f t="shared" si="39"/>
        <v/>
      </c>
      <c r="R302" s="54" t="str">
        <f t="shared" si="40"/>
        <v/>
      </c>
      <c r="S302" s="53" t="str">
        <f t="shared" si="41"/>
        <v/>
      </c>
    </row>
    <row r="303" spans="10:19" x14ac:dyDescent="0.15">
      <c r="J303" s="38">
        <v>294</v>
      </c>
      <c r="K303" s="40"/>
      <c r="L303" s="34">
        <f t="shared" si="35"/>
        <v>5.4852847430881938E-4</v>
      </c>
      <c r="M303" s="35">
        <f t="shared" si="36"/>
        <v>1.4905988054134827E-6</v>
      </c>
      <c r="N303" s="44">
        <f t="shared" si="34"/>
        <v>6.5941237034931204E-5</v>
      </c>
      <c r="O303" s="45" t="e">
        <f t="shared" si="37"/>
        <v>#VALUE!</v>
      </c>
      <c r="P303" s="52" t="str">
        <f t="shared" si="38"/>
        <v/>
      </c>
      <c r="Q303" s="53" t="str">
        <f t="shared" si="39"/>
        <v/>
      </c>
      <c r="R303" s="54" t="str">
        <f t="shared" si="40"/>
        <v/>
      </c>
      <c r="S303" s="53" t="str">
        <f t="shared" si="41"/>
        <v/>
      </c>
    </row>
    <row r="304" spans="10:19" x14ac:dyDescent="0.15">
      <c r="J304" s="38">
        <v>295</v>
      </c>
      <c r="K304" s="40"/>
      <c r="L304" s="34">
        <f t="shared" si="35"/>
        <v>5.5001525649548419E-4</v>
      </c>
      <c r="M304" s="35">
        <f t="shared" si="36"/>
        <v>1.4829742091698114E-6</v>
      </c>
      <c r="N304" s="44">
        <f t="shared" si="34"/>
        <v>6.5616244042511463E-5</v>
      </c>
      <c r="O304" s="45" t="e">
        <f t="shared" si="37"/>
        <v>#VALUE!</v>
      </c>
      <c r="P304" s="52" t="str">
        <f t="shared" si="38"/>
        <v/>
      </c>
      <c r="Q304" s="53" t="str">
        <f t="shared" si="39"/>
        <v/>
      </c>
      <c r="R304" s="54" t="str">
        <f t="shared" si="40"/>
        <v/>
      </c>
      <c r="S304" s="53" t="str">
        <f t="shared" si="41"/>
        <v/>
      </c>
    </row>
    <row r="305" spans="10:19" x14ac:dyDescent="0.15">
      <c r="J305" s="38">
        <v>296</v>
      </c>
      <c r="K305" s="40"/>
      <c r="L305" s="34">
        <f t="shared" si="35"/>
        <v>5.5149443993158338E-4</v>
      </c>
      <c r="M305" s="35">
        <f t="shared" si="36"/>
        <v>1.4754012263759768E-6</v>
      </c>
      <c r="N305" s="44">
        <f t="shared" si="34"/>
        <v>6.5293341525897637E-5</v>
      </c>
      <c r="O305" s="45" t="e">
        <f t="shared" si="37"/>
        <v>#VALUE!</v>
      </c>
      <c r="P305" s="52" t="str">
        <f t="shared" si="38"/>
        <v/>
      </c>
      <c r="Q305" s="53" t="str">
        <f t="shared" si="39"/>
        <v/>
      </c>
      <c r="R305" s="54" t="str">
        <f t="shared" si="40"/>
        <v/>
      </c>
      <c r="S305" s="53" t="str">
        <f t="shared" si="41"/>
        <v/>
      </c>
    </row>
    <row r="306" spans="10:19" x14ac:dyDescent="0.15">
      <c r="J306" s="38">
        <v>297</v>
      </c>
      <c r="K306" s="40"/>
      <c r="L306" s="34">
        <f t="shared" si="35"/>
        <v>5.5296607599772721E-4</v>
      </c>
      <c r="M306" s="35">
        <f t="shared" si="36"/>
        <v>1.4678793922292998E-6</v>
      </c>
      <c r="N306" s="44">
        <f t="shared" si="34"/>
        <v>6.4972511577616153E-5</v>
      </c>
      <c r="O306" s="45" t="e">
        <f t="shared" si="37"/>
        <v>#VALUE!</v>
      </c>
      <c r="P306" s="52" t="str">
        <f t="shared" si="38"/>
        <v/>
      </c>
      <c r="Q306" s="53" t="str">
        <f t="shared" si="39"/>
        <v/>
      </c>
      <c r="R306" s="54" t="str">
        <f t="shared" si="40"/>
        <v/>
      </c>
      <c r="S306" s="53" t="str">
        <f t="shared" si="41"/>
        <v/>
      </c>
    </row>
    <row r="307" spans="10:19" x14ac:dyDescent="0.15">
      <c r="J307" s="38">
        <v>298</v>
      </c>
      <c r="K307" s="40"/>
      <c r="L307" s="34">
        <f t="shared" si="35"/>
        <v>5.5443021561233979E-4</v>
      </c>
      <c r="M307" s="35">
        <f t="shared" si="36"/>
        <v>1.4604082471475489E-6</v>
      </c>
      <c r="N307" s="44">
        <f t="shared" si="34"/>
        <v>6.4653736481711465E-5</v>
      </c>
      <c r="O307" s="45" t="e">
        <f t="shared" si="37"/>
        <v>#VALUE!</v>
      </c>
      <c r="P307" s="52" t="str">
        <f t="shared" si="38"/>
        <v/>
      </c>
      <c r="Q307" s="53" t="str">
        <f t="shared" si="39"/>
        <v/>
      </c>
      <c r="R307" s="54" t="str">
        <f t="shared" si="40"/>
        <v/>
      </c>
      <c r="S307" s="53" t="str">
        <f t="shared" si="41"/>
        <v/>
      </c>
    </row>
    <row r="308" spans="10:19" x14ac:dyDescent="0.15">
      <c r="J308" s="38">
        <v>299</v>
      </c>
      <c r="K308" s="40"/>
      <c r="L308" s="34">
        <f t="shared" si="35"/>
        <v>5.5588690923684349E-4</v>
      </c>
      <c r="M308" s="35">
        <f t="shared" si="36"/>
        <v>1.4529873366987341E-6</v>
      </c>
      <c r="N308" s="44">
        <f t="shared" si="34"/>
        <v>6.4336998711292176E-5</v>
      </c>
      <c r="O308" s="45" t="e">
        <f t="shared" si="37"/>
        <v>#VALUE!</v>
      </c>
      <c r="P308" s="52" t="str">
        <f t="shared" si="38"/>
        <v/>
      </c>
      <c r="Q308" s="53" t="str">
        <f t="shared" si="39"/>
        <v/>
      </c>
      <c r="R308" s="54" t="str">
        <f t="shared" si="40"/>
        <v/>
      </c>
      <c r="S308" s="53" t="str">
        <f t="shared" si="41"/>
        <v/>
      </c>
    </row>
    <row r="309" spans="10:19" x14ac:dyDescent="0.15">
      <c r="J309" s="38">
        <v>300</v>
      </c>
      <c r="K309" s="75">
        <f>B24</f>
        <v>7.6624129999999996E-4</v>
      </c>
      <c r="L309" s="34">
        <f t="shared" si="35"/>
        <v>5.573362068807755E-4</v>
      </c>
      <c r="M309" s="35">
        <f t="shared" si="36"/>
        <v>1.4456162115320043E-6</v>
      </c>
      <c r="N309" s="44">
        <f t="shared" si="34"/>
        <v>6.4022280926111209E-5</v>
      </c>
      <c r="O309" s="45" t="e">
        <f t="shared" si="37"/>
        <v>#VALUE!</v>
      </c>
      <c r="P309" s="52" t="str">
        <f t="shared" si="38"/>
        <v/>
      </c>
      <c r="Q309" s="53" t="str">
        <f t="shared" si="39"/>
        <v/>
      </c>
      <c r="R309" s="54" t="str">
        <f t="shared" si="40"/>
        <v/>
      </c>
      <c r="S309" s="53" t="str">
        <f t="shared" si="41"/>
        <v/>
      </c>
    </row>
    <row r="310" spans="10:19" x14ac:dyDescent="0.15">
      <c r="J310" s="38">
        <v>301</v>
      </c>
      <c r="K310" s="40"/>
      <c r="L310" s="34">
        <f t="shared" si="35"/>
        <v>5.5877815810683406E-4</v>
      </c>
      <c r="M310" s="35">
        <f t="shared" si="36"/>
        <v>1.4382944273096224E-6</v>
      </c>
      <c r="N310" s="44">
        <f t="shared" si="34"/>
        <v>6.3709565970184899E-5</v>
      </c>
      <c r="O310" s="45" t="e">
        <f t="shared" si="37"/>
        <v>#VALUE!</v>
      </c>
      <c r="P310" s="52" t="str">
        <f t="shared" si="38"/>
        <v/>
      </c>
      <c r="Q310" s="53" t="str">
        <f t="shared" si="39"/>
        <v/>
      </c>
      <c r="R310" s="54" t="str">
        <f t="shared" si="40"/>
        <v/>
      </c>
      <c r="S310" s="53" t="str">
        <f t="shared" si="41"/>
        <v/>
      </c>
    </row>
    <row r="311" spans="10:19" x14ac:dyDescent="0.15">
      <c r="J311" s="38">
        <v>302</v>
      </c>
      <c r="K311" s="40"/>
      <c r="L311" s="34">
        <f t="shared" si="35"/>
        <v>5.6021281203585819E-4</v>
      </c>
      <c r="M311" s="35">
        <f t="shared" si="36"/>
        <v>1.4310215446400024E-6</v>
      </c>
      <c r="N311" s="44">
        <f t="shared" si="34"/>
        <v>6.3398836869445587E-5</v>
      </c>
      <c r="O311" s="45" t="e">
        <f t="shared" si="37"/>
        <v>#VALUE!</v>
      </c>
      <c r="P311" s="52" t="str">
        <f t="shared" si="38"/>
        <v/>
      </c>
      <c r="Q311" s="53" t="str">
        <f t="shared" si="39"/>
        <v/>
      </c>
      <c r="R311" s="54" t="str">
        <f t="shared" si="40"/>
        <v/>
      </c>
      <c r="S311" s="53" t="str">
        <f t="shared" si="41"/>
        <v/>
      </c>
    </row>
    <row r="312" spans="10:19" x14ac:dyDescent="0.15">
      <c r="J312" s="38">
        <v>303</v>
      </c>
      <c r="K312" s="40"/>
      <c r="L312" s="34">
        <f t="shared" si="35"/>
        <v>5.6164021735174107E-4</v>
      </c>
      <c r="M312" s="35">
        <f t="shared" si="36"/>
        <v>1.4237971290117861E-6</v>
      </c>
      <c r="N312" s="44">
        <f t="shared" si="34"/>
        <v>6.3090076829429667E-5</v>
      </c>
      <c r="O312" s="45" t="e">
        <f t="shared" si="37"/>
        <v>#VALUE!</v>
      </c>
      <c r="P312" s="52" t="str">
        <f t="shared" si="38"/>
        <v/>
      </c>
      <c r="Q312" s="53" t="str">
        <f t="shared" si="39"/>
        <v/>
      </c>
      <c r="R312" s="54" t="str">
        <f t="shared" si="40"/>
        <v/>
      </c>
      <c r="S312" s="53" t="str">
        <f t="shared" si="41"/>
        <v/>
      </c>
    </row>
    <row r="313" spans="10:19" x14ac:dyDescent="0.15">
      <c r="J313" s="38">
        <v>304</v>
      </c>
      <c r="K313" s="40"/>
      <c r="L313" s="34">
        <f t="shared" si="35"/>
        <v>5.6306042230627729E-4</v>
      </c>
      <c r="M313" s="35">
        <f t="shared" si="36"/>
        <v>1.4166207507289409E-6</v>
      </c>
      <c r="N313" s="44">
        <f t="shared" si="34"/>
        <v>6.2783269233000869E-5</v>
      </c>
      <c r="O313" s="45" t="e">
        <f t="shared" si="37"/>
        <v>#VALUE!</v>
      </c>
      <c r="P313" s="52" t="str">
        <f t="shared" si="38"/>
        <v/>
      </c>
      <c r="Q313" s="53" t="str">
        <f t="shared" si="39"/>
        <v/>
      </c>
      <c r="R313" s="54" t="str">
        <f t="shared" si="40"/>
        <v/>
      </c>
      <c r="S313" s="53" t="str">
        <f t="shared" si="41"/>
        <v/>
      </c>
    </row>
    <row r="314" spans="10:19" x14ac:dyDescent="0.15">
      <c r="J314" s="38">
        <v>305</v>
      </c>
      <c r="K314" s="40"/>
      <c r="L314" s="34">
        <f t="shared" si="35"/>
        <v>5.6447347472394712E-4</v>
      </c>
      <c r="M314" s="35">
        <f t="shared" si="36"/>
        <v>1.4094919848468673E-6</v>
      </c>
      <c r="N314" s="44">
        <f t="shared" si="34"/>
        <v>6.2478397638103794E-5</v>
      </c>
      <c r="O314" s="45" t="e">
        <f t="shared" si="37"/>
        <v>#VALUE!</v>
      </c>
      <c r="P314" s="52" t="str">
        <f t="shared" si="38"/>
        <v/>
      </c>
      <c r="Q314" s="53" t="str">
        <f t="shared" si="39"/>
        <v/>
      </c>
      <c r="R314" s="54" t="str">
        <f t="shared" si="40"/>
        <v/>
      </c>
      <c r="S314" s="53" t="str">
        <f t="shared" si="41"/>
        <v/>
      </c>
    </row>
    <row r="315" spans="10:19" x14ac:dyDescent="0.15">
      <c r="J315" s="38">
        <v>306</v>
      </c>
      <c r="K315" s="40"/>
      <c r="L315" s="34">
        <f t="shared" si="35"/>
        <v>5.6587942200663453E-4</v>
      </c>
      <c r="M315" s="35">
        <f t="shared" si="36"/>
        <v>1.4024104111094884E-6</v>
      </c>
      <c r="N315" s="44">
        <f t="shared" si="34"/>
        <v>6.2175445775555717E-5</v>
      </c>
      <c r="O315" s="45" t="e">
        <f t="shared" si="37"/>
        <v>#VALUE!</v>
      </c>
      <c r="P315" s="52" t="str">
        <f t="shared" si="38"/>
        <v/>
      </c>
      <c r="Q315" s="53" t="str">
        <f t="shared" si="39"/>
        <v/>
      </c>
      <c r="R315" s="54" t="str">
        <f t="shared" si="40"/>
        <v/>
      </c>
      <c r="S315" s="53" t="str">
        <f t="shared" si="41"/>
        <v/>
      </c>
    </row>
    <row r="316" spans="10:19" x14ac:dyDescent="0.15">
      <c r="J316" s="38">
        <v>307</v>
      </c>
      <c r="K316" s="40"/>
      <c r="L316" s="34">
        <f t="shared" si="35"/>
        <v>5.6727831113828695E-4</v>
      </c>
      <c r="M316" s="35">
        <f t="shared" si="36"/>
        <v>1.3953756138873108E-6</v>
      </c>
      <c r="N316" s="44">
        <f t="shared" si="34"/>
        <v>6.1874397546865935E-5</v>
      </c>
      <c r="O316" s="45" t="e">
        <f t="shared" si="37"/>
        <v>#VALUE!</v>
      </c>
      <c r="P316" s="52" t="str">
        <f t="shared" si="38"/>
        <v/>
      </c>
      <c r="Q316" s="53" t="str">
        <f t="shared" si="39"/>
        <v/>
      </c>
      <c r="R316" s="54" t="str">
        <f t="shared" si="40"/>
        <v/>
      </c>
      <c r="S316" s="53" t="str">
        <f t="shared" si="41"/>
        <v/>
      </c>
    </row>
    <row r="317" spans="10:19" x14ac:dyDescent="0.15">
      <c r="J317" s="38">
        <v>308</v>
      </c>
      <c r="K317" s="40"/>
      <c r="L317" s="34">
        <f t="shared" si="35"/>
        <v>5.6867018868950962E-4</v>
      </c>
      <c r="M317" s="35">
        <f t="shared" si="36"/>
        <v>1.3883871821164412E-6</v>
      </c>
      <c r="N317" s="44">
        <f t="shared" si="34"/>
        <v>6.1575237022090234E-5</v>
      </c>
      <c r="O317" s="45" t="e">
        <f t="shared" si="37"/>
        <v>#VALUE!</v>
      </c>
      <c r="P317" s="52" t="str">
        <f t="shared" si="38"/>
        <v/>
      </c>
      <c r="Q317" s="53" t="str">
        <f t="shared" si="39"/>
        <v/>
      </c>
      <c r="R317" s="54" t="str">
        <f t="shared" si="40"/>
        <v/>
      </c>
      <c r="S317" s="53" t="str">
        <f t="shared" si="41"/>
        <v/>
      </c>
    </row>
    <row r="318" spans="10:19" x14ac:dyDescent="0.15">
      <c r="J318" s="38">
        <v>309</v>
      </c>
      <c r="K318" s="40"/>
      <c r="L318" s="34">
        <f t="shared" si="35"/>
        <v>5.7005510082210151E-4</v>
      </c>
      <c r="M318" s="35">
        <f t="shared" si="36"/>
        <v>1.3814447092385316E-6</v>
      </c>
      <c r="N318" s="44">
        <f t="shared" si="34"/>
        <v>6.1277948437716808E-5</v>
      </c>
      <c r="O318" s="45" t="e">
        <f t="shared" si="37"/>
        <v>#VALUE!</v>
      </c>
      <c r="P318" s="52" t="str">
        <f t="shared" si="38"/>
        <v/>
      </c>
      <c r="Q318" s="53" t="str">
        <f t="shared" si="39"/>
        <v/>
      </c>
      <c r="R318" s="54" t="str">
        <f t="shared" si="40"/>
        <v/>
      </c>
      <c r="S318" s="53" t="str">
        <f t="shared" si="41"/>
        <v/>
      </c>
    </row>
    <row r="319" spans="10:19" x14ac:dyDescent="0.15">
      <c r="J319" s="38">
        <v>310</v>
      </c>
      <c r="K319" s="40"/>
      <c r="L319" s="34">
        <f t="shared" si="35"/>
        <v>5.7143309329353163E-4</v>
      </c>
      <c r="M319" s="35">
        <f t="shared" si="36"/>
        <v>1.3745477931416516E-6</v>
      </c>
      <c r="N319" s="44">
        <f t="shared" si="34"/>
        <v>6.0982516194579926E-5</v>
      </c>
      <c r="O319" s="45" t="e">
        <f t="shared" si="37"/>
        <v>#VALUE!</v>
      </c>
      <c r="P319" s="52" t="str">
        <f t="shared" si="38"/>
        <v/>
      </c>
      <c r="Q319" s="53" t="str">
        <f t="shared" si="39"/>
        <v/>
      </c>
      <c r="R319" s="54" t="str">
        <f t="shared" si="40"/>
        <v/>
      </c>
      <c r="S319" s="53" t="str">
        <f t="shared" si="41"/>
        <v/>
      </c>
    </row>
    <row r="320" spans="10:19" x14ac:dyDescent="0.15">
      <c r="J320" s="38">
        <v>311</v>
      </c>
      <c r="K320" s="40"/>
      <c r="L320" s="34">
        <f t="shared" si="35"/>
        <v>5.728042114613558E-4</v>
      </c>
      <c r="M320" s="35">
        <f t="shared" si="36"/>
        <v>1.3676960361020582E-6</v>
      </c>
      <c r="N320" s="44">
        <f t="shared" si="34"/>
        <v>6.0688924855808622E-5</v>
      </c>
      <c r="O320" s="45" t="e">
        <f t="shared" si="37"/>
        <v>#VALUE!</v>
      </c>
      <c r="P320" s="52" t="str">
        <f t="shared" si="38"/>
        <v/>
      </c>
      <c r="Q320" s="53" t="str">
        <f t="shared" si="39"/>
        <v/>
      </c>
      <c r="R320" s="54" t="str">
        <f t="shared" si="40"/>
        <v/>
      </c>
      <c r="S320" s="53" t="str">
        <f t="shared" si="41"/>
        <v/>
      </c>
    </row>
    <row r="321" spans="10:19" x14ac:dyDescent="0.15">
      <c r="J321" s="38">
        <v>312</v>
      </c>
      <c r="K321" s="40"/>
      <c r="L321" s="34">
        <f t="shared" si="35"/>
        <v>5.7416850028757646E-4</v>
      </c>
      <c r="M321" s="35">
        <f t="shared" si="36"/>
        <v>1.3608890447268581E-6</v>
      </c>
      <c r="N321" s="44">
        <f t="shared" si="34"/>
        <v>6.0397159144800973E-5</v>
      </c>
      <c r="O321" s="45" t="e">
        <f t="shared" si="37"/>
        <v>#VALUE!</v>
      </c>
      <c r="P321" s="52" t="str">
        <f t="shared" si="38"/>
        <v/>
      </c>
      <c r="Q321" s="53" t="str">
        <f t="shared" si="39"/>
        <v/>
      </c>
      <c r="R321" s="54" t="str">
        <f t="shared" si="40"/>
        <v/>
      </c>
      <c r="S321" s="53" t="str">
        <f t="shared" si="41"/>
        <v/>
      </c>
    </row>
    <row r="322" spans="10:19" x14ac:dyDescent="0.15">
      <c r="J322" s="38">
        <v>313</v>
      </c>
      <c r="K322" s="40"/>
      <c r="L322" s="34">
        <f t="shared" si="35"/>
        <v>5.7552600434294455E-4</v>
      </c>
      <c r="M322" s="35">
        <f t="shared" si="36"/>
        <v>1.3541264298975387E-6</v>
      </c>
      <c r="N322" s="44">
        <f t="shared" si="34"/>
        <v>6.0107203943231225E-5</v>
      </c>
      <c r="O322" s="45" t="e">
        <f t="shared" si="37"/>
        <v>#VALUE!</v>
      </c>
      <c r="P322" s="52" t="str">
        <f t="shared" si="38"/>
        <v/>
      </c>
      <c r="Q322" s="53" t="str">
        <f t="shared" si="39"/>
        <v/>
      </c>
      <c r="R322" s="54" t="str">
        <f t="shared" si="40"/>
        <v/>
      </c>
      <c r="S322" s="53" t="str">
        <f t="shared" si="41"/>
        <v/>
      </c>
    </row>
    <row r="323" spans="10:19" x14ac:dyDescent="0.15">
      <c r="J323" s="38">
        <v>314</v>
      </c>
      <c r="K323" s="40"/>
      <c r="L323" s="34">
        <f t="shared" si="35"/>
        <v>5.7687676781120712E-4</v>
      </c>
      <c r="M323" s="35">
        <f t="shared" si="36"/>
        <v>1.3474078067143558E-6</v>
      </c>
      <c r="N323" s="44">
        <f t="shared" si="34"/>
        <v>5.9819044289083378E-5</v>
      </c>
      <c r="O323" s="45" t="e">
        <f t="shared" si="37"/>
        <v>#VALUE!</v>
      </c>
      <c r="P323" s="52" t="str">
        <f t="shared" si="38"/>
        <v/>
      </c>
      <c r="Q323" s="53" t="str">
        <f t="shared" si="39"/>
        <v/>
      </c>
      <c r="R323" s="54" t="str">
        <f t="shared" si="40"/>
        <v/>
      </c>
      <c r="S323" s="53" t="str">
        <f t="shared" si="41"/>
        <v/>
      </c>
    </row>
    <row r="324" spans="10:19" x14ac:dyDescent="0.15">
      <c r="J324" s="38">
        <v>315</v>
      </c>
      <c r="K324" s="40"/>
      <c r="L324" s="34">
        <f t="shared" si="35"/>
        <v>5.7822083449329776E-4</v>
      </c>
      <c r="M324" s="35">
        <f t="shared" si="36"/>
        <v>1.3407327944415698E-6</v>
      </c>
      <c r="N324" s="44">
        <f t="shared" si="34"/>
        <v>5.9532665374714146E-5</v>
      </c>
      <c r="O324" s="45" t="e">
        <f t="shared" si="37"/>
        <v>#VALUE!</v>
      </c>
      <c r="P324" s="52" t="str">
        <f t="shared" si="38"/>
        <v/>
      </c>
      <c r="Q324" s="53" t="str">
        <f t="shared" si="39"/>
        <v/>
      </c>
      <c r="R324" s="54" t="str">
        <f t="shared" si="40"/>
        <v/>
      </c>
      <c r="S324" s="53" t="str">
        <f t="shared" si="41"/>
        <v/>
      </c>
    </row>
    <row r="325" spans="10:19" x14ac:dyDescent="0.15">
      <c r="J325" s="38">
        <v>316</v>
      </c>
      <c r="K325" s="40"/>
      <c r="L325" s="34">
        <f t="shared" si="35"/>
        <v>5.7955824781147347E-4</v>
      </c>
      <c r="M325" s="35">
        <f t="shared" si="36"/>
        <v>1.3341010164534995E-6</v>
      </c>
      <c r="N325" s="44">
        <f t="shared" si="34"/>
        <v>5.9248052544945309E-5</v>
      </c>
      <c r="O325" s="45" t="e">
        <f t="shared" si="37"/>
        <v>#VALUE!</v>
      </c>
      <c r="P325" s="52" t="str">
        <f t="shared" si="38"/>
        <v/>
      </c>
      <c r="Q325" s="53" t="str">
        <f t="shared" si="39"/>
        <v/>
      </c>
      <c r="R325" s="54" t="str">
        <f t="shared" si="40"/>
        <v/>
      </c>
      <c r="S325" s="53" t="str">
        <f t="shared" si="41"/>
        <v/>
      </c>
    </row>
    <row r="326" spans="10:19" x14ac:dyDescent="0.15">
      <c r="J326" s="38">
        <v>317</v>
      </c>
      <c r="K326" s="40"/>
      <c r="L326" s="34">
        <f t="shared" si="35"/>
        <v>5.8088905081339897E-4</v>
      </c>
      <c r="M326" s="35">
        <f t="shared" si="36"/>
        <v>1.3275121001813991E-6</v>
      </c>
      <c r="N326" s="44">
        <f t="shared" si="34"/>
        <v>5.8965191295179799E-5</v>
      </c>
      <c r="O326" s="45" t="e">
        <f t="shared" si="37"/>
        <v>#VALUE!</v>
      </c>
      <c r="P326" s="52" t="str">
        <f t="shared" si="38"/>
        <v/>
      </c>
      <c r="Q326" s="53" t="str">
        <f t="shared" si="39"/>
        <v/>
      </c>
      <c r="R326" s="54" t="str">
        <f t="shared" si="40"/>
        <v/>
      </c>
      <c r="S326" s="53" t="str">
        <f t="shared" si="41"/>
        <v/>
      </c>
    </row>
    <row r="327" spans="10:19" x14ac:dyDescent="0.15">
      <c r="J327" s="38">
        <v>318</v>
      </c>
      <c r="K327" s="40"/>
      <c r="L327" s="34">
        <f t="shared" si="35"/>
        <v>5.8221328617617633E-4</v>
      </c>
      <c r="M327" s="35">
        <f t="shared" si="36"/>
        <v>1.3209656770611279E-6</v>
      </c>
      <c r="N327" s="44">
        <f t="shared" si="34"/>
        <v>5.8684067269550318E-5</v>
      </c>
      <c r="O327" s="45" t="e">
        <f t="shared" si="37"/>
        <v>#VALUE!</v>
      </c>
      <c r="P327" s="52" t="str">
        <f t="shared" si="38"/>
        <v/>
      </c>
      <c r="Q327" s="53" t="str">
        <f t="shared" si="39"/>
        <v/>
      </c>
      <c r="R327" s="54" t="str">
        <f t="shared" si="40"/>
        <v/>
      </c>
      <c r="S327" s="53" t="str">
        <f t="shared" si="41"/>
        <v/>
      </c>
    </row>
    <row r="328" spans="10:19" x14ac:dyDescent="0.15">
      <c r="J328" s="38">
        <v>319</v>
      </c>
      <c r="K328" s="40"/>
      <c r="L328" s="34">
        <f t="shared" si="35"/>
        <v>5.8353099621032481E-4</v>
      </c>
      <c r="M328" s="35">
        <f t="shared" si="36"/>
        <v>1.3144613824816091E-6</v>
      </c>
      <c r="N328" s="44">
        <f t="shared" si="34"/>
        <v>5.8404666259088121E-5</v>
      </c>
      <c r="O328" s="45" t="e">
        <f t="shared" si="37"/>
        <v>#VALUE!</v>
      </c>
      <c r="P328" s="52" t="str">
        <f t="shared" si="38"/>
        <v/>
      </c>
      <c r="Q328" s="53" t="str">
        <f t="shared" si="39"/>
        <v/>
      </c>
      <c r="R328" s="54" t="str">
        <f t="shared" si="40"/>
        <v/>
      </c>
      <c r="S328" s="53" t="str">
        <f t="shared" si="41"/>
        <v/>
      </c>
    </row>
    <row r="329" spans="10:19" x14ac:dyDescent="0.15">
      <c r="J329" s="38">
        <v>320</v>
      </c>
      <c r="K329" s="40"/>
      <c r="L329" s="34">
        <f t="shared" si="35"/>
        <v>5.8484222286370733E-4</v>
      </c>
      <c r="M329" s="35">
        <f t="shared" si="36"/>
        <v>1.3079988557340606E-6</v>
      </c>
      <c r="N329" s="44">
        <f t="shared" ref="N329:N392" si="42">(L379-L329)</f>
        <v>5.8126974199924106E-5</v>
      </c>
      <c r="O329" s="45" t="e">
        <f t="shared" si="37"/>
        <v>#VALUE!</v>
      </c>
      <c r="P329" s="52" t="str">
        <f t="shared" si="38"/>
        <v/>
      </c>
      <c r="Q329" s="53" t="str">
        <f t="shared" si="39"/>
        <v/>
      </c>
      <c r="R329" s="54" t="str">
        <f t="shared" si="40"/>
        <v/>
      </c>
      <c r="S329" s="53" t="str">
        <f t="shared" si="41"/>
        <v/>
      </c>
    </row>
    <row r="330" spans="10:19" x14ac:dyDescent="0.15">
      <c r="J330" s="38">
        <v>321</v>
      </c>
      <c r="K330" s="40"/>
      <c r="L330" s="34">
        <f t="shared" ref="L330:L393" si="43">$F$39*((1-$F$40*J330)/(1+$F$41*J330))*(J330-$F$42)</f>
        <v>5.8614700772540915E-4</v>
      </c>
      <c r="M330" s="35">
        <f t="shared" ref="M330:M393" si="44">$F$39*((1-2*$F$40*J330-$F$40*$F$41*(J330^2)+($F$41+$F$40)*$F$42)/(1+$F$41*J330)^2)</f>
        <v>1.3015777399619834E-6</v>
      </c>
      <c r="N330" s="44">
        <f t="shared" si="42"/>
        <v>5.7850977171510832E-5</v>
      </c>
      <c r="O330" s="45" t="e">
        <f t="shared" ref="O330:O393" si="45">IF(N330&lt;=$B$49,1+O329,0)</f>
        <v>#VALUE!</v>
      </c>
      <c r="P330" s="52" t="str">
        <f t="shared" ref="P330:P393" si="46">IF(J330&lt;=$F$42,J330,"")</f>
        <v/>
      </c>
      <c r="Q330" s="53" t="str">
        <f t="shared" ref="Q330:Q393" si="47">IF(J330&lt;=$F$42,L330,"")</f>
        <v/>
      </c>
      <c r="R330" s="54" t="str">
        <f t="shared" ref="R330:R393" si="48">IF(AND(J330&gt;=$F$42,J330&lt;=200),J330,"")</f>
        <v/>
      </c>
      <c r="S330" s="53" t="str">
        <f t="shared" ref="S330:S393" si="49">IF(AND(J330&gt;=$F$42,J330&lt;=200),L330,"")</f>
        <v/>
      </c>
    </row>
    <row r="331" spans="10:19" x14ac:dyDescent="0.15">
      <c r="J331" s="38">
        <v>322</v>
      </c>
      <c r="K331" s="40"/>
      <c r="L331" s="34">
        <f t="shared" si="43"/>
        <v>5.8744539202956368E-4</v>
      </c>
      <c r="M331" s="35">
        <f t="shared" si="44"/>
        <v>1.2951976821118979E-6</v>
      </c>
      <c r="N331" s="44">
        <f t="shared" si="42"/>
        <v>5.7576661394873811E-5</v>
      </c>
      <c r="O331" s="45" t="e">
        <f t="shared" si="45"/>
        <v>#VALUE!</v>
      </c>
      <c r="P331" s="52" t="str">
        <f t="shared" si="46"/>
        <v/>
      </c>
      <c r="Q331" s="53" t="str">
        <f t="shared" si="47"/>
        <v/>
      </c>
      <c r="R331" s="54" t="str">
        <f t="shared" si="48"/>
        <v/>
      </c>
      <c r="S331" s="53" t="str">
        <f t="shared" si="49"/>
        <v/>
      </c>
    </row>
    <row r="332" spans="10:19" x14ac:dyDescent="0.15">
      <c r="J332" s="38">
        <v>323</v>
      </c>
      <c r="K332" s="40"/>
      <c r="L332" s="34">
        <f t="shared" si="43"/>
        <v>5.8873741665913264E-4</v>
      </c>
      <c r="M332" s="35">
        <f t="shared" si="44"/>
        <v>1.2888583328848116E-6</v>
      </c>
      <c r="N332" s="44">
        <f t="shared" si="42"/>
        <v>5.7304013230884045E-5</v>
      </c>
      <c r="O332" s="45" t="e">
        <f t="shared" si="45"/>
        <v>#VALUE!</v>
      </c>
      <c r="P332" s="52" t="str">
        <f t="shared" si="46"/>
        <v/>
      </c>
      <c r="Q332" s="53" t="str">
        <f t="shared" si="47"/>
        <v/>
      </c>
      <c r="R332" s="54" t="str">
        <f t="shared" si="48"/>
        <v/>
      </c>
      <c r="S332" s="53" t="str">
        <f t="shared" si="49"/>
        <v/>
      </c>
    </row>
    <row r="333" spans="10:19" x14ac:dyDescent="0.15">
      <c r="J333" s="38">
        <v>324</v>
      </c>
      <c r="K333" s="40"/>
      <c r="L333" s="34">
        <f t="shared" si="43"/>
        <v>5.9002312214963618E-4</v>
      </c>
      <c r="M333" s="35">
        <f t="shared" si="44"/>
        <v>1.2825593466884103E-6</v>
      </c>
      <c r="N333" s="44">
        <f t="shared" si="42"/>
        <v>5.7033019178557784E-5</v>
      </c>
      <c r="O333" s="45" t="e">
        <f t="shared" si="45"/>
        <v>#VALUE!</v>
      </c>
      <c r="P333" s="52" t="str">
        <f t="shared" si="46"/>
        <v/>
      </c>
      <c r="Q333" s="53" t="str">
        <f t="shared" si="47"/>
        <v/>
      </c>
      <c r="R333" s="54" t="str">
        <f t="shared" si="48"/>
        <v/>
      </c>
      <c r="S333" s="53" t="str">
        <f t="shared" si="49"/>
        <v/>
      </c>
    </row>
    <row r="334" spans="10:19" x14ac:dyDescent="0.15">
      <c r="J334" s="38">
        <v>325</v>
      </c>
      <c r="K334" s="40"/>
      <c r="L334" s="34">
        <f t="shared" si="43"/>
        <v>5.9130254869283535E-4</v>
      </c>
      <c r="M334" s="35">
        <f t="shared" si="44"/>
        <v>1.2763003815899563E-6</v>
      </c>
      <c r="N334" s="44">
        <f t="shared" si="42"/>
        <v>5.6763665873379803E-5</v>
      </c>
      <c r="O334" s="45" t="e">
        <f t="shared" si="45"/>
        <v>#VALUE!</v>
      </c>
      <c r="P334" s="52" t="str">
        <f t="shared" si="46"/>
        <v/>
      </c>
      <c r="Q334" s="53" t="str">
        <f t="shared" si="47"/>
        <v/>
      </c>
      <c r="R334" s="54" t="str">
        <f t="shared" si="48"/>
        <v/>
      </c>
      <c r="S334" s="53" t="str">
        <f t="shared" si="49"/>
        <v/>
      </c>
    </row>
    <row r="335" spans="10:19" x14ac:dyDescent="0.15">
      <c r="J335" s="38">
        <v>326</v>
      </c>
      <c r="K335" s="40"/>
      <c r="L335" s="34">
        <f t="shared" si="43"/>
        <v>5.9257573614036928E-4</v>
      </c>
      <c r="M335" s="35">
        <f t="shared" si="44"/>
        <v>1.2700810992698851E-6</v>
      </c>
      <c r="N335" s="44">
        <f t="shared" si="42"/>
        <v>5.6495940085649239E-5</v>
      </c>
      <c r="O335" s="45" t="e">
        <f t="shared" si="45"/>
        <v>#VALUE!</v>
      </c>
      <c r="P335" s="52" t="str">
        <f t="shared" si="46"/>
        <v/>
      </c>
      <c r="Q335" s="53" t="str">
        <f t="shared" si="47"/>
        <v/>
      </c>
      <c r="R335" s="54" t="str">
        <f t="shared" si="48"/>
        <v/>
      </c>
      <c r="S335" s="53" t="str">
        <f t="shared" si="49"/>
        <v/>
      </c>
    </row>
    <row r="336" spans="10:19" x14ac:dyDescent="0.15">
      <c r="J336" s="38">
        <v>327</v>
      </c>
      <c r="K336" s="40"/>
      <c r="L336" s="34">
        <f t="shared" si="43"/>
        <v>5.9384272400734466E-4</v>
      </c>
      <c r="M336" s="35">
        <f t="shared" si="44"/>
        <v>1.2639011649760827E-6</v>
      </c>
      <c r="N336" s="44">
        <f t="shared" si="42"/>
        <v>5.622982871885025E-5</v>
      </c>
      <c r="O336" s="45" t="e">
        <f t="shared" si="45"/>
        <v>#VALUE!</v>
      </c>
      <c r="P336" s="52" t="str">
        <f t="shared" si="46"/>
        <v/>
      </c>
      <c r="Q336" s="53" t="str">
        <f t="shared" si="47"/>
        <v/>
      </c>
      <c r="R336" s="54" t="str">
        <f t="shared" si="48"/>
        <v/>
      </c>
      <c r="S336" s="53" t="str">
        <f t="shared" si="49"/>
        <v/>
      </c>
    </row>
    <row r="337" spans="10:19" x14ac:dyDescent="0.15">
      <c r="J337" s="38">
        <v>328</v>
      </c>
      <c r="K337" s="40"/>
      <c r="L337" s="34">
        <f t="shared" si="43"/>
        <v>5.951035514758816E-4</v>
      </c>
      <c r="M337" s="35">
        <f t="shared" si="44"/>
        <v>1.257760247478844E-6</v>
      </c>
      <c r="N337" s="44">
        <f t="shared" si="42"/>
        <v>5.5965318808044034E-5</v>
      </c>
      <c r="O337" s="45" t="e">
        <f t="shared" si="45"/>
        <v>#VALUE!</v>
      </c>
      <c r="P337" s="52" t="str">
        <f t="shared" si="46"/>
        <v/>
      </c>
      <c r="Q337" s="53" t="str">
        <f t="shared" si="47"/>
        <v/>
      </c>
      <c r="R337" s="54" t="str">
        <f t="shared" si="48"/>
        <v/>
      </c>
      <c r="S337" s="53" t="str">
        <f t="shared" si="49"/>
        <v/>
      </c>
    </row>
    <row r="338" spans="10:19" x14ac:dyDescent="0.15">
      <c r="J338" s="38">
        <v>329</v>
      </c>
      <c r="K338" s="40"/>
      <c r="L338" s="34">
        <f t="shared" si="43"/>
        <v>5.9635825739861258E-4</v>
      </c>
      <c r="M338" s="35">
        <f t="shared" si="44"/>
        <v>1.2516580190264855E-6</v>
      </c>
      <c r="N338" s="44">
        <f t="shared" si="42"/>
        <v>5.570239751828568E-5</v>
      </c>
      <c r="O338" s="45" t="e">
        <f t="shared" si="45"/>
        <v>#VALUE!</v>
      </c>
      <c r="P338" s="52" t="str">
        <f t="shared" si="46"/>
        <v/>
      </c>
      <c r="Q338" s="53" t="str">
        <f t="shared" si="47"/>
        <v/>
      </c>
      <c r="R338" s="54" t="str">
        <f t="shared" si="48"/>
        <v/>
      </c>
      <c r="S338" s="53" t="str">
        <f t="shared" si="49"/>
        <v/>
      </c>
    </row>
    <row r="339" spans="10:19" x14ac:dyDescent="0.15">
      <c r="J339" s="38">
        <v>330</v>
      </c>
      <c r="K339" s="40"/>
      <c r="L339" s="34">
        <f t="shared" si="43"/>
        <v>5.9760688030213933E-4</v>
      </c>
      <c r="M339" s="35">
        <f t="shared" si="44"/>
        <v>1.2455941553016141E-6</v>
      </c>
      <c r="N339" s="44">
        <f t="shared" si="42"/>
        <v>5.5441052143061285E-5</v>
      </c>
      <c r="O339" s="45" t="e">
        <f t="shared" si="45"/>
        <v>#VALUE!</v>
      </c>
      <c r="P339" s="52" t="str">
        <f t="shared" si="46"/>
        <v/>
      </c>
      <c r="Q339" s="53" t="str">
        <f t="shared" si="47"/>
        <v/>
      </c>
      <c r="R339" s="54" t="str">
        <f t="shared" si="48"/>
        <v/>
      </c>
      <c r="S339" s="53" t="str">
        <f t="shared" si="49"/>
        <v/>
      </c>
    </row>
    <row r="340" spans="10:19" x14ac:dyDescent="0.15">
      <c r="J340" s="38">
        <v>331</v>
      </c>
      <c r="K340" s="40"/>
      <c r="L340" s="34">
        <f t="shared" si="43"/>
        <v>5.9884945839044576E-4</v>
      </c>
      <c r="M340" s="35">
        <f t="shared" si="44"/>
        <v>1.2395683353780365E-6</v>
      </c>
      <c r="N340" s="44">
        <f t="shared" si="42"/>
        <v>5.5181270102746985E-5</v>
      </c>
      <c r="O340" s="45" t="e">
        <f t="shared" si="45"/>
        <v>#VALUE!</v>
      </c>
      <c r="P340" s="52" t="str">
        <f t="shared" si="46"/>
        <v/>
      </c>
      <c r="Q340" s="53" t="str">
        <f t="shared" si="47"/>
        <v/>
      </c>
      <c r="R340" s="54" t="str">
        <f t="shared" si="48"/>
        <v/>
      </c>
      <c r="S340" s="53" t="str">
        <f t="shared" si="49"/>
        <v/>
      </c>
    </row>
    <row r="341" spans="10:19" x14ac:dyDescent="0.15">
      <c r="J341" s="38">
        <v>332</v>
      </c>
      <c r="K341" s="40"/>
      <c r="L341" s="34">
        <f t="shared" si="43"/>
        <v>6.0008602954826661E-4</v>
      </c>
      <c r="M341" s="35">
        <f t="shared" si="44"/>
        <v>1.2335802416782914E-6</v>
      </c>
      <c r="N341" s="44">
        <f t="shared" si="42"/>
        <v>5.4923038943092257E-5</v>
      </c>
      <c r="O341" s="45" t="e">
        <f t="shared" si="45"/>
        <v>#VALUE!</v>
      </c>
      <c r="P341" s="52" t="str">
        <f t="shared" si="46"/>
        <v/>
      </c>
      <c r="Q341" s="53" t="str">
        <f t="shared" si="47"/>
        <v/>
      </c>
      <c r="R341" s="54" t="str">
        <f t="shared" si="48"/>
        <v/>
      </c>
      <c r="S341" s="53" t="str">
        <f t="shared" si="49"/>
        <v/>
      </c>
    </row>
    <row r="342" spans="10:19" x14ac:dyDescent="0.15">
      <c r="J342" s="38">
        <v>333</v>
      </c>
      <c r="K342" s="40"/>
      <c r="L342" s="34">
        <f t="shared" si="43"/>
        <v>6.0131663134441703E-4</v>
      </c>
      <c r="M342" s="35">
        <f t="shared" si="44"/>
        <v>1.2276295599318111E-6</v>
      </c>
      <c r="N342" s="44">
        <f t="shared" si="42"/>
        <v>5.466634633371928E-5</v>
      </c>
      <c r="O342" s="45" t="e">
        <f t="shared" si="45"/>
        <v>#VALUE!</v>
      </c>
      <c r="P342" s="52" t="str">
        <f t="shared" si="46"/>
        <v/>
      </c>
      <c r="Q342" s="53" t="str">
        <f t="shared" si="47"/>
        <v/>
      </c>
      <c r="R342" s="54" t="str">
        <f t="shared" si="48"/>
        <v/>
      </c>
      <c r="S342" s="53" t="str">
        <f t="shared" si="49"/>
        <v/>
      </c>
    </row>
    <row r="343" spans="10:19" x14ac:dyDescent="0.15">
      <c r="J343" s="38">
        <v>334</v>
      </c>
      <c r="K343" s="40"/>
      <c r="L343" s="34">
        <f t="shared" si="43"/>
        <v>6.0254130103507724E-4</v>
      </c>
      <c r="M343" s="35">
        <f t="shared" si="44"/>
        <v>1.2217159791336829E-6</v>
      </c>
      <c r="N343" s="44">
        <f t="shared" si="42"/>
        <v>5.4411180066648744E-5</v>
      </c>
      <c r="O343" s="45" t="e">
        <f t="shared" si="45"/>
        <v>#VALUE!</v>
      </c>
      <c r="P343" s="52" t="str">
        <f t="shared" si="46"/>
        <v/>
      </c>
      <c r="Q343" s="53" t="str">
        <f t="shared" si="47"/>
        <v/>
      </c>
      <c r="R343" s="54" t="str">
        <f t="shared" si="48"/>
        <v/>
      </c>
      <c r="S343" s="53" t="str">
        <f t="shared" si="49"/>
        <v/>
      </c>
    </row>
    <row r="344" spans="10:19" x14ac:dyDescent="0.15">
      <c r="J344" s="38">
        <v>335</v>
      </c>
      <c r="K344" s="40"/>
      <c r="L344" s="34">
        <f t="shared" si="43"/>
        <v>6.0376007556703858E-4</v>
      </c>
      <c r="M344" s="35">
        <f t="shared" si="44"/>
        <v>1.2158391915040143E-6</v>
      </c>
      <c r="N344" s="44">
        <f t="shared" si="42"/>
        <v>5.4157528054842572E-5</v>
      </c>
      <c r="O344" s="45" t="e">
        <f t="shared" si="45"/>
        <v>#VALUE!</v>
      </c>
      <c r="P344" s="52" t="str">
        <f t="shared" si="46"/>
        <v/>
      </c>
      <c r="Q344" s="53" t="str">
        <f t="shared" si="47"/>
        <v/>
      </c>
      <c r="R344" s="54" t="str">
        <f t="shared" si="48"/>
        <v/>
      </c>
      <c r="S344" s="53" t="str">
        <f t="shared" si="49"/>
        <v/>
      </c>
    </row>
    <row r="345" spans="10:19" x14ac:dyDescent="0.15">
      <c r="J345" s="38">
        <v>336</v>
      </c>
      <c r="K345" s="40"/>
      <c r="L345" s="34">
        <f t="shared" si="43"/>
        <v>6.0497299158090826E-4</v>
      </c>
      <c r="M345" s="35">
        <f t="shared" si="44"/>
        <v>1.2099988924478829E-6</v>
      </c>
      <c r="N345" s="44">
        <f t="shared" si="42"/>
        <v>5.3905378330767789E-5</v>
      </c>
      <c r="O345" s="45" t="e">
        <f t="shared" si="45"/>
        <v>#VALUE!</v>
      </c>
      <c r="P345" s="52" t="str">
        <f t="shared" si="46"/>
        <v/>
      </c>
      <c r="Q345" s="53" t="str">
        <f t="shared" si="47"/>
        <v/>
      </c>
      <c r="R345" s="54" t="str">
        <f t="shared" si="48"/>
        <v/>
      </c>
      <c r="S345" s="53" t="str">
        <f t="shared" si="49"/>
        <v/>
      </c>
    </row>
    <row r="346" spans="10:19" x14ac:dyDescent="0.15">
      <c r="J346" s="38">
        <v>337</v>
      </c>
      <c r="K346" s="40"/>
      <c r="L346" s="34">
        <f t="shared" si="43"/>
        <v>6.0618008541427439E-4</v>
      </c>
      <c r="M346" s="35">
        <f t="shared" si="44"/>
        <v>1.204194780515871E-6</v>
      </c>
      <c r="N346" s="44">
        <f t="shared" si="42"/>
        <v>5.3654719044980335E-5</v>
      </c>
      <c r="O346" s="45" t="e">
        <f t="shared" si="45"/>
        <v>#VALUE!</v>
      </c>
      <c r="P346" s="52" t="str">
        <f t="shared" si="46"/>
        <v/>
      </c>
      <c r="Q346" s="53" t="str">
        <f t="shared" si="47"/>
        <v/>
      </c>
      <c r="R346" s="54" t="str">
        <f t="shared" si="48"/>
        <v/>
      </c>
      <c r="S346" s="53" t="str">
        <f t="shared" si="49"/>
        <v/>
      </c>
    </row>
    <row r="347" spans="10:19" x14ac:dyDescent="0.15">
      <c r="J347" s="38">
        <v>338</v>
      </c>
      <c r="K347" s="40"/>
      <c r="L347" s="34">
        <f t="shared" si="43"/>
        <v>6.0738139310483291E-4</v>
      </c>
      <c r="M347" s="35">
        <f t="shared" si="44"/>
        <v>1.1984265573651626E-6</v>
      </c>
      <c r="N347" s="44">
        <f t="shared" si="42"/>
        <v>5.3405538464728719E-5</v>
      </c>
      <c r="O347" s="45" t="e">
        <f t="shared" si="45"/>
        <v>#VALUE!</v>
      </c>
      <c r="P347" s="52" t="str">
        <f t="shared" si="46"/>
        <v/>
      </c>
      <c r="Q347" s="53" t="str">
        <f t="shared" si="47"/>
        <v/>
      </c>
      <c r="R347" s="54" t="str">
        <f t="shared" si="48"/>
        <v/>
      </c>
      <c r="S347" s="53" t="str">
        <f t="shared" si="49"/>
        <v/>
      </c>
    </row>
    <row r="348" spans="10:19" x14ac:dyDescent="0.15">
      <c r="J348" s="38">
        <v>339</v>
      </c>
      <c r="K348" s="40"/>
      <c r="L348" s="34">
        <f t="shared" si="43"/>
        <v>6.0857695039347333E-4</v>
      </c>
      <c r="M348" s="35">
        <f t="shared" si="44"/>
        <v>1.192693927721207E-6</v>
      </c>
      <c r="N348" s="44">
        <f t="shared" si="42"/>
        <v>5.3157824972576546E-5</v>
      </c>
      <c r="O348" s="45" t="e">
        <f t="shared" si="45"/>
        <v>#VALUE!</v>
      </c>
      <c r="P348" s="52" t="str">
        <f t="shared" si="46"/>
        <v/>
      </c>
      <c r="Q348" s="53" t="str">
        <f t="shared" si="47"/>
        <v/>
      </c>
      <c r="R348" s="54" t="str">
        <f t="shared" si="48"/>
        <v/>
      </c>
      <c r="S348" s="53" t="str">
        <f t="shared" si="49"/>
        <v/>
      </c>
    </row>
    <row r="349" spans="10:19" x14ac:dyDescent="0.15">
      <c r="J349" s="38">
        <v>340</v>
      </c>
      <c r="K349" s="40"/>
      <c r="L349" s="34">
        <f t="shared" si="43"/>
        <v>6.0976679272732972E-4</v>
      </c>
      <c r="M349" s="35">
        <f t="shared" si="44"/>
        <v>1.1869965993399294E-6</v>
      </c>
      <c r="N349" s="44">
        <f t="shared" si="42"/>
        <v>5.2911567065043572E-5</v>
      </c>
      <c r="O349" s="45" t="e">
        <f t="shared" si="45"/>
        <v>#VALUE!</v>
      </c>
      <c r="P349" s="52" t="str">
        <f t="shared" si="46"/>
        <v/>
      </c>
      <c r="Q349" s="53" t="str">
        <f t="shared" si="47"/>
        <v/>
      </c>
      <c r="R349" s="54" t="str">
        <f t="shared" si="48"/>
        <v/>
      </c>
      <c r="S349" s="53" t="str">
        <f t="shared" si="49"/>
        <v/>
      </c>
    </row>
    <row r="350" spans="10:19" x14ac:dyDescent="0.15">
      <c r="J350" s="38">
        <v>341</v>
      </c>
      <c r="K350" s="40"/>
      <c r="L350" s="34">
        <f t="shared" si="43"/>
        <v>6.1095095526279104E-4</v>
      </c>
      <c r="M350" s="35">
        <f t="shared" si="44"/>
        <v>1.1813342829704832E-6</v>
      </c>
      <c r="N350" s="44">
        <f t="shared" si="42"/>
        <v>5.266675335126726E-5</v>
      </c>
      <c r="O350" s="45" t="e">
        <f t="shared" si="45"/>
        <v>#VALUE!</v>
      </c>
      <c r="P350" s="52" t="str">
        <f t="shared" si="46"/>
        <v/>
      </c>
      <c r="Q350" s="53" t="str">
        <f t="shared" si="47"/>
        <v/>
      </c>
      <c r="R350" s="54" t="str">
        <f t="shared" si="48"/>
        <v/>
      </c>
      <c r="S350" s="53" t="str">
        <f t="shared" si="49"/>
        <v/>
      </c>
    </row>
    <row r="351" spans="10:19" x14ac:dyDescent="0.15">
      <c r="J351" s="38">
        <v>342</v>
      </c>
      <c r="K351" s="40"/>
      <c r="L351" s="34">
        <f t="shared" si="43"/>
        <v>6.1212947286847733E-4</v>
      </c>
      <c r="M351" s="35">
        <f t="shared" si="44"/>
        <v>1.1757066923185385E-6</v>
      </c>
      <c r="N351" s="44">
        <f t="shared" si="42"/>
        <v>5.2423372551679186E-5</v>
      </c>
      <c r="O351" s="45" t="e">
        <f t="shared" si="45"/>
        <v>#VALUE!</v>
      </c>
      <c r="P351" s="52" t="str">
        <f t="shared" si="46"/>
        <v/>
      </c>
      <c r="Q351" s="53" t="str">
        <f t="shared" si="47"/>
        <v/>
      </c>
      <c r="R351" s="54" t="str">
        <f t="shared" si="48"/>
        <v/>
      </c>
      <c r="S351" s="53" t="str">
        <f t="shared" si="49"/>
        <v/>
      </c>
    </row>
    <row r="352" spans="10:19" x14ac:dyDescent="0.15">
      <c r="J352" s="38">
        <v>343</v>
      </c>
      <c r="K352" s="40"/>
      <c r="L352" s="34">
        <f t="shared" si="43"/>
        <v>6.1330238012817723E-4</v>
      </c>
      <c r="M352" s="35">
        <f t="shared" si="44"/>
        <v>1.1701135440100912E-6</v>
      </c>
      <c r="N352" s="44">
        <f t="shared" si="42"/>
        <v>5.2181413496703668E-5</v>
      </c>
      <c r="O352" s="45" t="e">
        <f t="shared" si="45"/>
        <v>#VALUE!</v>
      </c>
      <c r="P352" s="52" t="str">
        <f t="shared" si="46"/>
        <v/>
      </c>
      <c r="Q352" s="53" t="str">
        <f t="shared" si="47"/>
        <v/>
      </c>
      <c r="R352" s="54" t="str">
        <f t="shared" si="48"/>
        <v/>
      </c>
      <c r="S352" s="53" t="str">
        <f t="shared" si="49"/>
        <v/>
      </c>
    </row>
    <row r="353" spans="10:19" x14ac:dyDescent="0.15">
      <c r="J353" s="38">
        <v>344</v>
      </c>
      <c r="K353" s="40"/>
      <c r="L353" s="34">
        <f t="shared" si="43"/>
        <v>6.1446971134375059E-4</v>
      </c>
      <c r="M353" s="35">
        <f t="shared" si="44"/>
        <v>1.1645545575557894E-6</v>
      </c>
      <c r="N353" s="44">
        <f t="shared" si="42"/>
        <v>5.194086512547158E-5</v>
      </c>
      <c r="O353" s="45" t="e">
        <f t="shared" si="45"/>
        <v>#VALUE!</v>
      </c>
      <c r="P353" s="52" t="str">
        <f t="shared" si="46"/>
        <v/>
      </c>
      <c r="Q353" s="53" t="str">
        <f t="shared" si="47"/>
        <v/>
      </c>
      <c r="R353" s="54" t="str">
        <f t="shared" si="48"/>
        <v/>
      </c>
      <c r="S353" s="53" t="str">
        <f t="shared" si="49"/>
        <v/>
      </c>
    </row>
    <row r="354" spans="10:19" x14ac:dyDescent="0.15">
      <c r="J354" s="38">
        <v>345</v>
      </c>
      <c r="K354" s="40"/>
      <c r="L354" s="34">
        <f t="shared" si="43"/>
        <v>6.1563150053799566E-4</v>
      </c>
      <c r="M354" s="35">
        <f t="shared" si="44"/>
        <v>1.1590294553157695E-6</v>
      </c>
      <c r="N354" s="44">
        <f t="shared" si="42"/>
        <v>5.170171648455151E-5</v>
      </c>
      <c r="O354" s="45" t="e">
        <f t="shared" si="45"/>
        <v>#VALUE!</v>
      </c>
      <c r="P354" s="52" t="str">
        <f t="shared" si="46"/>
        <v/>
      </c>
      <c r="Q354" s="53" t="str">
        <f t="shared" si="47"/>
        <v/>
      </c>
      <c r="R354" s="54" t="str">
        <f t="shared" si="48"/>
        <v/>
      </c>
      <c r="S354" s="53" t="str">
        <f t="shared" si="49"/>
        <v/>
      </c>
    </row>
    <row r="355" spans="10:19" x14ac:dyDescent="0.15">
      <c r="J355" s="38">
        <v>346</v>
      </c>
      <c r="K355" s="40"/>
      <c r="L355" s="34">
        <f t="shared" si="43"/>
        <v>6.1678778145748102E-4</v>
      </c>
      <c r="M355" s="35">
        <f t="shared" si="44"/>
        <v>1.1535379624649854E-6</v>
      </c>
      <c r="N355" s="44">
        <f t="shared" si="42"/>
        <v>5.1463956726699781E-5</v>
      </c>
      <c r="O355" s="45" t="e">
        <f t="shared" si="45"/>
        <v>#VALUE!</v>
      </c>
      <c r="P355" s="52" t="str">
        <f t="shared" si="46"/>
        <v/>
      </c>
      <c r="Q355" s="53" t="str">
        <f t="shared" si="47"/>
        <v/>
      </c>
      <c r="R355" s="54" t="str">
        <f t="shared" si="48"/>
        <v/>
      </c>
      <c r="S355" s="53" t="str">
        <f t="shared" si="49"/>
        <v/>
      </c>
    </row>
    <row r="356" spans="10:19" x14ac:dyDescent="0.15">
      <c r="J356" s="38">
        <v>347</v>
      </c>
      <c r="K356" s="40"/>
      <c r="L356" s="34">
        <f t="shared" si="43"/>
        <v>6.1793858757534337E-4</v>
      </c>
      <c r="M356" s="35">
        <f t="shared" si="44"/>
        <v>1.1480798069590375E-6</v>
      </c>
      <c r="N356" s="44">
        <f t="shared" si="42"/>
        <v>5.1227575109626415E-5</v>
      </c>
      <c r="O356" s="45" t="e">
        <f t="shared" si="45"/>
        <v>#VALUE!</v>
      </c>
      <c r="P356" s="52" t="str">
        <f t="shared" si="46"/>
        <v/>
      </c>
      <c r="Q356" s="53" t="str">
        <f t="shared" si="47"/>
        <v/>
      </c>
      <c r="R356" s="54" t="str">
        <f t="shared" si="48"/>
        <v/>
      </c>
      <c r="S356" s="53" t="str">
        <f t="shared" si="49"/>
        <v/>
      </c>
    </row>
    <row r="357" spans="10:19" x14ac:dyDescent="0.15">
      <c r="J357" s="38">
        <v>348</v>
      </c>
      <c r="K357" s="40"/>
      <c r="L357" s="34">
        <f t="shared" si="43"/>
        <v>6.1908395209405126E-4</v>
      </c>
      <c r="M357" s="35">
        <f t="shared" si="44"/>
        <v>1.1426547195004741E-6</v>
      </c>
      <c r="N357" s="44">
        <f t="shared" si="42"/>
        <v>5.0992560994778005E-5</v>
      </c>
      <c r="O357" s="45" t="e">
        <f t="shared" si="45"/>
        <v>#VALUE!</v>
      </c>
      <c r="P357" s="52" t="str">
        <f t="shared" si="46"/>
        <v/>
      </c>
      <c r="Q357" s="53" t="str">
        <f t="shared" si="47"/>
        <v/>
      </c>
      <c r="R357" s="54" t="str">
        <f t="shared" si="48"/>
        <v/>
      </c>
      <c r="S357" s="53" t="str">
        <f t="shared" si="49"/>
        <v/>
      </c>
    </row>
    <row r="358" spans="10:19" x14ac:dyDescent="0.15">
      <c r="J358" s="38">
        <v>349</v>
      </c>
      <c r="K358" s="40"/>
      <c r="L358" s="34">
        <f t="shared" si="43"/>
        <v>6.2022390794813566E-4</v>
      </c>
      <c r="M358" s="35">
        <f t="shared" si="44"/>
        <v>1.137262433505579E-6</v>
      </c>
      <c r="N358" s="44">
        <f t="shared" si="42"/>
        <v>5.0758903846136313E-5</v>
      </c>
      <c r="O358" s="45" t="e">
        <f t="shared" si="45"/>
        <v>#VALUE!</v>
      </c>
      <c r="P358" s="52" t="str">
        <f t="shared" si="46"/>
        <v/>
      </c>
      <c r="Q358" s="53" t="str">
        <f t="shared" si="47"/>
        <v/>
      </c>
      <c r="R358" s="54" t="str">
        <f t="shared" si="48"/>
        <v/>
      </c>
      <c r="S358" s="53" t="str">
        <f t="shared" si="49"/>
        <v/>
      </c>
    </row>
    <row r="359" spans="10:19" x14ac:dyDescent="0.15">
      <c r="J359" s="38">
        <v>350</v>
      </c>
      <c r="K359" s="40"/>
      <c r="L359" s="34">
        <f t="shared" si="43"/>
        <v>6.213584878068867E-4</v>
      </c>
      <c r="M359" s="35">
        <f t="shared" si="44"/>
        <v>1.1319026850716188E-6</v>
      </c>
      <c r="N359" s="44">
        <f t="shared" si="42"/>
        <v>5.0526593229034645E-5</v>
      </c>
      <c r="O359" s="45" t="e">
        <f t="shared" si="45"/>
        <v>#VALUE!</v>
      </c>
      <c r="P359" s="52" t="str">
        <f t="shared" si="46"/>
        <v/>
      </c>
      <c r="Q359" s="53" t="str">
        <f t="shared" si="47"/>
        <v/>
      </c>
      <c r="R359" s="54" t="str">
        <f t="shared" si="48"/>
        <v/>
      </c>
      <c r="S359" s="53" t="str">
        <f t="shared" si="49"/>
        <v/>
      </c>
    </row>
    <row r="360" spans="10:19" x14ac:dyDescent="0.15">
      <c r="J360" s="38">
        <v>351</v>
      </c>
      <c r="K360" s="40"/>
      <c r="L360" s="34">
        <f t="shared" si="43"/>
        <v>6.2248772407701896E-4</v>
      </c>
      <c r="M360" s="35">
        <f t="shared" si="44"/>
        <v>1.1265752129445527E-6</v>
      </c>
      <c r="N360" s="44">
        <f t="shared" si="42"/>
        <v>5.0295618808989299E-5</v>
      </c>
      <c r="O360" s="45" t="e">
        <f t="shared" si="45"/>
        <v>#VALUE!</v>
      </c>
      <c r="P360" s="52" t="str">
        <f t="shared" si="46"/>
        <v/>
      </c>
      <c r="Q360" s="53" t="str">
        <f t="shared" si="47"/>
        <v/>
      </c>
      <c r="R360" s="54" t="str">
        <f t="shared" si="48"/>
        <v/>
      </c>
      <c r="S360" s="53" t="str">
        <f t="shared" si="49"/>
        <v/>
      </c>
    </row>
    <row r="361" spans="10:19" x14ac:dyDescent="0.15">
      <c r="J361" s="38">
        <v>352</v>
      </c>
      <c r="K361" s="40"/>
      <c r="L361" s="34">
        <f t="shared" si="43"/>
        <v>6.2361164890530377E-4</v>
      </c>
      <c r="M361" s="35">
        <f t="shared" si="44"/>
        <v>1.1212797584872E-6</v>
      </c>
      <c r="N361" s="44">
        <f t="shared" si="42"/>
        <v>5.006597035054597E-5</v>
      </c>
      <c r="O361" s="45" t="e">
        <f t="shared" si="45"/>
        <v>#VALUE!</v>
      </c>
      <c r="P361" s="52" t="str">
        <f t="shared" si="46"/>
        <v/>
      </c>
      <c r="Q361" s="53" t="str">
        <f t="shared" si="47"/>
        <v/>
      </c>
      <c r="R361" s="54" t="str">
        <f t="shared" si="48"/>
        <v/>
      </c>
      <c r="S361" s="53" t="str">
        <f t="shared" si="49"/>
        <v/>
      </c>
    </row>
    <row r="362" spans="10:19" x14ac:dyDescent="0.15">
      <c r="J362" s="38">
        <v>353</v>
      </c>
      <c r="K362" s="40"/>
      <c r="L362" s="34">
        <f t="shared" si="43"/>
        <v>6.2473029418117073E-4</v>
      </c>
      <c r="M362" s="35">
        <f t="shared" si="44"/>
        <v>1.1160160656478433E-6</v>
      </c>
      <c r="N362" s="44">
        <f t="shared" si="42"/>
        <v>4.983763771614308E-5</v>
      </c>
      <c r="O362" s="45" t="e">
        <f t="shared" si="45"/>
        <v>#VALUE!</v>
      </c>
      <c r="P362" s="52" t="str">
        <f t="shared" si="46"/>
        <v/>
      </c>
      <c r="Q362" s="53" t="str">
        <f t="shared" si="47"/>
        <v/>
      </c>
      <c r="R362" s="54" t="str">
        <f t="shared" si="48"/>
        <v/>
      </c>
      <c r="S362" s="53" t="str">
        <f t="shared" si="49"/>
        <v/>
      </c>
    </row>
    <row r="363" spans="10:19" x14ac:dyDescent="0.15">
      <c r="J363" s="38">
        <v>354</v>
      </c>
      <c r="K363" s="40"/>
      <c r="L363" s="34">
        <f t="shared" si="43"/>
        <v>6.2584369153927816E-4</v>
      </c>
      <c r="M363" s="35">
        <f t="shared" si="44"/>
        <v>1.1107838809292786E-6</v>
      </c>
      <c r="N363" s="44">
        <f t="shared" si="42"/>
        <v>4.9610610864988429E-5</v>
      </c>
      <c r="O363" s="45" t="e">
        <f t="shared" si="45"/>
        <v>#VALUE!</v>
      </c>
      <c r="P363" s="52" t="str">
        <f t="shared" si="46"/>
        <v/>
      </c>
      <c r="Q363" s="53" t="str">
        <f t="shared" si="47"/>
        <v/>
      </c>
      <c r="R363" s="54" t="str">
        <f t="shared" si="48"/>
        <v/>
      </c>
      <c r="S363" s="53" t="str">
        <f t="shared" si="49"/>
        <v/>
      </c>
    </row>
    <row r="364" spans="10:19" x14ac:dyDescent="0.15">
      <c r="J364" s="38">
        <v>355</v>
      </c>
      <c r="K364" s="40"/>
      <c r="L364" s="34">
        <f t="shared" si="43"/>
        <v>6.2695187236205092E-4</v>
      </c>
      <c r="M364" s="35">
        <f t="shared" si="44"/>
        <v>1.1055829533582945E-6</v>
      </c>
      <c r="N364" s="44">
        <f t="shared" si="42"/>
        <v>4.9384879851953529E-5</v>
      </c>
      <c r="O364" s="45" t="e">
        <f t="shared" si="45"/>
        <v>#VALUE!</v>
      </c>
      <c r="P364" s="52" t="str">
        <f t="shared" si="46"/>
        <v/>
      </c>
      <c r="Q364" s="53" t="str">
        <f t="shared" si="47"/>
        <v/>
      </c>
      <c r="R364" s="54" t="str">
        <f t="shared" si="48"/>
        <v/>
      </c>
      <c r="S364" s="53" t="str">
        <f t="shared" si="49"/>
        <v/>
      </c>
    </row>
    <row r="365" spans="10:19" x14ac:dyDescent="0.15">
      <c r="J365" s="38">
        <v>356</v>
      </c>
      <c r="K365" s="40"/>
      <c r="L365" s="34">
        <f t="shared" si="43"/>
        <v>6.2805486778219025E-4</v>
      </c>
      <c r="M365" s="35">
        <f t="shared" si="44"/>
        <v>1.1004130344555734E-6</v>
      </c>
      <c r="N365" s="44">
        <f t="shared" si="42"/>
        <v>4.9160434826480185E-5</v>
      </c>
      <c r="O365" s="45" t="e">
        <f t="shared" si="45"/>
        <v>#VALUE!</v>
      </c>
      <c r="P365" s="52" t="str">
        <f t="shared" si="46"/>
        <v/>
      </c>
      <c r="Q365" s="53" t="str">
        <f t="shared" si="47"/>
        <v/>
      </c>
      <c r="R365" s="54" t="str">
        <f t="shared" si="48"/>
        <v/>
      </c>
      <c r="S365" s="53" t="str">
        <f t="shared" si="49"/>
        <v/>
      </c>
    </row>
    <row r="366" spans="10:19" x14ac:dyDescent="0.15">
      <c r="J366" s="38">
        <v>357</v>
      </c>
      <c r="K366" s="40"/>
      <c r="L366" s="34">
        <f t="shared" si="43"/>
        <v>6.2915270868515289E-4</v>
      </c>
      <c r="M366" s="35">
        <f t="shared" si="44"/>
        <v>1.0952738782060147E-6</v>
      </c>
      <c r="N366" s="44">
        <f t="shared" si="42"/>
        <v>4.8937266031502799E-5</v>
      </c>
      <c r="O366" s="45" t="e">
        <f t="shared" si="45"/>
        <v>#VALUE!</v>
      </c>
      <c r="P366" s="52" t="str">
        <f t="shared" si="46"/>
        <v/>
      </c>
      <c r="Q366" s="53" t="str">
        <f t="shared" si="47"/>
        <v/>
      </c>
      <c r="R366" s="54" t="str">
        <f t="shared" si="48"/>
        <v/>
      </c>
      <c r="S366" s="53" t="str">
        <f t="shared" si="49"/>
        <v/>
      </c>
    </row>
    <row r="367" spans="10:19" x14ac:dyDescent="0.15">
      <c r="J367" s="38">
        <v>358</v>
      </c>
      <c r="K367" s="40"/>
      <c r="L367" s="34">
        <f t="shared" si="43"/>
        <v>6.3024542571159985E-4</v>
      </c>
      <c r="M367" s="35">
        <f t="shared" si="44"/>
        <v>1.0901652410294649E-6</v>
      </c>
      <c r="N367" s="44">
        <f t="shared" si="42"/>
        <v>4.8715363802385525E-5</v>
      </c>
      <c r="O367" s="45" t="e">
        <f t="shared" si="45"/>
        <v>#VALUE!</v>
      </c>
      <c r="P367" s="52" t="str">
        <f t="shared" si="46"/>
        <v/>
      </c>
      <c r="Q367" s="53" t="str">
        <f t="shared" si="47"/>
        <v/>
      </c>
      <c r="R367" s="54" t="str">
        <f t="shared" si="48"/>
        <v/>
      </c>
      <c r="S367" s="53" t="str">
        <f t="shared" si="49"/>
        <v/>
      </c>
    </row>
    <row r="368" spans="10:19" x14ac:dyDescent="0.15">
      <c r="J368" s="38">
        <v>359</v>
      </c>
      <c r="K368" s="40"/>
      <c r="L368" s="34">
        <f t="shared" si="43"/>
        <v>6.3133304925981832E-4</v>
      </c>
      <c r="M368" s="35">
        <f t="shared" si="44"/>
        <v>1.0850868817518567E-6</v>
      </c>
      <c r="N368" s="44">
        <f t="shared" si="42"/>
        <v>4.8494718565870922E-5</v>
      </c>
      <c r="O368" s="45" t="e">
        <f t="shared" si="45"/>
        <v>#VALUE!</v>
      </c>
      <c r="P368" s="52" t="str">
        <f t="shared" si="46"/>
        <v/>
      </c>
      <c r="Q368" s="53" t="str">
        <f t="shared" si="47"/>
        <v/>
      </c>
      <c r="R368" s="54" t="str">
        <f t="shared" si="48"/>
        <v/>
      </c>
      <c r="S368" s="53" t="str">
        <f t="shared" si="49"/>
        <v/>
      </c>
    </row>
    <row r="369" spans="10:19" x14ac:dyDescent="0.15">
      <c r="J369" s="38">
        <v>360</v>
      </c>
      <c r="K369" s="40"/>
      <c r="L369" s="34">
        <f t="shared" si="43"/>
        <v>6.3241560948811156E-4</v>
      </c>
      <c r="M369" s="35">
        <f t="shared" si="44"/>
        <v>1.0800385615767433E-6</v>
      </c>
      <c r="N369" s="44">
        <f t="shared" si="42"/>
        <v>4.8275320839046595E-5</v>
      </c>
      <c r="O369" s="45" t="e">
        <f t="shared" si="45"/>
        <v>#VALUE!</v>
      </c>
      <c r="P369" s="52" t="str">
        <f t="shared" si="46"/>
        <v/>
      </c>
      <c r="Q369" s="53" t="str">
        <f t="shared" si="47"/>
        <v/>
      </c>
      <c r="R369" s="54" t="str">
        <f t="shared" si="48"/>
        <v/>
      </c>
      <c r="S369" s="53" t="str">
        <f t="shared" si="49"/>
        <v/>
      </c>
    </row>
    <row r="370" spans="10:19" x14ac:dyDescent="0.15">
      <c r="J370" s="38">
        <v>361</v>
      </c>
      <c r="K370" s="40"/>
      <c r="L370" s="34">
        <f t="shared" si="43"/>
        <v>6.3349313631716443E-4</v>
      </c>
      <c r="M370" s="35">
        <f t="shared" si="44"/>
        <v>1.075020044057227E-6</v>
      </c>
      <c r="N370" s="44">
        <f t="shared" si="42"/>
        <v>4.805716122832128E-5</v>
      </c>
      <c r="O370" s="45" t="e">
        <f t="shared" si="45"/>
        <v>#VALUE!</v>
      </c>
      <c r="P370" s="52" t="str">
        <f t="shared" si="46"/>
        <v/>
      </c>
      <c r="Q370" s="53" t="str">
        <f t="shared" si="47"/>
        <v/>
      </c>
      <c r="R370" s="54" t="str">
        <f t="shared" si="48"/>
        <v/>
      </c>
      <c r="S370" s="53" t="str">
        <f t="shared" si="49"/>
        <v/>
      </c>
    </row>
    <row r="371" spans="10:19" x14ac:dyDescent="0.15">
      <c r="J371" s="38">
        <v>362</v>
      </c>
      <c r="K371" s="40"/>
      <c r="L371" s="34">
        <f t="shared" si="43"/>
        <v>6.3456565943237743E-4</v>
      </c>
      <c r="M371" s="35">
        <f t="shared" si="44"/>
        <v>1.0700310950682706E-6</v>
      </c>
      <c r="N371" s="44">
        <f t="shared" si="42"/>
        <v>4.7840230428418157E-5</v>
      </c>
      <c r="O371" s="45" t="e">
        <f t="shared" si="45"/>
        <v>#VALUE!</v>
      </c>
      <c r="P371" s="52" t="str">
        <f t="shared" si="46"/>
        <v/>
      </c>
      <c r="Q371" s="53" t="str">
        <f t="shared" si="47"/>
        <v/>
      </c>
      <c r="R371" s="54" t="str">
        <f t="shared" si="48"/>
        <v/>
      </c>
      <c r="S371" s="53" t="str">
        <f t="shared" si="49"/>
        <v/>
      </c>
    </row>
    <row r="372" spans="10:19" x14ac:dyDescent="0.15">
      <c r="J372" s="38">
        <v>363</v>
      </c>
      <c r="K372" s="40"/>
      <c r="L372" s="34">
        <f t="shared" si="43"/>
        <v>6.3563320828617577E-4</v>
      </c>
      <c r="M372" s="35">
        <f t="shared" si="44"/>
        <v>1.0650714827793943E-6</v>
      </c>
      <c r="N372" s="44">
        <f t="shared" si="42"/>
        <v>4.7624519221378583E-5</v>
      </c>
      <c r="O372" s="45" t="e">
        <f t="shared" si="45"/>
        <v>#VALUE!</v>
      </c>
      <c r="P372" s="52" t="str">
        <f t="shared" si="46"/>
        <v/>
      </c>
      <c r="Q372" s="53" t="str">
        <f t="shared" si="47"/>
        <v/>
      </c>
      <c r="R372" s="54" t="str">
        <f t="shared" si="48"/>
        <v/>
      </c>
      <c r="S372" s="53" t="str">
        <f t="shared" si="49"/>
        <v/>
      </c>
    </row>
    <row r="373" spans="10:19" x14ac:dyDescent="0.15">
      <c r="J373" s="38">
        <v>364</v>
      </c>
      <c r="K373" s="40"/>
      <c r="L373" s="34">
        <f t="shared" si="43"/>
        <v>6.366958121002905E-4</v>
      </c>
      <c r="M373" s="35">
        <f t="shared" si="44"/>
        <v>1.0601409776277388E-6</v>
      </c>
      <c r="N373" s="44">
        <f t="shared" si="42"/>
        <v>4.7410018475579799E-5</v>
      </c>
      <c r="O373" s="45" t="e">
        <f t="shared" si="45"/>
        <v>#VALUE!</v>
      </c>
      <c r="P373" s="52" t="str">
        <f t="shared" si="46"/>
        <v/>
      </c>
      <c r="Q373" s="53" t="str">
        <f t="shared" si="47"/>
        <v/>
      </c>
      <c r="R373" s="54" t="str">
        <f t="shared" si="48"/>
        <v/>
      </c>
      <c r="S373" s="53" t="str">
        <f t="shared" si="49"/>
        <v/>
      </c>
    </row>
    <row r="374" spans="10:19" x14ac:dyDescent="0.15">
      <c r="J374" s="38">
        <v>365</v>
      </c>
      <c r="K374" s="40"/>
      <c r="L374" s="34">
        <f t="shared" si="43"/>
        <v>6.3775349986801191E-4</v>
      </c>
      <c r="M374" s="35">
        <f t="shared" si="44"/>
        <v>1.0552393522915035E-6</v>
      </c>
      <c r="N374" s="44">
        <f t="shared" si="42"/>
        <v>4.7196719144767282E-5</v>
      </c>
      <c r="O374" s="45" t="e">
        <f t="shared" si="45"/>
        <v>#VALUE!</v>
      </c>
      <c r="P374" s="52" t="str">
        <f t="shared" si="46"/>
        <v/>
      </c>
      <c r="Q374" s="53" t="str">
        <f t="shared" si="47"/>
        <v/>
      </c>
      <c r="R374" s="54" t="str">
        <f t="shared" si="48"/>
        <v/>
      </c>
      <c r="S374" s="53" t="str">
        <f t="shared" si="49"/>
        <v/>
      </c>
    </row>
    <row r="375" spans="10:19" x14ac:dyDescent="0.15">
      <c r="J375" s="38">
        <v>366</v>
      </c>
      <c r="K375" s="40"/>
      <c r="L375" s="34">
        <f t="shared" si="43"/>
        <v>6.3880630035641878E-4</v>
      </c>
      <c r="M375" s="35">
        <f t="shared" si="44"/>
        <v>1.0503663816637444E-6</v>
      </c>
      <c r="N375" s="44">
        <f t="shared" si="42"/>
        <v>4.6984612267095662E-5</v>
      </c>
      <c r="O375" s="45" t="e">
        <f t="shared" si="45"/>
        <v>#VALUE!</v>
      </c>
      <c r="P375" s="52" t="str">
        <f t="shared" si="46"/>
        <v/>
      </c>
      <c r="Q375" s="53" t="str">
        <f t="shared" si="47"/>
        <v/>
      </c>
      <c r="R375" s="54" t="str">
        <f t="shared" si="48"/>
        <v/>
      </c>
      <c r="S375" s="53" t="str">
        <f t="shared" si="49"/>
        <v/>
      </c>
    </row>
    <row r="376" spans="10:19" x14ac:dyDescent="0.15">
      <c r="J376" s="38">
        <v>367</v>
      </c>
      <c r="K376" s="40"/>
      <c r="L376" s="34">
        <f t="shared" si="43"/>
        <v>6.3985424210857877E-4</v>
      </c>
      <c r="M376" s="35">
        <f t="shared" si="44"/>
        <v>1.0455218428265263E-6</v>
      </c>
      <c r="N376" s="44">
        <f t="shared" si="42"/>
        <v>4.6773688964187521E-5</v>
      </c>
      <c r="O376" s="45" t="e">
        <f t="shared" si="45"/>
        <v>#VALUE!</v>
      </c>
      <c r="P376" s="52" t="str">
        <f t="shared" si="46"/>
        <v/>
      </c>
      <c r="Q376" s="53" t="str">
        <f t="shared" si="47"/>
        <v/>
      </c>
      <c r="R376" s="54" t="str">
        <f t="shared" si="48"/>
        <v/>
      </c>
      <c r="S376" s="53" t="str">
        <f t="shared" si="49"/>
        <v/>
      </c>
    </row>
    <row r="377" spans="10:19" x14ac:dyDescent="0.15">
      <c r="J377" s="38">
        <v>368</v>
      </c>
      <c r="K377" s="40"/>
      <c r="L377" s="34">
        <f t="shared" si="43"/>
        <v>6.4089735344572665E-4</v>
      </c>
      <c r="M377" s="35">
        <f t="shared" si="44"/>
        <v>1.0407055150254309E-6</v>
      </c>
      <c r="N377" s="44">
        <f t="shared" si="42"/>
        <v>4.6563940440198163E-5</v>
      </c>
      <c r="O377" s="45" t="e">
        <f t="shared" si="45"/>
        <v>#VALUE!</v>
      </c>
      <c r="P377" s="52" t="str">
        <f t="shared" si="46"/>
        <v/>
      </c>
      <c r="Q377" s="53" t="str">
        <f t="shared" si="47"/>
        <v/>
      </c>
      <c r="R377" s="54" t="str">
        <f t="shared" si="48"/>
        <v/>
      </c>
      <c r="S377" s="53" t="str">
        <f t="shared" si="49"/>
        <v/>
      </c>
    </row>
    <row r="378" spans="10:19" x14ac:dyDescent="0.15">
      <c r="J378" s="38">
        <v>369</v>
      </c>
      <c r="K378" s="40"/>
      <c r="L378" s="34">
        <f t="shared" si="43"/>
        <v>6.4193566246941293E-4</v>
      </c>
      <c r="M378" s="35">
        <f t="shared" si="44"/>
        <v>1.0359171796444064E-6</v>
      </c>
      <c r="N378" s="44">
        <f t="shared" si="42"/>
        <v>4.6355357980900009E-5</v>
      </c>
      <c r="O378" s="45" t="e">
        <f t="shared" si="45"/>
        <v>#VALUE!</v>
      </c>
      <c r="P378" s="52" t="str">
        <f t="shared" si="46"/>
        <v/>
      </c>
      <c r="Q378" s="53" t="str">
        <f t="shared" si="47"/>
        <v/>
      </c>
      <c r="R378" s="54" t="str">
        <f t="shared" si="48"/>
        <v/>
      </c>
      <c r="S378" s="53" t="str">
        <f t="shared" si="49"/>
        <v/>
      </c>
    </row>
    <row r="379" spans="10:19" x14ac:dyDescent="0.15">
      <c r="J379" s="38">
        <v>370</v>
      </c>
      <c r="K379" s="40"/>
      <c r="L379" s="34">
        <f t="shared" si="43"/>
        <v>6.4296919706363143E-4</v>
      </c>
      <c r="M379" s="35">
        <f t="shared" si="44"/>
        <v>1.0311566201809607E-6</v>
      </c>
      <c r="N379" s="44">
        <f t="shared" si="42"/>
        <v>4.6147932952771424E-5</v>
      </c>
      <c r="O379" s="45" t="e">
        <f t="shared" si="45"/>
        <v>#VALUE!</v>
      </c>
      <c r="P379" s="52" t="str">
        <f t="shared" si="46"/>
        <v/>
      </c>
      <c r="Q379" s="53" t="str">
        <f t="shared" si="47"/>
        <v/>
      </c>
      <c r="R379" s="54" t="str">
        <f t="shared" si="48"/>
        <v/>
      </c>
      <c r="S379" s="53" t="str">
        <f t="shared" si="49"/>
        <v/>
      </c>
    </row>
    <row r="380" spans="10:19" x14ac:dyDescent="0.15">
      <c r="J380" s="38">
        <v>371</v>
      </c>
      <c r="K380" s="40"/>
      <c r="L380" s="34">
        <f t="shared" si="43"/>
        <v>6.4399798489691998E-4</v>
      </c>
      <c r="M380" s="35">
        <f t="shared" si="44"/>
        <v>1.0264236222216869E-6</v>
      </c>
      <c r="N380" s="44">
        <f t="shared" si="42"/>
        <v>4.5941656802102803E-5</v>
      </c>
      <c r="O380" s="45" t="e">
        <f t="shared" si="45"/>
        <v>#VALUE!</v>
      </c>
      <c r="P380" s="52" t="str">
        <f t="shared" si="46"/>
        <v/>
      </c>
      <c r="Q380" s="53" t="str">
        <f t="shared" si="47"/>
        <v/>
      </c>
      <c r="R380" s="54" t="str">
        <f t="shared" si="48"/>
        <v/>
      </c>
      <c r="S380" s="53" t="str">
        <f t="shared" si="49"/>
        <v/>
      </c>
    </row>
    <row r="381" spans="10:19" x14ac:dyDescent="0.15">
      <c r="J381" s="38">
        <v>372</v>
      </c>
      <c r="K381" s="40"/>
      <c r="L381" s="34">
        <f t="shared" si="43"/>
        <v>6.4502205342443749E-4</v>
      </c>
      <c r="M381" s="35">
        <f t="shared" si="44"/>
        <v>1.0217179734181213E-6</v>
      </c>
      <c r="N381" s="44">
        <f t="shared" si="42"/>
        <v>4.573652105411153E-5</v>
      </c>
      <c r="O381" s="45" t="e">
        <f t="shared" si="45"/>
        <v>#VALUE!</v>
      </c>
      <c r="P381" s="52" t="str">
        <f t="shared" si="46"/>
        <v/>
      </c>
      <c r="Q381" s="53" t="str">
        <f t="shared" si="47"/>
        <v/>
      </c>
      <c r="R381" s="54" t="str">
        <f t="shared" si="48"/>
        <v/>
      </c>
      <c r="S381" s="53" t="str">
        <f t="shared" si="49"/>
        <v/>
      </c>
    </row>
    <row r="382" spans="10:19" x14ac:dyDescent="0.15">
      <c r="J382" s="38">
        <v>373</v>
      </c>
      <c r="K382" s="40"/>
      <c r="L382" s="34">
        <f t="shared" si="43"/>
        <v>6.4604142989001668E-4</v>
      </c>
      <c r="M382" s="35">
        <f t="shared" si="44"/>
        <v>1.017039463462925E-6</v>
      </c>
      <c r="N382" s="44">
        <f t="shared" si="42"/>
        <v>4.5532517312069196E-5</v>
      </c>
      <c r="O382" s="45" t="e">
        <f t="shared" si="45"/>
        <v>#VALUE!</v>
      </c>
      <c r="P382" s="52" t="str">
        <f t="shared" si="46"/>
        <v/>
      </c>
      <c r="Q382" s="53" t="str">
        <f t="shared" si="47"/>
        <v/>
      </c>
      <c r="R382" s="54" t="str">
        <f t="shared" si="48"/>
        <v/>
      </c>
      <c r="S382" s="53" t="str">
        <f t="shared" si="49"/>
        <v/>
      </c>
    </row>
    <row r="383" spans="10:19" x14ac:dyDescent="0.15">
      <c r="J383" s="38">
        <v>374</v>
      </c>
      <c r="K383" s="40"/>
      <c r="L383" s="34">
        <f t="shared" si="43"/>
        <v>6.4705614132819396E-4</v>
      </c>
      <c r="M383" s="35">
        <f t="shared" si="44"/>
        <v>1.012387884066384E-6</v>
      </c>
      <c r="N383" s="44">
        <f t="shared" si="42"/>
        <v>4.532963725643966E-5</v>
      </c>
      <c r="O383" s="45" t="e">
        <f t="shared" si="45"/>
        <v>#VALUE!</v>
      </c>
      <c r="P383" s="52" t="str">
        <f t="shared" si="46"/>
        <v/>
      </c>
      <c r="Q383" s="53" t="str">
        <f t="shared" si="47"/>
        <v/>
      </c>
      <c r="R383" s="54" t="str">
        <f t="shared" si="48"/>
        <v/>
      </c>
      <c r="S383" s="53" t="str">
        <f t="shared" si="49"/>
        <v/>
      </c>
    </row>
    <row r="384" spans="10:19" x14ac:dyDescent="0.15">
      <c r="J384" s="38">
        <v>375</v>
      </c>
      <c r="K384" s="40"/>
      <c r="L384" s="34">
        <f t="shared" si="43"/>
        <v>6.4806621456621515E-4</v>
      </c>
      <c r="M384" s="35">
        <f t="shared" si="44"/>
        <v>1.0077630289332296E-6</v>
      </c>
      <c r="N384" s="44">
        <f t="shared" si="42"/>
        <v>4.5127872644028602E-5</v>
      </c>
      <c r="O384" s="45" t="e">
        <f t="shared" si="45"/>
        <v>#VALUE!</v>
      </c>
      <c r="P384" s="52" t="str">
        <f t="shared" si="46"/>
        <v/>
      </c>
      <c r="Q384" s="53" t="str">
        <f t="shared" si="47"/>
        <v/>
      </c>
      <c r="R384" s="54" t="str">
        <f t="shared" si="48"/>
        <v/>
      </c>
      <c r="S384" s="53" t="str">
        <f t="shared" si="49"/>
        <v/>
      </c>
    </row>
    <row r="385" spans="10:19" x14ac:dyDescent="0.15">
      <c r="J385" s="38">
        <v>376</v>
      </c>
      <c r="K385" s="40"/>
      <c r="L385" s="34">
        <f t="shared" si="43"/>
        <v>6.4907167622601852E-4</v>
      </c>
      <c r="M385" s="35">
        <f t="shared" si="44"/>
        <v>1.0031646937397606E-6</v>
      </c>
      <c r="N385" s="44">
        <f t="shared" si="42"/>
        <v>4.4927215307144128E-5</v>
      </c>
      <c r="O385" s="45" t="e">
        <f t="shared" si="45"/>
        <v>#VALUE!</v>
      </c>
      <c r="P385" s="52" t="str">
        <f t="shared" si="46"/>
        <v/>
      </c>
      <c r="Q385" s="53" t="str">
        <f t="shared" si="47"/>
        <v/>
      </c>
      <c r="R385" s="54" t="str">
        <f t="shared" si="48"/>
        <v/>
      </c>
      <c r="S385" s="53" t="str">
        <f t="shared" si="49"/>
        <v/>
      </c>
    </row>
    <row r="386" spans="10:19" x14ac:dyDescent="0.15">
      <c r="J386" s="38">
        <v>377</v>
      </c>
      <c r="K386" s="40"/>
      <c r="L386" s="34">
        <f t="shared" si="43"/>
        <v>6.5007255272619491E-4</v>
      </c>
      <c r="M386" s="35">
        <f t="shared" si="44"/>
        <v>9.9859267611127892E-7</v>
      </c>
      <c r="N386" s="44">
        <f t="shared" si="42"/>
        <v>4.4727657152767364E-5</v>
      </c>
      <c r="O386" s="45" t="e">
        <f t="shared" si="45"/>
        <v>#VALUE!</v>
      </c>
      <c r="P386" s="52" t="str">
        <f t="shared" si="46"/>
        <v/>
      </c>
      <c r="Q386" s="53" t="str">
        <f t="shared" si="47"/>
        <v/>
      </c>
      <c r="R386" s="54" t="str">
        <f t="shared" si="48"/>
        <v/>
      </c>
      <c r="S386" s="53" t="str">
        <f t="shared" si="49"/>
        <v/>
      </c>
    </row>
    <row r="387" spans="10:19" x14ac:dyDescent="0.15">
      <c r="J387" s="38">
        <v>378</v>
      </c>
      <c r="K387" s="40"/>
      <c r="L387" s="34">
        <f t="shared" si="43"/>
        <v>6.5106887028392563E-4</v>
      </c>
      <c r="M387" s="35">
        <f t="shared" si="44"/>
        <v>9.9404677559982181E-7</v>
      </c>
      <c r="N387" s="44">
        <f t="shared" si="42"/>
        <v>4.4529190161734416E-5</v>
      </c>
      <c r="O387" s="45" t="e">
        <f t="shared" si="45"/>
        <v>#VALUE!</v>
      </c>
      <c r="P387" s="52" t="str">
        <f t="shared" si="46"/>
        <v/>
      </c>
      <c r="Q387" s="53" t="str">
        <f t="shared" si="47"/>
        <v/>
      </c>
      <c r="R387" s="54" t="str">
        <f t="shared" si="48"/>
        <v/>
      </c>
      <c r="S387" s="53" t="str">
        <f t="shared" si="49"/>
        <v/>
      </c>
    </row>
    <row r="388" spans="10:19" x14ac:dyDescent="0.15">
      <c r="J388" s="38">
        <v>379</v>
      </c>
      <c r="K388" s="40"/>
      <c r="L388" s="34">
        <f t="shared" si="43"/>
        <v>6.5206065491689826E-4</v>
      </c>
      <c r="M388" s="35">
        <f t="shared" si="44"/>
        <v>9.8952679366219014E-7</v>
      </c>
      <c r="N388" s="44">
        <f t="shared" si="42"/>
        <v>4.4331806387928972E-5</v>
      </c>
      <c r="O388" s="45" t="e">
        <f t="shared" si="45"/>
        <v>#VALUE!</v>
      </c>
      <c r="P388" s="52" t="str">
        <f t="shared" si="46"/>
        <v/>
      </c>
      <c r="Q388" s="53" t="str">
        <f t="shared" si="47"/>
        <v/>
      </c>
      <c r="R388" s="54" t="str">
        <f t="shared" si="48"/>
        <v/>
      </c>
      <c r="S388" s="53" t="str">
        <f t="shared" si="49"/>
        <v/>
      </c>
    </row>
    <row r="389" spans="10:19" x14ac:dyDescent="0.15">
      <c r="J389" s="38">
        <v>380</v>
      </c>
      <c r="K389" s="40"/>
      <c r="L389" s="34">
        <f t="shared" si="43"/>
        <v>6.5304793244520061E-4</v>
      </c>
      <c r="M389" s="35">
        <f t="shared" si="44"/>
        <v>9.850325336382722E-7</v>
      </c>
      <c r="N389" s="44">
        <f t="shared" si="42"/>
        <v>4.4135497957483783E-5</v>
      </c>
      <c r="O389" s="45" t="e">
        <f t="shared" si="45"/>
        <v>#VALUE!</v>
      </c>
      <c r="P389" s="52" t="str">
        <f t="shared" si="46"/>
        <v/>
      </c>
      <c r="Q389" s="53" t="str">
        <f t="shared" si="47"/>
        <v/>
      </c>
      <c r="R389" s="54" t="str">
        <f t="shared" si="48"/>
        <v/>
      </c>
      <c r="S389" s="53" t="str">
        <f t="shared" si="49"/>
        <v/>
      </c>
    </row>
    <row r="390" spans="10:19" x14ac:dyDescent="0.15">
      <c r="J390" s="38">
        <v>381</v>
      </c>
      <c r="K390" s="40"/>
      <c r="L390" s="34">
        <f t="shared" si="43"/>
        <v>6.5403072849319274E-4</v>
      </c>
      <c r="M390" s="35">
        <f t="shared" si="44"/>
        <v>9.8056380072964853E-7</v>
      </c>
      <c r="N390" s="44">
        <f t="shared" si="42"/>
        <v>4.394025706799397E-5</v>
      </c>
      <c r="O390" s="45" t="e">
        <f t="shared" si="45"/>
        <v>#VALUE!</v>
      </c>
      <c r="P390" s="52" t="str">
        <f t="shared" si="46"/>
        <v/>
      </c>
      <c r="Q390" s="53" t="str">
        <f t="shared" si="47"/>
        <v/>
      </c>
      <c r="R390" s="54" t="str">
        <f t="shared" si="48"/>
        <v/>
      </c>
      <c r="S390" s="53" t="str">
        <f t="shared" si="49"/>
        <v/>
      </c>
    </row>
    <row r="391" spans="10:19" x14ac:dyDescent="0.15">
      <c r="J391" s="38">
        <v>382</v>
      </c>
      <c r="K391" s="40"/>
      <c r="L391" s="34">
        <f t="shared" si="43"/>
        <v>6.5500906849135887E-4</v>
      </c>
      <c r="M391" s="35">
        <f t="shared" si="44"/>
        <v>9.7612040197848638E-7</v>
      </c>
      <c r="N391" s="44">
        <f t="shared" si="42"/>
        <v>4.3746075987739102E-5</v>
      </c>
      <c r="O391" s="45" t="e">
        <f t="shared" si="45"/>
        <v>#VALUE!</v>
      </c>
      <c r="P391" s="52" t="str">
        <f t="shared" si="46"/>
        <v/>
      </c>
      <c r="Q391" s="53" t="str">
        <f t="shared" si="47"/>
        <v/>
      </c>
      <c r="R391" s="54" t="str">
        <f t="shared" si="48"/>
        <v/>
      </c>
      <c r="S391" s="53" t="str">
        <f t="shared" si="49"/>
        <v/>
      </c>
    </row>
    <row r="392" spans="10:19" x14ac:dyDescent="0.15">
      <c r="J392" s="38">
        <v>383</v>
      </c>
      <c r="K392" s="40"/>
      <c r="L392" s="34">
        <f t="shared" si="43"/>
        <v>6.5598297767813631E-4</v>
      </c>
      <c r="M392" s="35">
        <f t="shared" si="44"/>
        <v>9.7170214624670756E-7</v>
      </c>
      <c r="N392" s="44">
        <f t="shared" si="42"/>
        <v>4.3552947054916564E-5</v>
      </c>
      <c r="O392" s="45" t="e">
        <f t="shared" si="45"/>
        <v>#VALUE!</v>
      </c>
      <c r="P392" s="52" t="str">
        <f t="shared" si="46"/>
        <v/>
      </c>
      <c r="Q392" s="53" t="str">
        <f t="shared" si="47"/>
        <v/>
      </c>
      <c r="R392" s="54" t="str">
        <f t="shared" si="48"/>
        <v/>
      </c>
      <c r="S392" s="53" t="str">
        <f t="shared" si="49"/>
        <v/>
      </c>
    </row>
    <row r="393" spans="10:19" x14ac:dyDescent="0.15">
      <c r="J393" s="38">
        <v>384</v>
      </c>
      <c r="K393" s="40"/>
      <c r="L393" s="34">
        <f t="shared" si="43"/>
        <v>6.5695248110172598E-4</v>
      </c>
      <c r="M393" s="35">
        <f t="shared" si="44"/>
        <v>9.6730884419543479E-7</v>
      </c>
      <c r="N393" s="44">
        <f t="shared" ref="N393:N456" si="50">(L443-L393)</f>
        <v>4.3360862676882503E-5</v>
      </c>
      <c r="O393" s="45" t="e">
        <f t="shared" si="45"/>
        <v>#VALUE!</v>
      </c>
      <c r="P393" s="52" t="str">
        <f t="shared" si="46"/>
        <v/>
      </c>
      <c r="Q393" s="53" t="str">
        <f t="shared" si="47"/>
        <v/>
      </c>
      <c r="R393" s="54" t="str">
        <f t="shared" si="48"/>
        <v/>
      </c>
      <c r="S393" s="53" t="str">
        <f t="shared" si="49"/>
        <v/>
      </c>
    </row>
    <row r="394" spans="10:19" x14ac:dyDescent="0.15">
      <c r="J394" s="38">
        <v>385</v>
      </c>
      <c r="K394" s="40"/>
      <c r="L394" s="34">
        <f t="shared" ref="L394:L457" si="51">$F$39*((1-$F$40*J394)/(1+$F$41*J394))*(J394-$F$42)</f>
        <v>6.5791760362188115E-4</v>
      </c>
      <c r="M394" s="35">
        <f t="shared" ref="M394:M457" si="52">$F$39*((1-2*$F$40*J394-$F$40*$F$41*(J394^2)+($F$41+$F$40)*$F$42)/(1+$F$41*J394)^2)</f>
        <v>9.6294030826470566E-7</v>
      </c>
      <c r="N394" s="44">
        <f t="shared" si="50"/>
        <v>4.3169815329404163E-5</v>
      </c>
      <c r="O394" s="45" t="e">
        <f t="shared" ref="O394:O457" si="53">IF(N394&lt;=$B$49,1+O393,0)</f>
        <v>#VALUE!</v>
      </c>
      <c r="P394" s="52" t="str">
        <f t="shared" ref="P394:P457" si="54">IF(J394&lt;=$F$42,J394,"")</f>
        <v/>
      </c>
      <c r="Q394" s="53" t="str">
        <f t="shared" ref="Q394:Q457" si="55">IF(J394&lt;=$F$42,L394,"")</f>
        <v/>
      </c>
      <c r="R394" s="54" t="str">
        <f t="shared" ref="R394:R457" si="56">IF(AND(J394&gt;=$F$42,J394&lt;=200),J394,"")</f>
        <v/>
      </c>
      <c r="S394" s="53" t="str">
        <f t="shared" ref="S394:S457" si="57">IF(AND(J394&gt;=$F$42,J394&lt;=200),L394,"")</f>
        <v/>
      </c>
    </row>
    <row r="395" spans="10:19" x14ac:dyDescent="0.15">
      <c r="J395" s="38">
        <v>386</v>
      </c>
      <c r="K395" s="40"/>
      <c r="L395" s="34">
        <f t="shared" si="51"/>
        <v>6.5887836991167605E-4</v>
      </c>
      <c r="M395" s="35">
        <f t="shared" si="52"/>
        <v>9.5859635265345344E-7</v>
      </c>
      <c r="N395" s="44">
        <f t="shared" si="50"/>
        <v>4.2979797555921652E-5</v>
      </c>
      <c r="O395" s="45" t="e">
        <f t="shared" si="53"/>
        <v>#VALUE!</v>
      </c>
      <c r="P395" s="52" t="str">
        <f t="shared" si="54"/>
        <v/>
      </c>
      <c r="Q395" s="53" t="str">
        <f t="shared" si="55"/>
        <v/>
      </c>
      <c r="R395" s="54" t="str">
        <f t="shared" si="56"/>
        <v/>
      </c>
      <c r="S395" s="53" t="str">
        <f t="shared" si="57"/>
        <v/>
      </c>
    </row>
    <row r="396" spans="10:19" x14ac:dyDescent="0.15">
      <c r="J396" s="38">
        <v>387</v>
      </c>
      <c r="K396" s="40"/>
      <c r="L396" s="34">
        <f t="shared" si="51"/>
        <v>6.5983480445925473E-4</v>
      </c>
      <c r="M396" s="35">
        <f t="shared" si="52"/>
        <v>9.5427679329975258E-7</v>
      </c>
      <c r="N396" s="44">
        <f t="shared" si="50"/>
        <v>4.2790801966817297E-5</v>
      </c>
      <c r="O396" s="45" t="e">
        <f t="shared" si="53"/>
        <v>#VALUE!</v>
      </c>
      <c r="P396" s="52" t="str">
        <f t="shared" si="54"/>
        <v/>
      </c>
      <c r="Q396" s="53" t="str">
        <f t="shared" si="55"/>
        <v/>
      </c>
      <c r="R396" s="54" t="str">
        <f t="shared" si="56"/>
        <v/>
      </c>
      <c r="S396" s="53" t="str">
        <f t="shared" si="57"/>
        <v/>
      </c>
    </row>
    <row r="397" spans="10:19" x14ac:dyDescent="0.15">
      <c r="J397" s="38">
        <v>388</v>
      </c>
      <c r="K397" s="40"/>
      <c r="L397" s="34">
        <f t="shared" si="51"/>
        <v>6.6078693156956163E-4</v>
      </c>
      <c r="M397" s="35">
        <f t="shared" si="52"/>
        <v>9.4998144786131778E-7</v>
      </c>
      <c r="N397" s="44">
        <f t="shared" si="50"/>
        <v>4.260282123869552E-5</v>
      </c>
      <c r="O397" s="45" t="e">
        <f t="shared" si="53"/>
        <v>#VALUE!</v>
      </c>
      <c r="P397" s="52" t="str">
        <f t="shared" si="54"/>
        <v/>
      </c>
      <c r="Q397" s="53" t="str">
        <f t="shared" si="55"/>
        <v/>
      </c>
      <c r="R397" s="54" t="str">
        <f t="shared" si="56"/>
        <v/>
      </c>
      <c r="S397" s="53" t="str">
        <f t="shared" si="57"/>
        <v/>
      </c>
    </row>
    <row r="398" spans="10:19" x14ac:dyDescent="0.15">
      <c r="J398" s="38">
        <v>389</v>
      </c>
      <c r="K398" s="40"/>
      <c r="L398" s="34">
        <f t="shared" si="51"/>
        <v>6.6173477536604988E-4</v>
      </c>
      <c r="M398" s="35">
        <f t="shared" si="52"/>
        <v>9.4571013569626376E-7</v>
      </c>
      <c r="N398" s="44">
        <f t="shared" si="50"/>
        <v>4.2415848113672139E-5</v>
      </c>
      <c r="O398" s="45" t="e">
        <f t="shared" si="53"/>
        <v>#VALUE!</v>
      </c>
      <c r="P398" s="52" t="str">
        <f t="shared" si="54"/>
        <v/>
      </c>
      <c r="Q398" s="53" t="str">
        <f t="shared" si="55"/>
        <v/>
      </c>
      <c r="R398" s="54" t="str">
        <f t="shared" si="56"/>
        <v/>
      </c>
      <c r="S398" s="53" t="str">
        <f t="shared" si="57"/>
        <v/>
      </c>
    </row>
    <row r="399" spans="10:19" x14ac:dyDescent="0.15">
      <c r="J399" s="38">
        <v>390</v>
      </c>
      <c r="K399" s="40"/>
      <c r="L399" s="34">
        <f t="shared" si="51"/>
        <v>6.6267835979237329E-4</v>
      </c>
      <c r="M399" s="35">
        <f t="shared" si="52"/>
        <v>9.414626778441103E-7</v>
      </c>
      <c r="N399" s="44">
        <f t="shared" si="50"/>
        <v>4.222987539867181E-5</v>
      </c>
      <c r="O399" s="45" t="e">
        <f t="shared" si="53"/>
        <v>#VALUE!</v>
      </c>
      <c r="P399" s="52" t="str">
        <f t="shared" si="54"/>
        <v/>
      </c>
      <c r="Q399" s="53" t="str">
        <f t="shared" si="55"/>
        <v/>
      </c>
      <c r="R399" s="54" t="str">
        <f t="shared" si="56"/>
        <v/>
      </c>
      <c r="S399" s="53" t="str">
        <f t="shared" si="57"/>
        <v/>
      </c>
    </row>
    <row r="400" spans="10:19" x14ac:dyDescent="0.15">
      <c r="J400" s="38">
        <v>391</v>
      </c>
      <c r="K400" s="40"/>
      <c r="L400" s="34">
        <f t="shared" si="51"/>
        <v>6.636177086140583E-4</v>
      </c>
      <c r="M400" s="35">
        <f t="shared" si="52"/>
        <v>9.3723889700703817E-7</v>
      </c>
      <c r="N400" s="44">
        <f t="shared" si="50"/>
        <v>4.2044895964733048E-5</v>
      </c>
      <c r="O400" s="45" t="e">
        <f t="shared" si="53"/>
        <v>#VALUE!</v>
      </c>
      <c r="P400" s="52" t="str">
        <f t="shared" si="54"/>
        <v/>
      </c>
      <c r="Q400" s="53" t="str">
        <f t="shared" si="55"/>
        <v/>
      </c>
      <c r="R400" s="54" t="str">
        <f t="shared" si="56"/>
        <v/>
      </c>
      <c r="S400" s="53" t="str">
        <f t="shared" si="57"/>
        <v/>
      </c>
    </row>
    <row r="401" spans="10:19" x14ac:dyDescent="0.15">
      <c r="J401" s="38">
        <v>392</v>
      </c>
      <c r="K401" s="40"/>
      <c r="L401" s="34">
        <f t="shared" si="51"/>
        <v>6.6455284542015652E-4</v>
      </c>
      <c r="M401" s="35">
        <f t="shared" si="52"/>
        <v>9.3303861753138496E-7</v>
      </c>
      <c r="N401" s="44">
        <f t="shared" si="50"/>
        <v>4.1860902746325836E-5</v>
      </c>
      <c r="O401" s="45" t="e">
        <f t="shared" si="53"/>
        <v>#VALUE!</v>
      </c>
      <c r="P401" s="52" t="str">
        <f t="shared" si="54"/>
        <v/>
      </c>
      <c r="Q401" s="53" t="str">
        <f t="shared" si="55"/>
        <v/>
      </c>
      <c r="R401" s="54" t="str">
        <f t="shared" si="56"/>
        <v/>
      </c>
      <c r="S401" s="53" t="str">
        <f t="shared" si="57"/>
        <v/>
      </c>
    </row>
    <row r="402" spans="10:19" x14ac:dyDescent="0.15">
      <c r="J402" s="38">
        <v>393</v>
      </c>
      <c r="K402" s="40"/>
      <c r="L402" s="34">
        <f t="shared" si="51"/>
        <v>6.654837936248809E-4</v>
      </c>
      <c r="M402" s="35">
        <f t="shared" si="52"/>
        <v>9.2886166538938441E-7</v>
      </c>
      <c r="N402" s="44">
        <f t="shared" si="50"/>
        <v>4.1677888740672582E-5</v>
      </c>
      <c r="O402" s="45" t="e">
        <f t="shared" si="53"/>
        <v>#VALUE!</v>
      </c>
      <c r="P402" s="52" t="str">
        <f t="shared" si="54"/>
        <v/>
      </c>
      <c r="Q402" s="53" t="str">
        <f t="shared" si="55"/>
        <v/>
      </c>
      <c r="R402" s="54" t="str">
        <f t="shared" si="56"/>
        <v/>
      </c>
      <c r="S402" s="53" t="str">
        <f t="shared" si="57"/>
        <v/>
      </c>
    </row>
    <row r="403" spans="10:19" x14ac:dyDescent="0.15">
      <c r="J403" s="38">
        <v>394</v>
      </c>
      <c r="K403" s="40"/>
      <c r="L403" s="34">
        <f t="shared" si="51"/>
        <v>6.6641057646922217E-4</v>
      </c>
      <c r="M403" s="35">
        <f t="shared" si="52"/>
        <v>9.2470786816113962E-7</v>
      </c>
      <c r="N403" s="44">
        <f t="shared" si="50"/>
        <v>4.1495847007080584E-5</v>
      </c>
      <c r="O403" s="45" t="e">
        <f t="shared" si="53"/>
        <v>#VALUE!</v>
      </c>
      <c r="P403" s="52" t="str">
        <f t="shared" si="54"/>
        <v/>
      </c>
      <c r="Q403" s="53" t="str">
        <f t="shared" si="55"/>
        <v/>
      </c>
      <c r="R403" s="54" t="str">
        <f t="shared" si="56"/>
        <v/>
      </c>
      <c r="S403" s="53" t="str">
        <f t="shared" si="57"/>
        <v/>
      </c>
    </row>
    <row r="404" spans="10:19" x14ac:dyDescent="0.15">
      <c r="J404" s="38">
        <v>395</v>
      </c>
      <c r="K404" s="40"/>
      <c r="L404" s="34">
        <f t="shared" si="51"/>
        <v>6.6733321702254717E-4</v>
      </c>
      <c r="M404" s="35">
        <f t="shared" si="52"/>
        <v>9.2057705501682865E-7</v>
      </c>
      <c r="N404" s="44">
        <f t="shared" si="50"/>
        <v>4.1314770666284022E-5</v>
      </c>
      <c r="O404" s="45" t="e">
        <f t="shared" si="53"/>
        <v>#VALUE!</v>
      </c>
      <c r="P404" s="52" t="str">
        <f t="shared" si="54"/>
        <v/>
      </c>
      <c r="Q404" s="53" t="str">
        <f t="shared" si="55"/>
        <v/>
      </c>
      <c r="R404" s="54" t="str">
        <f t="shared" si="56"/>
        <v/>
      </c>
      <c r="S404" s="53" t="str">
        <f t="shared" si="57"/>
        <v/>
      </c>
    </row>
    <row r="405" spans="10:19" x14ac:dyDescent="0.15">
      <c r="J405" s="38">
        <v>396</v>
      </c>
      <c r="K405" s="40"/>
      <c r="L405" s="34">
        <f t="shared" si="51"/>
        <v>6.682517381841808E-4</v>
      </c>
      <c r="M405" s="35">
        <f t="shared" si="52"/>
        <v>9.1646905669914218E-7</v>
      </c>
      <c r="N405" s="44">
        <f t="shared" si="50"/>
        <v>4.1134652899790184E-5</v>
      </c>
      <c r="O405" s="45" t="e">
        <f t="shared" si="53"/>
        <v>#VALUE!</v>
      </c>
      <c r="P405" s="52" t="str">
        <f t="shared" si="54"/>
        <v/>
      </c>
      <c r="Q405" s="53" t="str">
        <f t="shared" si="55"/>
        <v/>
      </c>
      <c r="R405" s="54" t="str">
        <f t="shared" si="56"/>
        <v/>
      </c>
      <c r="S405" s="53" t="str">
        <f t="shared" si="57"/>
        <v/>
      </c>
    </row>
    <row r="406" spans="10:19" x14ac:dyDescent="0.15">
      <c r="J406" s="38">
        <v>397</v>
      </c>
      <c r="K406" s="40"/>
      <c r="L406" s="34">
        <f t="shared" si="51"/>
        <v>6.6916616268496978E-4</v>
      </c>
      <c r="M406" s="35">
        <f t="shared" si="52"/>
        <v>9.1238370550594253E-7</v>
      </c>
      <c r="N406" s="44">
        <f t="shared" si="50"/>
        <v>4.0955486949237081E-5</v>
      </c>
      <c r="O406" s="45" t="e">
        <f t="shared" si="53"/>
        <v>#VALUE!</v>
      </c>
      <c r="P406" s="52" t="str">
        <f t="shared" si="54"/>
        <v/>
      </c>
      <c r="Q406" s="53" t="str">
        <f t="shared" si="55"/>
        <v/>
      </c>
      <c r="R406" s="54" t="str">
        <f t="shared" si="56"/>
        <v/>
      </c>
      <c r="S406" s="53" t="str">
        <f t="shared" si="57"/>
        <v/>
      </c>
    </row>
    <row r="407" spans="10:19" x14ac:dyDescent="0.15">
      <c r="J407" s="38">
        <v>398</v>
      </c>
      <c r="K407" s="40"/>
      <c r="L407" s="34">
        <f t="shared" si="51"/>
        <v>6.7007651308882926E-4</v>
      </c>
      <c r="M407" s="35">
        <f t="shared" si="52"/>
        <v>9.083208352731508E-7</v>
      </c>
      <c r="N407" s="44">
        <f t="shared" si="50"/>
        <v>4.0777266115757339E-5</v>
      </c>
      <c r="O407" s="45" t="e">
        <f t="shared" si="53"/>
        <v>#VALUE!</v>
      </c>
      <c r="P407" s="52" t="str">
        <f t="shared" si="54"/>
        <v/>
      </c>
      <c r="Q407" s="53" t="str">
        <f t="shared" si="55"/>
        <v/>
      </c>
      <c r="R407" s="54" t="str">
        <f t="shared" si="56"/>
        <v/>
      </c>
      <c r="S407" s="53" t="str">
        <f t="shared" si="57"/>
        <v/>
      </c>
    </row>
    <row r="408" spans="10:19" x14ac:dyDescent="0.15">
      <c r="J408" s="38">
        <v>399</v>
      </c>
      <c r="K408" s="40"/>
      <c r="L408" s="34">
        <f t="shared" si="51"/>
        <v>6.7098281179427198E-4</v>
      </c>
      <c r="M408" s="35">
        <f t="shared" si="52"/>
        <v>9.0428028135784845E-7</v>
      </c>
      <c r="N408" s="44">
        <f t="shared" si="50"/>
        <v>4.0599983759350778E-5</v>
      </c>
      <c r="O408" s="45" t="e">
        <f t="shared" si="53"/>
        <v>#VALUE!</v>
      </c>
      <c r="P408" s="52" t="str">
        <f t="shared" si="54"/>
        <v/>
      </c>
      <c r="Q408" s="53" t="str">
        <f t="shared" si="55"/>
        <v/>
      </c>
      <c r="R408" s="54" t="str">
        <f t="shared" si="56"/>
        <v/>
      </c>
      <c r="S408" s="53" t="str">
        <f t="shared" si="57"/>
        <v/>
      </c>
    </row>
    <row r="409" spans="10:19" x14ac:dyDescent="0.15">
      <c r="J409" s="38">
        <v>400</v>
      </c>
      <c r="K409" s="40"/>
      <c r="L409" s="34">
        <f t="shared" si="51"/>
        <v>6.7188508103592135E-4</v>
      </c>
      <c r="M409" s="35">
        <f t="shared" si="52"/>
        <v>9.0026188062159839E-7</v>
      </c>
      <c r="N409" s="44">
        <f t="shared" si="50"/>
        <v>4.0423633298264676E-5</v>
      </c>
      <c r="O409" s="45" t="e">
        <f t="shared" si="53"/>
        <v>#VALUE!</v>
      </c>
      <c r="P409" s="52" t="str">
        <f t="shared" si="54"/>
        <v/>
      </c>
      <c r="Q409" s="53" t="str">
        <f t="shared" si="55"/>
        <v/>
      </c>
      <c r="R409" s="54" t="str">
        <f t="shared" si="56"/>
        <v/>
      </c>
      <c r="S409" s="53" t="str">
        <f t="shared" si="57"/>
        <v/>
      </c>
    </row>
    <row r="410" spans="10:19" x14ac:dyDescent="0.15">
      <c r="J410" s="38">
        <v>401</v>
      </c>
      <c r="K410" s="40"/>
      <c r="L410" s="34">
        <f t="shared" si="51"/>
        <v>6.7278334288600825E-4</v>
      </c>
      <c r="M410" s="35">
        <f t="shared" si="52"/>
        <v>8.9626547141397708E-7</v>
      </c>
      <c r="N410" s="44">
        <f t="shared" si="50"/>
        <v>4.0248208208379464E-5</v>
      </c>
      <c r="O410" s="45" t="e">
        <f t="shared" si="53"/>
        <v>#VALUE!</v>
      </c>
      <c r="P410" s="52" t="str">
        <f t="shared" si="54"/>
        <v/>
      </c>
      <c r="Q410" s="53" t="str">
        <f t="shared" si="55"/>
        <v/>
      </c>
      <c r="R410" s="54" t="str">
        <f t="shared" si="56"/>
        <v/>
      </c>
      <c r="S410" s="53" t="str">
        <f t="shared" si="57"/>
        <v/>
      </c>
    </row>
    <row r="411" spans="10:19" x14ac:dyDescent="0.15">
      <c r="J411" s="38">
        <v>402</v>
      </c>
      <c r="K411" s="40"/>
      <c r="L411" s="34">
        <f t="shared" si="51"/>
        <v>6.7367761925584975E-4</v>
      </c>
      <c r="M411" s="35">
        <f t="shared" si="52"/>
        <v>8.922908935563177E-7</v>
      </c>
      <c r="N411" s="44">
        <f t="shared" si="50"/>
        <v>4.0073702022606667E-5</v>
      </c>
      <c r="O411" s="45" t="e">
        <f t="shared" si="53"/>
        <v>#VALUE!</v>
      </c>
      <c r="P411" s="52" t="str">
        <f t="shared" si="54"/>
        <v/>
      </c>
      <c r="Q411" s="53" t="str">
        <f t="shared" si="55"/>
        <v/>
      </c>
      <c r="R411" s="54" t="str">
        <f t="shared" si="56"/>
        <v/>
      </c>
      <c r="S411" s="53" t="str">
        <f t="shared" si="57"/>
        <v/>
      </c>
    </row>
    <row r="412" spans="10:19" x14ac:dyDescent="0.15">
      <c r="J412" s="38">
        <v>403</v>
      </c>
      <c r="K412" s="40"/>
      <c r="L412" s="34">
        <f t="shared" si="51"/>
        <v>6.7456793189731381E-4</v>
      </c>
      <c r="M412" s="35">
        <f t="shared" si="52"/>
        <v>8.883379883256599E-7</v>
      </c>
      <c r="N412" s="44">
        <f t="shared" si="50"/>
        <v>3.9900108330289015E-5</v>
      </c>
      <c r="O412" s="45" t="e">
        <f t="shared" si="53"/>
        <v>#VALUE!</v>
      </c>
      <c r="P412" s="52" t="str">
        <f t="shared" si="54"/>
        <v/>
      </c>
      <c r="Q412" s="53" t="str">
        <f t="shared" si="55"/>
        <v/>
      </c>
      <c r="R412" s="54" t="str">
        <f t="shared" si="56"/>
        <v/>
      </c>
      <c r="S412" s="53" t="str">
        <f t="shared" si="57"/>
        <v/>
      </c>
    </row>
    <row r="413" spans="10:19" x14ac:dyDescent="0.15">
      <c r="J413" s="38">
        <v>404</v>
      </c>
      <c r="K413" s="40"/>
      <c r="L413" s="34">
        <f t="shared" si="51"/>
        <v>6.7545430240426659E-4</v>
      </c>
      <c r="M413" s="35">
        <f t="shared" si="52"/>
        <v>8.8440659843890257E-7</v>
      </c>
      <c r="N413" s="44">
        <f t="shared" si="50"/>
        <v>3.9727420776610638E-5</v>
      </c>
      <c r="O413" s="45" t="e">
        <f t="shared" si="53"/>
        <v>#VALUE!</v>
      </c>
      <c r="P413" s="52" t="str">
        <f t="shared" si="54"/>
        <v/>
      </c>
      <c r="Q413" s="53" t="str">
        <f t="shared" si="55"/>
        <v/>
      </c>
      <c r="R413" s="54" t="str">
        <f t="shared" si="56"/>
        <v/>
      </c>
      <c r="S413" s="53" t="str">
        <f t="shared" si="57"/>
        <v/>
      </c>
    </row>
    <row r="414" spans="10:19" x14ac:dyDescent="0.15">
      <c r="J414" s="38">
        <v>405</v>
      </c>
      <c r="K414" s="40"/>
      <c r="L414" s="34">
        <f t="shared" si="51"/>
        <v>6.7633675221400445E-4</v>
      </c>
      <c r="M414" s="35">
        <f t="shared" si="52"/>
        <v>8.8049656803715893E-7</v>
      </c>
      <c r="N414" s="44">
        <f t="shared" si="50"/>
        <v>3.9555633062015824E-5</v>
      </c>
      <c r="O414" s="45" t="e">
        <f t="shared" si="53"/>
        <v>#VALUE!</v>
      </c>
      <c r="P414" s="52" t="str">
        <f t="shared" si="54"/>
        <v/>
      </c>
      <c r="Q414" s="53" t="str">
        <f t="shared" si="55"/>
        <v/>
      </c>
      <c r="R414" s="54" t="str">
        <f t="shared" si="56"/>
        <v/>
      </c>
      <c r="S414" s="53" t="str">
        <f t="shared" si="57"/>
        <v/>
      </c>
    </row>
    <row r="415" spans="10:19" x14ac:dyDescent="0.15">
      <c r="J415" s="38">
        <v>406</v>
      </c>
      <c r="K415" s="40"/>
      <c r="L415" s="34">
        <f t="shared" si="51"/>
        <v>6.7721530260867044E-4</v>
      </c>
      <c r="M415" s="35">
        <f t="shared" si="52"/>
        <v>8.7660774267030802E-7</v>
      </c>
      <c r="N415" s="44">
        <f t="shared" si="50"/>
        <v>3.9384738941630163E-5</v>
      </c>
      <c r="O415" s="45" t="e">
        <f t="shared" si="53"/>
        <v>#VALUE!</v>
      </c>
      <c r="P415" s="52" t="str">
        <f t="shared" si="54"/>
        <v/>
      </c>
      <c r="Q415" s="53" t="str">
        <f t="shared" si="55"/>
        <v/>
      </c>
      <c r="R415" s="54" t="str">
        <f t="shared" si="56"/>
        <v/>
      </c>
      <c r="S415" s="53" t="str">
        <f t="shared" si="57"/>
        <v/>
      </c>
    </row>
    <row r="416" spans="10:19" x14ac:dyDescent="0.15">
      <c r="J416" s="38">
        <v>407</v>
      </c>
      <c r="K416" s="40"/>
      <c r="L416" s="34">
        <f t="shared" si="51"/>
        <v>6.7808997471665569E-4</v>
      </c>
      <c r="M416" s="35">
        <f t="shared" si="52"/>
        <v>8.727399692817427E-7</v>
      </c>
      <c r="N416" s="44">
        <f t="shared" si="50"/>
        <v>3.9214732224693944E-5</v>
      </c>
      <c r="O416" s="45" t="e">
        <f t="shared" si="53"/>
        <v>#VALUE!</v>
      </c>
      <c r="P416" s="52" t="str">
        <f t="shared" si="54"/>
        <v/>
      </c>
      <c r="Q416" s="53" t="str">
        <f t="shared" si="55"/>
        <v/>
      </c>
      <c r="R416" s="54" t="str">
        <f t="shared" si="56"/>
        <v/>
      </c>
      <c r="S416" s="53" t="str">
        <f t="shared" si="57"/>
        <v/>
      </c>
    </row>
    <row r="417" spans="10:19" x14ac:dyDescent="0.15">
      <c r="J417" s="38">
        <v>408</v>
      </c>
      <c r="K417" s="40"/>
      <c r="L417" s="34">
        <f t="shared" si="51"/>
        <v>6.7896078951398538E-4</v>
      </c>
      <c r="M417" s="35">
        <f t="shared" si="52"/>
        <v>8.6889309619330975E-7</v>
      </c>
      <c r="N417" s="44">
        <f t="shared" si="50"/>
        <v>3.9045606773998264E-5</v>
      </c>
      <c r="O417" s="45" t="e">
        <f t="shared" si="53"/>
        <v>#VALUE!</v>
      </c>
      <c r="P417" s="52" t="str">
        <f t="shared" si="54"/>
        <v/>
      </c>
      <c r="Q417" s="53" t="str">
        <f t="shared" si="55"/>
        <v/>
      </c>
      <c r="R417" s="54" t="str">
        <f t="shared" si="56"/>
        <v/>
      </c>
      <c r="S417" s="53" t="str">
        <f t="shared" si="57"/>
        <v/>
      </c>
    </row>
    <row r="418" spans="10:19" x14ac:dyDescent="0.15">
      <c r="J418" s="38">
        <v>409</v>
      </c>
      <c r="K418" s="40"/>
      <c r="L418" s="34">
        <f t="shared" si="51"/>
        <v>6.7982776782568924E-4</v>
      </c>
      <c r="M418" s="35">
        <f t="shared" si="52"/>
        <v>8.6506697309043742E-7</v>
      </c>
      <c r="N418" s="44">
        <f t="shared" si="50"/>
        <v>3.8877356505331428E-5</v>
      </c>
      <c r="O418" s="45" t="e">
        <f t="shared" si="53"/>
        <v>#VALUE!</v>
      </c>
      <c r="P418" s="52" t="str">
        <f t="shared" si="54"/>
        <v/>
      </c>
      <c r="Q418" s="53" t="str">
        <f t="shared" si="55"/>
        <v/>
      </c>
      <c r="R418" s="54" t="str">
        <f t="shared" si="56"/>
        <v/>
      </c>
      <c r="S418" s="53" t="str">
        <f t="shared" si="57"/>
        <v/>
      </c>
    </row>
    <row r="419" spans="10:19" x14ac:dyDescent="0.15">
      <c r="J419" s="38">
        <v>410</v>
      </c>
      <c r="K419" s="40"/>
      <c r="L419" s="34">
        <f t="shared" si="51"/>
        <v>6.8069093032715816E-4</v>
      </c>
      <c r="M419" s="35">
        <f t="shared" si="52"/>
        <v>8.6126145100745457E-7</v>
      </c>
      <c r="N419" s="44">
        <f t="shared" si="50"/>
        <v>3.8709975386930023E-5</v>
      </c>
      <c r="O419" s="45" t="e">
        <f t="shared" si="53"/>
        <v>#VALUE!</v>
      </c>
      <c r="P419" s="52" t="str">
        <f t="shared" si="54"/>
        <v/>
      </c>
      <c r="Q419" s="53" t="str">
        <f t="shared" si="55"/>
        <v/>
      </c>
      <c r="R419" s="54" t="str">
        <f t="shared" si="56"/>
        <v/>
      </c>
      <c r="S419" s="53" t="str">
        <f t="shared" si="57"/>
        <v/>
      </c>
    </row>
    <row r="420" spans="10:19" x14ac:dyDescent="0.15">
      <c r="J420" s="38">
        <v>411</v>
      </c>
      <c r="K420" s="40"/>
      <c r="L420" s="34">
        <f t="shared" si="51"/>
        <v>6.8155029754548571E-4</v>
      </c>
      <c r="M420" s="35">
        <f t="shared" si="52"/>
        <v>8.5747638231308755E-7</v>
      </c>
      <c r="N420" s="44">
        <f t="shared" si="50"/>
        <v>3.8543457438935404E-5</v>
      </c>
      <c r="O420" s="45" t="e">
        <f t="shared" si="53"/>
        <v>#VALUE!</v>
      </c>
      <c r="P420" s="52" t="str">
        <f t="shared" si="54"/>
        <v/>
      </c>
      <c r="Q420" s="53" t="str">
        <f t="shared" si="55"/>
        <v/>
      </c>
      <c r="R420" s="54" t="str">
        <f t="shared" si="56"/>
        <v/>
      </c>
      <c r="S420" s="53" t="str">
        <f t="shared" si="57"/>
        <v/>
      </c>
    </row>
    <row r="421" spans="10:19" x14ac:dyDescent="0.15">
      <c r="J421" s="38">
        <v>412</v>
      </c>
      <c r="K421" s="40"/>
      <c r="L421" s="34">
        <f t="shared" si="51"/>
        <v>6.8240588986079559E-4</v>
      </c>
      <c r="M421" s="35">
        <f t="shared" si="52"/>
        <v>8.5371162069614471E-7</v>
      </c>
      <c r="N421" s="44">
        <f t="shared" si="50"/>
        <v>3.837779673286038E-5</v>
      </c>
      <c r="O421" s="45" t="e">
        <f t="shared" si="53"/>
        <v>#VALUE!</v>
      </c>
      <c r="P421" s="52" t="str">
        <f t="shared" si="54"/>
        <v/>
      </c>
      <c r="Q421" s="53" t="str">
        <f t="shared" si="55"/>
        <v/>
      </c>
      <c r="R421" s="54" t="str">
        <f t="shared" si="56"/>
        <v/>
      </c>
      <c r="S421" s="53" t="str">
        <f t="shared" si="57"/>
        <v/>
      </c>
    </row>
    <row r="422" spans="10:19" x14ac:dyDescent="0.15">
      <c r="J422" s="38">
        <v>413</v>
      </c>
      <c r="K422" s="40"/>
      <c r="L422" s="34">
        <f t="shared" si="51"/>
        <v>6.8325772750755436E-4</v>
      </c>
      <c r="M422" s="35">
        <f t="shared" si="52"/>
        <v>8.4996702115137487E-7</v>
      </c>
      <c r="N422" s="44">
        <f t="shared" si="50"/>
        <v>3.8212987391059248E-5</v>
      </c>
      <c r="O422" s="45" t="e">
        <f t="shared" si="53"/>
        <v>#VALUE!</v>
      </c>
      <c r="P422" s="52" t="str">
        <f t="shared" si="54"/>
        <v/>
      </c>
      <c r="Q422" s="53" t="str">
        <f t="shared" si="55"/>
        <v/>
      </c>
      <c r="R422" s="54" t="str">
        <f t="shared" si="56"/>
        <v/>
      </c>
      <c r="S422" s="53" t="str">
        <f t="shared" si="57"/>
        <v/>
      </c>
    </row>
    <row r="423" spans="10:19" x14ac:dyDescent="0.15">
      <c r="J423" s="38">
        <v>414</v>
      </c>
      <c r="K423" s="40"/>
      <c r="L423" s="34">
        <f t="shared" si="51"/>
        <v>6.841058305758703E-4</v>
      </c>
      <c r="M423" s="35">
        <f t="shared" si="52"/>
        <v>8.4624243996550654E-7</v>
      </c>
      <c r="N423" s="44">
        <f t="shared" si="50"/>
        <v>3.8049023586204781E-5</v>
      </c>
      <c r="O423" s="45" t="e">
        <f t="shared" si="53"/>
        <v>#VALUE!</v>
      </c>
      <c r="P423" s="52" t="str">
        <f t="shared" si="54"/>
        <v/>
      </c>
      <c r="Q423" s="53" t="str">
        <f t="shared" si="55"/>
        <v/>
      </c>
      <c r="R423" s="54" t="str">
        <f t="shared" si="56"/>
        <v/>
      </c>
      <c r="S423" s="53" t="str">
        <f t="shared" si="57"/>
        <v/>
      </c>
    </row>
    <row r="424" spans="10:19" x14ac:dyDescent="0.15">
      <c r="J424" s="38">
        <v>415</v>
      </c>
      <c r="K424" s="40"/>
      <c r="L424" s="34">
        <f t="shared" si="51"/>
        <v>6.8495021901277919E-4</v>
      </c>
      <c r="M424" s="35">
        <f t="shared" si="52"/>
        <v>8.4253773470345764E-7</v>
      </c>
      <c r="N424" s="44">
        <f t="shared" si="50"/>
        <v>3.7885899540772796E-5</v>
      </c>
      <c r="O424" s="45" t="e">
        <f t="shared" si="53"/>
        <v>#VALUE!</v>
      </c>
      <c r="P424" s="52" t="str">
        <f t="shared" si="54"/>
        <v/>
      </c>
      <c r="Q424" s="53" t="str">
        <f t="shared" si="55"/>
        <v/>
      </c>
      <c r="R424" s="54" t="str">
        <f t="shared" si="56"/>
        <v/>
      </c>
      <c r="S424" s="53" t="str">
        <f t="shared" si="57"/>
        <v/>
      </c>
    </row>
    <row r="425" spans="10:19" x14ac:dyDescent="0.15">
      <c r="J425" s="38">
        <v>416</v>
      </c>
      <c r="K425" s="40"/>
      <c r="L425" s="34">
        <f t="shared" si="51"/>
        <v>6.8579091262351444E-4</v>
      </c>
      <c r="M425" s="35">
        <f t="shared" si="52"/>
        <v>8.3885276419471709E-7</v>
      </c>
      <c r="N425" s="44">
        <f t="shared" si="50"/>
        <v>3.7723609526531384E-5</v>
      </c>
      <c r="O425" s="45" t="e">
        <f t="shared" si="53"/>
        <v>#VALUE!</v>
      </c>
      <c r="P425" s="52" t="str">
        <f t="shared" si="54"/>
        <v/>
      </c>
      <c r="Q425" s="53" t="str">
        <f t="shared" si="55"/>
        <v/>
      </c>
      <c r="R425" s="54" t="str">
        <f t="shared" si="56"/>
        <v/>
      </c>
      <c r="S425" s="53" t="str">
        <f t="shared" si="57"/>
        <v/>
      </c>
    </row>
    <row r="426" spans="10:19" x14ac:dyDescent="0.15">
      <c r="J426" s="38">
        <v>417</v>
      </c>
      <c r="K426" s="40"/>
      <c r="L426" s="34">
        <f t="shared" si="51"/>
        <v>6.8662793107276629E-4</v>
      </c>
      <c r="M426" s="35">
        <f t="shared" si="52"/>
        <v>8.351873885198984E-7</v>
      </c>
      <c r="N426" s="44">
        <f t="shared" si="50"/>
        <v>3.7562147864036652E-5</v>
      </c>
      <c r="O426" s="45" t="e">
        <f t="shared" si="53"/>
        <v>#VALUE!</v>
      </c>
      <c r="P426" s="52" t="str">
        <f t="shared" si="54"/>
        <v/>
      </c>
      <c r="Q426" s="53" t="str">
        <f t="shared" si="55"/>
        <v/>
      </c>
      <c r="R426" s="54" t="str">
        <f t="shared" si="56"/>
        <v/>
      </c>
      <c r="S426" s="53" t="str">
        <f t="shared" si="57"/>
        <v/>
      </c>
    </row>
    <row r="427" spans="10:19" x14ac:dyDescent="0.15">
      <c r="J427" s="38">
        <v>418</v>
      </c>
      <c r="K427" s="40"/>
      <c r="L427" s="34">
        <f t="shared" si="51"/>
        <v>6.8746129388592482E-4</v>
      </c>
      <c r="M427" s="35">
        <f t="shared" si="52"/>
        <v>8.3154146899745496E-7</v>
      </c>
      <c r="N427" s="44">
        <f t="shared" si="50"/>
        <v>3.7401508922136045E-5</v>
      </c>
      <c r="O427" s="45" t="e">
        <f t="shared" si="53"/>
        <v>#VALUE!</v>
      </c>
      <c r="P427" s="52" t="str">
        <f t="shared" si="54"/>
        <v/>
      </c>
      <c r="Q427" s="53" t="str">
        <f t="shared" si="55"/>
        <v/>
      </c>
      <c r="R427" s="54" t="str">
        <f t="shared" si="56"/>
        <v/>
      </c>
      <c r="S427" s="53" t="str">
        <f t="shared" si="57"/>
        <v/>
      </c>
    </row>
    <row r="428" spans="10:19" x14ac:dyDescent="0.15">
      <c r="J428" s="38">
        <v>419</v>
      </c>
      <c r="K428" s="40"/>
      <c r="L428" s="34">
        <f t="shared" si="51"/>
        <v>6.8829102045031294E-4</v>
      </c>
      <c r="M428" s="35">
        <f t="shared" si="52"/>
        <v>8.2791486817056404E-7</v>
      </c>
      <c r="N428" s="44">
        <f t="shared" si="50"/>
        <v>3.7241687117473194E-5</v>
      </c>
      <c r="O428" s="45" t="e">
        <f t="shared" si="53"/>
        <v>#VALUE!</v>
      </c>
      <c r="P428" s="52" t="str">
        <f t="shared" si="54"/>
        <v/>
      </c>
      <c r="Q428" s="53" t="str">
        <f t="shared" si="55"/>
        <v/>
      </c>
      <c r="R428" s="54" t="str">
        <f t="shared" si="56"/>
        <v/>
      </c>
      <c r="S428" s="53" t="str">
        <f t="shared" si="57"/>
        <v/>
      </c>
    </row>
    <row r="429" spans="10:19" x14ac:dyDescent="0.15">
      <c r="J429" s="38">
        <v>420</v>
      </c>
      <c r="K429" s="40"/>
      <c r="L429" s="34">
        <f t="shared" si="51"/>
        <v>6.8911713001640286E-4</v>
      </c>
      <c r="M429" s="35">
        <f t="shared" si="52"/>
        <v>8.2430744979416942E-7</v>
      </c>
      <c r="N429" s="44">
        <f t="shared" si="50"/>
        <v>3.7082676914004906E-5</v>
      </c>
      <c r="O429" s="45" t="e">
        <f t="shared" si="53"/>
        <v>#VALUE!</v>
      </c>
      <c r="P429" s="52" t="str">
        <f t="shared" si="54"/>
        <v/>
      </c>
      <c r="Q429" s="53" t="str">
        <f t="shared" si="55"/>
        <v/>
      </c>
      <c r="R429" s="54" t="str">
        <f t="shared" si="56"/>
        <v/>
      </c>
      <c r="S429" s="53" t="str">
        <f t="shared" si="57"/>
        <v/>
      </c>
    </row>
    <row r="430" spans="10:19" x14ac:dyDescent="0.15">
      <c r="J430" s="38">
        <v>421</v>
      </c>
      <c r="K430" s="40"/>
      <c r="L430" s="34">
        <f t="shared" si="51"/>
        <v>6.8993964169902279E-4</v>
      </c>
      <c r="M430" s="35">
        <f t="shared" si="52"/>
        <v>8.2071907882218566E-7</v>
      </c>
      <c r="N430" s="44">
        <f t="shared" si="50"/>
        <v>3.6924472822518796E-5</v>
      </c>
      <c r="O430" s="45" t="e">
        <f t="shared" si="53"/>
        <v>#VALUE!</v>
      </c>
      <c r="P430" s="52" t="str">
        <f t="shared" si="54"/>
        <v/>
      </c>
      <c r="Q430" s="53" t="str">
        <f t="shared" si="55"/>
        <v/>
      </c>
      <c r="R430" s="54" t="str">
        <f t="shared" si="56"/>
        <v/>
      </c>
      <c r="S430" s="53" t="str">
        <f t="shared" si="57"/>
        <v/>
      </c>
    </row>
    <row r="431" spans="10:19" x14ac:dyDescent="0.15">
      <c r="J431" s="38">
        <v>422</v>
      </c>
      <c r="K431" s="40"/>
      <c r="L431" s="34">
        <f t="shared" si="51"/>
        <v>6.9075857447854902E-4</v>
      </c>
      <c r="M431" s="35">
        <f t="shared" si="52"/>
        <v>8.1714962139485964E-7</v>
      </c>
      <c r="N431" s="44">
        <f t="shared" si="50"/>
        <v>3.6767069400158413E-5</v>
      </c>
      <c r="O431" s="45" t="e">
        <f t="shared" si="53"/>
        <v>#VALUE!</v>
      </c>
      <c r="P431" s="52" t="str">
        <f t="shared" si="54"/>
        <v/>
      </c>
      <c r="Q431" s="53" t="str">
        <f t="shared" si="55"/>
        <v/>
      </c>
      <c r="R431" s="54" t="str">
        <f t="shared" si="56"/>
        <v/>
      </c>
      <c r="S431" s="53" t="str">
        <f t="shared" si="57"/>
        <v/>
      </c>
    </row>
    <row r="432" spans="10:19" x14ac:dyDescent="0.15">
      <c r="J432" s="38">
        <v>423</v>
      </c>
      <c r="K432" s="40"/>
      <c r="L432" s="34">
        <f t="shared" si="51"/>
        <v>6.9157394720208588E-4</v>
      </c>
      <c r="M432" s="35">
        <f t="shared" si="52"/>
        <v>8.1359894482628521E-7</v>
      </c>
      <c r="N432" s="44">
        <f t="shared" si="50"/>
        <v>3.6610461249954752E-5</v>
      </c>
      <c r="O432" s="45" t="e">
        <f t="shared" si="53"/>
        <v>#VALUE!</v>
      </c>
      <c r="P432" s="52" t="str">
        <f t="shared" si="54"/>
        <v/>
      </c>
      <c r="Q432" s="53" t="str">
        <f t="shared" si="55"/>
        <v/>
      </c>
      <c r="R432" s="54" t="str">
        <f t="shared" si="56"/>
        <v/>
      </c>
      <c r="S432" s="53" t="str">
        <f t="shared" si="57"/>
        <v/>
      </c>
    </row>
    <row r="433" spans="10:19" x14ac:dyDescent="0.15">
      <c r="J433" s="38">
        <v>424</v>
      </c>
      <c r="K433" s="40"/>
      <c r="L433" s="34">
        <f t="shared" si="51"/>
        <v>6.9238577858463362E-4</v>
      </c>
      <c r="M433" s="35">
        <f t="shared" si="52"/>
        <v>8.1006691759207385E-7</v>
      </c>
      <c r="N433" s="44">
        <f t="shared" si="50"/>
        <v>3.6454643020361675E-5</v>
      </c>
      <c r="O433" s="45" t="e">
        <f t="shared" si="53"/>
        <v>#VALUE!</v>
      </c>
      <c r="P433" s="52" t="str">
        <f t="shared" si="54"/>
        <v/>
      </c>
      <c r="Q433" s="53" t="str">
        <f t="shared" si="55"/>
        <v/>
      </c>
      <c r="R433" s="54" t="str">
        <f t="shared" si="56"/>
        <v/>
      </c>
      <c r="S433" s="53" t="str">
        <f t="shared" si="57"/>
        <v/>
      </c>
    </row>
    <row r="434" spans="10:19" x14ac:dyDescent="0.15">
      <c r="J434" s="38">
        <v>425</v>
      </c>
      <c r="K434" s="40"/>
      <c r="L434" s="34">
        <f t="shared" si="51"/>
        <v>6.9319408721024375E-4</v>
      </c>
      <c r="M434" s="35">
        <f t="shared" si="52"/>
        <v>8.0655340931717309E-7</v>
      </c>
      <c r="N434" s="44">
        <f t="shared" si="50"/>
        <v>3.6299609404798704E-5</v>
      </c>
      <c r="O434" s="45" t="e">
        <f t="shared" si="53"/>
        <v>#VALUE!</v>
      </c>
      <c r="P434" s="52" t="str">
        <f t="shared" si="54"/>
        <v/>
      </c>
      <c r="Q434" s="53" t="str">
        <f t="shared" si="55"/>
        <v/>
      </c>
      <c r="R434" s="54" t="str">
        <f t="shared" si="56"/>
        <v/>
      </c>
      <c r="S434" s="53" t="str">
        <f t="shared" si="57"/>
        <v/>
      </c>
    </row>
    <row r="435" spans="10:19" x14ac:dyDescent="0.15">
      <c r="J435" s="38">
        <v>426</v>
      </c>
      <c r="K435" s="40"/>
      <c r="L435" s="34">
        <f t="shared" si="51"/>
        <v>6.9399889153316265E-4</v>
      </c>
      <c r="M435" s="35">
        <f t="shared" si="52"/>
        <v>8.0305829076383693E-7</v>
      </c>
      <c r="N435" s="44">
        <f t="shared" si="50"/>
        <v>3.6145355141197063E-5</v>
      </c>
      <c r="O435" s="45" t="e">
        <f t="shared" si="53"/>
        <v>#VALUE!</v>
      </c>
      <c r="P435" s="52" t="str">
        <f t="shared" si="54"/>
        <v/>
      </c>
      <c r="Q435" s="53" t="str">
        <f t="shared" si="55"/>
        <v/>
      </c>
      <c r="R435" s="54" t="str">
        <f t="shared" si="56"/>
        <v/>
      </c>
      <c r="S435" s="53" t="str">
        <f t="shared" si="57"/>
        <v/>
      </c>
    </row>
    <row r="436" spans="10:19" x14ac:dyDescent="0.15">
      <c r="J436" s="38">
        <v>427</v>
      </c>
      <c r="K436" s="40"/>
      <c r="L436" s="34">
        <f t="shared" si="51"/>
        <v>6.9480020987896227E-4</v>
      </c>
      <c r="M436" s="35">
        <f t="shared" si="52"/>
        <v>7.995814338197403E-7</v>
      </c>
      <c r="N436" s="44">
        <f t="shared" si="50"/>
        <v>3.5991875011552664E-5</v>
      </c>
      <c r="O436" s="45" t="e">
        <f t="shared" si="53"/>
        <v>#VALUE!</v>
      </c>
      <c r="P436" s="52" t="str">
        <f t="shared" si="54"/>
        <v/>
      </c>
      <c r="Q436" s="53" t="str">
        <f t="shared" si="55"/>
        <v/>
      </c>
      <c r="R436" s="54" t="str">
        <f t="shared" si="56"/>
        <v/>
      </c>
      <c r="S436" s="53" t="str">
        <f t="shared" si="57"/>
        <v/>
      </c>
    </row>
    <row r="437" spans="10:19" x14ac:dyDescent="0.15">
      <c r="J437" s="38">
        <v>428</v>
      </c>
      <c r="K437" s="40"/>
      <c r="L437" s="34">
        <f t="shared" si="51"/>
        <v>6.9559806044566005E-4</v>
      </c>
      <c r="M437" s="35">
        <f t="shared" si="52"/>
        <v>7.961227114862382E-7</v>
      </c>
      <c r="N437" s="44">
        <f t="shared" si="50"/>
        <v>3.5839163841484508E-5</v>
      </c>
      <c r="O437" s="45" t="e">
        <f t="shared" si="53"/>
        <v>#VALUE!</v>
      </c>
      <c r="P437" s="52" t="str">
        <f t="shared" si="54"/>
        <v/>
      </c>
      <c r="Q437" s="53" t="str">
        <f t="shared" si="55"/>
        <v/>
      </c>
      <c r="R437" s="54" t="str">
        <f t="shared" si="56"/>
        <v/>
      </c>
      <c r="S437" s="53" t="str">
        <f t="shared" si="57"/>
        <v/>
      </c>
    </row>
    <row r="438" spans="10:19" x14ac:dyDescent="0.15">
      <c r="J438" s="38">
        <v>429</v>
      </c>
      <c r="K438" s="40"/>
      <c r="L438" s="34">
        <f t="shared" si="51"/>
        <v>6.9639246130482723E-4</v>
      </c>
      <c r="M438" s="35">
        <f t="shared" si="52"/>
        <v>7.92681997866771E-7</v>
      </c>
      <c r="N438" s="44">
        <f t="shared" si="50"/>
        <v>3.568721649979548E-5</v>
      </c>
      <c r="O438" s="45" t="e">
        <f t="shared" si="53"/>
        <v>#VALUE!</v>
      </c>
      <c r="P438" s="52" t="str">
        <f t="shared" si="54"/>
        <v/>
      </c>
      <c r="Q438" s="53" t="str">
        <f t="shared" si="55"/>
        <v/>
      </c>
      <c r="R438" s="54" t="str">
        <f t="shared" si="56"/>
        <v/>
      </c>
      <c r="S438" s="53" t="str">
        <f t="shared" si="57"/>
        <v/>
      </c>
    </row>
    <row r="439" spans="10:19" x14ac:dyDescent="0.15">
      <c r="J439" s="38">
        <v>430</v>
      </c>
      <c r="K439" s="40"/>
      <c r="L439" s="34">
        <f t="shared" si="51"/>
        <v>6.971834304026844E-4</v>
      </c>
      <c r="M439" s="35">
        <f t="shared" si="52"/>
        <v>7.8925916815540515E-7</v>
      </c>
      <c r="N439" s="44">
        <f t="shared" si="50"/>
        <v>3.5536027898042566E-5</v>
      </c>
      <c r="O439" s="45" t="e">
        <f t="shared" si="53"/>
        <v>#VALUE!</v>
      </c>
      <c r="P439" s="52" t="str">
        <f t="shared" si="54"/>
        <v/>
      </c>
      <c r="Q439" s="53" t="str">
        <f t="shared" si="55"/>
        <v/>
      </c>
      <c r="R439" s="54" t="str">
        <f t="shared" si="56"/>
        <v/>
      </c>
      <c r="S439" s="53" t="str">
        <f t="shared" si="57"/>
        <v/>
      </c>
    </row>
    <row r="440" spans="10:19" x14ac:dyDescent="0.15">
      <c r="J440" s="38">
        <v>431</v>
      </c>
      <c r="K440" s="40"/>
      <c r="L440" s="34">
        <f t="shared" si="51"/>
        <v>6.9797098556118671E-4</v>
      </c>
      <c r="M440" s="35">
        <f t="shared" si="52"/>
        <v>7.8585409862551679E-7</v>
      </c>
      <c r="N440" s="44">
        <f t="shared" si="50"/>
        <v>3.5385592990108596E-5</v>
      </c>
      <c r="O440" s="45" t="e">
        <f t="shared" si="53"/>
        <v>#VALUE!</v>
      </c>
      <c r="P440" s="52" t="str">
        <f t="shared" si="54"/>
        <v/>
      </c>
      <c r="Q440" s="53" t="str">
        <f t="shared" si="55"/>
        <v/>
      </c>
      <c r="R440" s="54" t="str">
        <f t="shared" si="56"/>
        <v/>
      </c>
      <c r="S440" s="53" t="str">
        <f t="shared" si="57"/>
        <v/>
      </c>
    </row>
    <row r="441" spans="10:19" x14ac:dyDescent="0.15">
      <c r="J441" s="38">
        <v>432</v>
      </c>
      <c r="K441" s="40"/>
      <c r="L441" s="34">
        <f t="shared" si="51"/>
        <v>6.9875514447909797E-4</v>
      </c>
      <c r="M441" s="35">
        <f t="shared" si="52"/>
        <v>7.8246666661860978E-7</v>
      </c>
      <c r="N441" s="44">
        <f t="shared" si="50"/>
        <v>3.5235906771780381E-5</v>
      </c>
      <c r="O441" s="45" t="e">
        <f t="shared" si="53"/>
        <v>#VALUE!</v>
      </c>
      <c r="P441" s="52" t="str">
        <f t="shared" si="54"/>
        <v/>
      </c>
      <c r="Q441" s="53" t="str">
        <f t="shared" si="55"/>
        <v/>
      </c>
      <c r="R441" s="54" t="str">
        <f t="shared" si="56"/>
        <v/>
      </c>
      <c r="S441" s="53" t="str">
        <f t="shared" si="57"/>
        <v/>
      </c>
    </row>
    <row r="442" spans="10:19" x14ac:dyDescent="0.15">
      <c r="J442" s="38">
        <v>433</v>
      </c>
      <c r="K442" s="40"/>
      <c r="L442" s="34">
        <f t="shared" si="51"/>
        <v>6.9953592473305287E-4</v>
      </c>
      <c r="M442" s="35">
        <f t="shared" si="52"/>
        <v>7.7909675053327008E-7</v>
      </c>
      <c r="N442" s="44">
        <f t="shared" si="50"/>
        <v>3.5086964280332377E-5</v>
      </c>
      <c r="O442" s="45" t="e">
        <f t="shared" si="53"/>
        <v>#VALUE!</v>
      </c>
      <c r="P442" s="52" t="str">
        <f t="shared" si="54"/>
        <v/>
      </c>
      <c r="Q442" s="53" t="str">
        <f t="shared" si="55"/>
        <v/>
      </c>
      <c r="R442" s="54" t="str">
        <f t="shared" si="56"/>
        <v/>
      </c>
      <c r="S442" s="53" t="str">
        <f t="shared" si="57"/>
        <v/>
      </c>
    </row>
    <row r="443" spans="10:19" x14ac:dyDescent="0.15">
      <c r="J443" s="38">
        <v>434</v>
      </c>
      <c r="K443" s="40"/>
      <c r="L443" s="34">
        <f t="shared" si="51"/>
        <v>7.0031334377860849E-4</v>
      </c>
      <c r="M443" s="35">
        <f t="shared" si="52"/>
        <v>7.7574422981425116E-7</v>
      </c>
      <c r="N443" s="44">
        <f t="shared" si="50"/>
        <v>3.4938760594113174E-5</v>
      </c>
      <c r="O443" s="45" t="e">
        <f t="shared" si="53"/>
        <v>#VALUE!</v>
      </c>
      <c r="P443" s="52" t="str">
        <f t="shared" si="54"/>
        <v/>
      </c>
      <c r="Q443" s="53" t="str">
        <f t="shared" si="55"/>
        <v/>
      </c>
      <c r="R443" s="54" t="str">
        <f t="shared" si="56"/>
        <v/>
      </c>
      <c r="S443" s="53" t="str">
        <f t="shared" si="57"/>
        <v/>
      </c>
    </row>
    <row r="444" spans="10:19" x14ac:dyDescent="0.15">
      <c r="J444" s="38">
        <v>435</v>
      </c>
      <c r="K444" s="40"/>
      <c r="L444" s="34">
        <f t="shared" si="51"/>
        <v>7.0108741895128532E-4</v>
      </c>
      <c r="M444" s="35">
        <f t="shared" si="52"/>
        <v>7.7240898494169458E-7</v>
      </c>
      <c r="N444" s="44">
        <f t="shared" si="50"/>
        <v>3.4791290832138699E-5</v>
      </c>
      <c r="O444" s="45" t="e">
        <f t="shared" si="53"/>
        <v>#VALUE!</v>
      </c>
      <c r="P444" s="52" t="str">
        <f t="shared" si="54"/>
        <v/>
      </c>
      <c r="Q444" s="53" t="str">
        <f t="shared" si="55"/>
        <v/>
      </c>
      <c r="R444" s="54" t="str">
        <f t="shared" si="56"/>
        <v/>
      </c>
      <c r="S444" s="53" t="str">
        <f t="shared" si="57"/>
        <v/>
      </c>
    </row>
    <row r="445" spans="10:19" x14ac:dyDescent="0.15">
      <c r="J445" s="38">
        <v>436</v>
      </c>
      <c r="K445" s="40"/>
      <c r="L445" s="34">
        <f t="shared" si="51"/>
        <v>7.0185816746759771E-4</v>
      </c>
      <c r="M445" s="35">
        <f t="shared" si="52"/>
        <v>7.6909089742047466E-7</v>
      </c>
      <c r="N445" s="44">
        <f t="shared" si="50"/>
        <v>3.4644550153689222E-5</v>
      </c>
      <c r="O445" s="45" t="e">
        <f t="shared" si="53"/>
        <v>#VALUE!</v>
      </c>
      <c r="P445" s="52" t="str">
        <f t="shared" si="54"/>
        <v/>
      </c>
      <c r="Q445" s="53" t="str">
        <f t="shared" si="55"/>
        <v/>
      </c>
      <c r="R445" s="54" t="str">
        <f t="shared" si="56"/>
        <v/>
      </c>
      <c r="S445" s="53" t="str">
        <f t="shared" si="57"/>
        <v/>
      </c>
    </row>
    <row r="446" spans="10:19" x14ac:dyDescent="0.15">
      <c r="J446" s="38">
        <v>437</v>
      </c>
      <c r="K446" s="40"/>
      <c r="L446" s="34">
        <f t="shared" si="51"/>
        <v>7.0262560642607203E-4</v>
      </c>
      <c r="M446" s="35">
        <f t="shared" si="52"/>
        <v>7.6578984976967529E-7</v>
      </c>
      <c r="N446" s="44">
        <f t="shared" si="50"/>
        <v>3.4498533757911561E-5</v>
      </c>
      <c r="O446" s="45" t="e">
        <f t="shared" si="53"/>
        <v>#VALUE!</v>
      </c>
      <c r="P446" s="52" t="str">
        <f t="shared" si="54"/>
        <v/>
      </c>
      <c r="Q446" s="53" t="str">
        <f t="shared" si="55"/>
        <v/>
      </c>
      <c r="R446" s="54" t="str">
        <f t="shared" si="56"/>
        <v/>
      </c>
      <c r="S446" s="53" t="str">
        <f t="shared" si="57"/>
        <v/>
      </c>
    </row>
    <row r="447" spans="10:19" x14ac:dyDescent="0.15">
      <c r="J447" s="38">
        <v>438</v>
      </c>
      <c r="K447" s="40"/>
      <c r="L447" s="34">
        <f t="shared" si="51"/>
        <v>7.0338975280825715E-4</v>
      </c>
      <c r="M447" s="35">
        <f t="shared" si="52"/>
        <v>7.6250572551219026E-7</v>
      </c>
      <c r="N447" s="44">
        <f t="shared" si="50"/>
        <v>3.4353236883425081E-5</v>
      </c>
      <c r="O447" s="45" t="e">
        <f t="shared" si="53"/>
        <v>#VALUE!</v>
      </c>
      <c r="P447" s="52" t="str">
        <f t="shared" si="54"/>
        <v/>
      </c>
      <c r="Q447" s="53" t="str">
        <f t="shared" si="55"/>
        <v/>
      </c>
      <c r="R447" s="54" t="str">
        <f t="shared" si="56"/>
        <v/>
      </c>
      <c r="S447" s="53" t="str">
        <f t="shared" si="57"/>
        <v/>
      </c>
    </row>
    <row r="448" spans="10:19" x14ac:dyDescent="0.15">
      <c r="J448" s="38">
        <v>439</v>
      </c>
      <c r="K448" s="40"/>
      <c r="L448" s="34">
        <f t="shared" si="51"/>
        <v>7.0415062347972202E-4</v>
      </c>
      <c r="M448" s="35">
        <f t="shared" si="52"/>
        <v>7.5923840916444834E-7</v>
      </c>
      <c r="N448" s="44">
        <f t="shared" si="50"/>
        <v>3.4208654807933226E-5</v>
      </c>
      <c r="O448" s="45" t="e">
        <f t="shared" si="53"/>
        <v>#VALUE!</v>
      </c>
      <c r="P448" s="52" t="str">
        <f t="shared" si="54"/>
        <v/>
      </c>
      <c r="Q448" s="53" t="str">
        <f t="shared" si="55"/>
        <v/>
      </c>
      <c r="R448" s="54" t="str">
        <f t="shared" si="56"/>
        <v/>
      </c>
      <c r="S448" s="53" t="str">
        <f t="shared" si="57"/>
        <v/>
      </c>
    </row>
    <row r="449" spans="10:19" x14ac:dyDescent="0.15">
      <c r="J449" s="38">
        <v>440</v>
      </c>
      <c r="K449" s="40"/>
      <c r="L449" s="34">
        <f t="shared" si="51"/>
        <v>7.049082351910451E-4</v>
      </c>
      <c r="M449" s="35">
        <f t="shared" si="52"/>
        <v>7.5598778622626134E-7</v>
      </c>
      <c r="N449" s="44">
        <f t="shared" si="50"/>
        <v>3.4064782847837544E-5</v>
      </c>
      <c r="O449" s="45" t="e">
        <f t="shared" si="53"/>
        <v>#VALUE!</v>
      </c>
      <c r="P449" s="52" t="str">
        <f t="shared" si="54"/>
        <v/>
      </c>
      <c r="Q449" s="53" t="str">
        <f t="shared" si="55"/>
        <v/>
      </c>
      <c r="R449" s="54" t="str">
        <f t="shared" si="56"/>
        <v/>
      </c>
      <c r="S449" s="53" t="str">
        <f t="shared" si="57"/>
        <v/>
      </c>
    </row>
    <row r="450" spans="10:19" x14ac:dyDescent="0.15">
      <c r="J450" s="38">
        <v>441</v>
      </c>
      <c r="K450" s="40"/>
      <c r="L450" s="34">
        <f t="shared" si="51"/>
        <v>7.0566260457879135E-4</v>
      </c>
      <c r="M450" s="35">
        <f t="shared" si="52"/>
        <v>7.5275374317079184E-7</v>
      </c>
      <c r="N450" s="44">
        <f t="shared" si="50"/>
        <v>3.3921616357860491E-5</v>
      </c>
      <c r="O450" s="45" t="e">
        <f t="shared" si="53"/>
        <v>#VALUE!</v>
      </c>
      <c r="P450" s="52" t="str">
        <f t="shared" si="54"/>
        <v/>
      </c>
      <c r="Q450" s="53" t="str">
        <f t="shared" si="55"/>
        <v/>
      </c>
      <c r="R450" s="54" t="str">
        <f t="shared" si="56"/>
        <v/>
      </c>
      <c r="S450" s="53" t="str">
        <f t="shared" si="57"/>
        <v/>
      </c>
    </row>
    <row r="451" spans="10:19" x14ac:dyDescent="0.15">
      <c r="J451" s="38">
        <v>442</v>
      </c>
      <c r="K451" s="40"/>
      <c r="L451" s="34">
        <f t="shared" si="51"/>
        <v>7.0641374816648235E-4</v>
      </c>
      <c r="M451" s="35">
        <f t="shared" si="52"/>
        <v>7.4953616743464203E-7</v>
      </c>
      <c r="N451" s="44">
        <f t="shared" si="50"/>
        <v>3.3779150730665203E-5</v>
      </c>
      <c r="O451" s="45" t="e">
        <f t="shared" si="53"/>
        <v>#VALUE!</v>
      </c>
      <c r="P451" s="52" t="str">
        <f t="shared" si="54"/>
        <v/>
      </c>
      <c r="Q451" s="53" t="str">
        <f t="shared" si="55"/>
        <v/>
      </c>
      <c r="R451" s="54" t="str">
        <f t="shared" si="56"/>
        <v/>
      </c>
      <c r="S451" s="53" t="str">
        <f t="shared" si="57"/>
        <v/>
      </c>
    </row>
    <row r="452" spans="10:19" x14ac:dyDescent="0.15">
      <c r="J452" s="38">
        <v>443</v>
      </c>
      <c r="K452" s="40"/>
      <c r="L452" s="34">
        <f t="shared" si="51"/>
        <v>7.0716168236555348E-4</v>
      </c>
      <c r="M452" s="35">
        <f t="shared" si="52"/>
        <v>7.4633494740805832E-7</v>
      </c>
      <c r="N452" s="44">
        <f t="shared" si="50"/>
        <v>3.3637381396488275E-5</v>
      </c>
      <c r="O452" s="45" t="e">
        <f t="shared" si="53"/>
        <v>#VALUE!</v>
      </c>
      <c r="P452" s="52" t="str">
        <f t="shared" si="54"/>
        <v/>
      </c>
      <c r="Q452" s="53" t="str">
        <f t="shared" si="55"/>
        <v/>
      </c>
      <c r="R452" s="54" t="str">
        <f t="shared" si="56"/>
        <v/>
      </c>
      <c r="S452" s="53" t="str">
        <f t="shared" si="57"/>
        <v/>
      </c>
    </row>
    <row r="453" spans="10:19" x14ac:dyDescent="0.15">
      <c r="J453" s="38">
        <v>444</v>
      </c>
      <c r="K453" s="40"/>
      <c r="L453" s="34">
        <f t="shared" si="51"/>
        <v>7.0790642347630275E-4</v>
      </c>
      <c r="M453" s="35">
        <f t="shared" si="52"/>
        <v>7.4314997242525113E-7</v>
      </c>
      <c r="N453" s="44">
        <f t="shared" si="50"/>
        <v>3.3496303822770266E-5</v>
      </c>
      <c r="O453" s="45" t="e">
        <f t="shared" si="53"/>
        <v>#VALUE!</v>
      </c>
      <c r="P453" s="52" t="str">
        <f t="shared" si="54"/>
        <v/>
      </c>
      <c r="Q453" s="53" t="str">
        <f t="shared" si="55"/>
        <v/>
      </c>
      <c r="R453" s="54" t="str">
        <f t="shared" si="56"/>
        <v/>
      </c>
      <c r="S453" s="53" t="str">
        <f t="shared" si="57"/>
        <v/>
      </c>
    </row>
    <row r="454" spans="10:19" x14ac:dyDescent="0.15">
      <c r="J454" s="38">
        <v>445</v>
      </c>
      <c r="K454" s="40"/>
      <c r="L454" s="34">
        <f t="shared" si="51"/>
        <v>7.0864798768883119E-4</v>
      </c>
      <c r="M454" s="35">
        <f t="shared" si="52"/>
        <v>7.3998113275483401E-7</v>
      </c>
      <c r="N454" s="44">
        <f t="shared" si="50"/>
        <v>3.3355913513792709E-5</v>
      </c>
      <c r="O454" s="45" t="e">
        <f t="shared" si="53"/>
        <v>#VALUE!</v>
      </c>
      <c r="P454" s="52" t="str">
        <f t="shared" si="54"/>
        <v/>
      </c>
      <c r="Q454" s="53" t="str">
        <f t="shared" si="55"/>
        <v/>
      </c>
      <c r="R454" s="54" t="str">
        <f t="shared" si="56"/>
        <v/>
      </c>
      <c r="S454" s="53" t="str">
        <f t="shared" si="57"/>
        <v/>
      </c>
    </row>
    <row r="455" spans="10:19" x14ac:dyDescent="0.15">
      <c r="J455" s="38">
        <v>446</v>
      </c>
      <c r="K455" s="40"/>
      <c r="L455" s="34">
        <f t="shared" si="51"/>
        <v>7.0938639108397098E-4</v>
      </c>
      <c r="M455" s="35">
        <f t="shared" si="52"/>
        <v>7.3682831959036736E-7</v>
      </c>
      <c r="N455" s="44">
        <f t="shared" si="50"/>
        <v>3.3216206010320431E-5</v>
      </c>
      <c r="O455" s="45" t="e">
        <f t="shared" si="53"/>
        <v>#VALUE!</v>
      </c>
      <c r="P455" s="52" t="str">
        <f t="shared" si="54"/>
        <v/>
      </c>
      <c r="Q455" s="53" t="str">
        <f t="shared" si="55"/>
        <v/>
      </c>
      <c r="R455" s="54" t="str">
        <f t="shared" si="56"/>
        <v/>
      </c>
      <c r="S455" s="53" t="str">
        <f t="shared" si="57"/>
        <v/>
      </c>
    </row>
    <row r="456" spans="10:19" x14ac:dyDescent="0.15">
      <c r="J456" s="38">
        <v>447</v>
      </c>
      <c r="K456" s="40"/>
      <c r="L456" s="34">
        <f t="shared" si="51"/>
        <v>7.1012164963420686E-4</v>
      </c>
      <c r="M456" s="35">
        <f t="shared" si="52"/>
        <v>7.3369142504102316E-7</v>
      </c>
      <c r="N456" s="44">
        <f t="shared" si="50"/>
        <v>3.3077176889244417E-5</v>
      </c>
      <c r="O456" s="45" t="e">
        <f t="shared" si="53"/>
        <v>#VALUE!</v>
      </c>
      <c r="P456" s="52" t="str">
        <f t="shared" si="54"/>
        <v/>
      </c>
      <c r="Q456" s="53" t="str">
        <f t="shared" si="55"/>
        <v/>
      </c>
      <c r="R456" s="54" t="str">
        <f t="shared" si="56"/>
        <v/>
      </c>
      <c r="S456" s="53" t="str">
        <f t="shared" si="57"/>
        <v/>
      </c>
    </row>
    <row r="457" spans="10:19" x14ac:dyDescent="0.15">
      <c r="J457" s="38">
        <v>448</v>
      </c>
      <c r="K457" s="40"/>
      <c r="L457" s="34">
        <f t="shared" si="51"/>
        <v>7.108537792045866E-4</v>
      </c>
      <c r="M457" s="35">
        <f t="shared" si="52"/>
        <v>7.305703421223513E-7</v>
      </c>
      <c r="N457" s="44">
        <f t="shared" ref="N457:N520" si="58">(L507-L457)</f>
        <v>3.2938821763233458E-5</v>
      </c>
      <c r="O457" s="45" t="e">
        <f t="shared" si="53"/>
        <v>#VALUE!</v>
      </c>
      <c r="P457" s="52" t="str">
        <f t="shared" si="54"/>
        <v/>
      </c>
      <c r="Q457" s="53" t="str">
        <f t="shared" si="55"/>
        <v/>
      </c>
      <c r="R457" s="54" t="str">
        <f t="shared" si="56"/>
        <v/>
      </c>
      <c r="S457" s="53" t="str">
        <f t="shared" si="57"/>
        <v/>
      </c>
    </row>
    <row r="458" spans="10:19" x14ac:dyDescent="0.15">
      <c r="J458" s="38">
        <v>449</v>
      </c>
      <c r="K458" s="40"/>
      <c r="L458" s="34">
        <f t="shared" ref="L458:L521" si="59">$F$39*((1-$F$40*J458)/(1+$F$41*J458))*(J458-$F$42)</f>
        <v>7.1158279555362275E-4</v>
      </c>
      <c r="M458" s="35">
        <f t="shared" ref="M458:M521" si="60">$F$39*((1-2*$F$40*J458-$F$40*$F$41*(J458^2)+($F$41+$F$40)*$F$42)/(1+$F$41*J458)^2)</f>
        <v>7.2746496474715822E-7</v>
      </c>
      <c r="N458" s="44">
        <f t="shared" si="58"/>
        <v>3.280113628038536E-5</v>
      </c>
      <c r="O458" s="45" t="e">
        <f t="shared" ref="O458:O521" si="61">IF(N458&lt;=$B$49,1+O457,0)</f>
        <v>#VALUE!</v>
      </c>
      <c r="P458" s="52" t="str">
        <f t="shared" ref="P458:P521" si="62">IF(J458&lt;=$F$42,J458,"")</f>
        <v/>
      </c>
      <c r="Q458" s="53" t="str">
        <f t="shared" ref="Q458:Q521" si="63">IF(J458&lt;=$F$42,L458,"")</f>
        <v/>
      </c>
      <c r="R458" s="54" t="str">
        <f t="shared" ref="R458:R521" si="64">IF(AND(J458&gt;=$F$42,J458&lt;=200),J458,"")</f>
        <v/>
      </c>
      <c r="S458" s="53" t="str">
        <f t="shared" ref="S458:S521" si="65">IF(AND(J458&gt;=$F$42,J458&lt;=200),L458,"")</f>
        <v/>
      </c>
    </row>
    <row r="459" spans="10:19" x14ac:dyDescent="0.15">
      <c r="J459" s="38">
        <v>450</v>
      </c>
      <c r="K459" s="40"/>
      <c r="L459" s="34">
        <f t="shared" si="59"/>
        <v>7.1230871433418603E-4</v>
      </c>
      <c r="M459" s="35">
        <f t="shared" si="60"/>
        <v>7.2437518771649457E-7</v>
      </c>
      <c r="N459" s="44">
        <f t="shared" si="58"/>
        <v>3.2664116123884879E-5</v>
      </c>
      <c r="O459" s="45" t="e">
        <f t="shared" si="61"/>
        <v>#VALUE!</v>
      </c>
      <c r="P459" s="52" t="str">
        <f t="shared" si="62"/>
        <v/>
      </c>
      <c r="Q459" s="53" t="str">
        <f t="shared" si="63"/>
        <v/>
      </c>
      <c r="R459" s="54" t="str">
        <f t="shared" si="64"/>
        <v/>
      </c>
      <c r="S459" s="53" t="str">
        <f t="shared" si="65"/>
        <v/>
      </c>
    </row>
    <row r="460" spans="10:19" x14ac:dyDescent="0.15">
      <c r="J460" s="38">
        <v>451</v>
      </c>
      <c r="K460" s="40"/>
      <c r="L460" s="34">
        <f t="shared" si="59"/>
        <v>7.1303155109438772E-4</v>
      </c>
      <c r="M460" s="35">
        <f t="shared" si="60"/>
        <v>7.2130090671073972E-7</v>
      </c>
      <c r="N460" s="44">
        <f t="shared" si="58"/>
        <v>3.2527757011665127E-5</v>
      </c>
      <c r="O460" s="45" t="e">
        <f t="shared" si="61"/>
        <v>#VALUE!</v>
      </c>
      <c r="P460" s="52" t="str">
        <f t="shared" si="62"/>
        <v/>
      </c>
      <c r="Q460" s="53" t="str">
        <f t="shared" si="63"/>
        <v/>
      </c>
      <c r="R460" s="54" t="str">
        <f t="shared" si="64"/>
        <v/>
      </c>
      <c r="S460" s="53" t="str">
        <f t="shared" si="65"/>
        <v/>
      </c>
    </row>
    <row r="461" spans="10:19" x14ac:dyDescent="0.15">
      <c r="J461" s="38">
        <v>452</v>
      </c>
      <c r="K461" s="40"/>
      <c r="L461" s="34">
        <f t="shared" si="59"/>
        <v>7.1375132127845641E-4</v>
      </c>
      <c r="M461" s="35">
        <f t="shared" si="60"/>
        <v>7.1824201828080393E-7</v>
      </c>
      <c r="N461" s="44">
        <f t="shared" si="58"/>
        <v>3.2392054696070492E-5</v>
      </c>
      <c r="O461" s="45" t="e">
        <f t="shared" si="61"/>
        <v>#VALUE!</v>
      </c>
      <c r="P461" s="52" t="str">
        <f t="shared" si="62"/>
        <v/>
      </c>
      <c r="Q461" s="53" t="str">
        <f t="shared" si="63"/>
        <v/>
      </c>
      <c r="R461" s="54" t="str">
        <f t="shared" si="64"/>
        <v/>
      </c>
      <c r="S461" s="53" t="str">
        <f t="shared" si="65"/>
        <v/>
      </c>
    </row>
    <row r="462" spans="10:19" x14ac:dyDescent="0.15">
      <c r="J462" s="38">
        <v>453</v>
      </c>
      <c r="K462" s="40"/>
      <c r="L462" s="34">
        <f t="shared" si="59"/>
        <v>7.1446804022760283E-4</v>
      </c>
      <c r="M462" s="35">
        <f t="shared" si="60"/>
        <v>7.1519841983941921E-7</v>
      </c>
      <c r="N462" s="44">
        <f t="shared" si="58"/>
        <v>3.2257004963527039E-5</v>
      </c>
      <c r="O462" s="45" t="e">
        <f t="shared" si="61"/>
        <v>#VALUE!</v>
      </c>
      <c r="P462" s="52" t="str">
        <f t="shared" si="62"/>
        <v/>
      </c>
      <c r="Q462" s="53" t="str">
        <f t="shared" si="63"/>
        <v/>
      </c>
      <c r="R462" s="54" t="str">
        <f t="shared" si="64"/>
        <v/>
      </c>
      <c r="S462" s="53" t="str">
        <f t="shared" si="65"/>
        <v/>
      </c>
    </row>
    <row r="463" spans="10:19" x14ac:dyDescent="0.15">
      <c r="J463" s="38">
        <v>454</v>
      </c>
      <c r="K463" s="40"/>
      <c r="L463" s="34">
        <f t="shared" si="59"/>
        <v>7.1518172318087722E-4</v>
      </c>
      <c r="M463" s="35">
        <f t="shared" si="60"/>
        <v>7.1217000965254178E-7</v>
      </c>
      <c r="N463" s="44">
        <f t="shared" si="58"/>
        <v>3.2122603634214325E-5</v>
      </c>
      <c r="O463" s="45" t="e">
        <f t="shared" si="61"/>
        <v>#VALUE!</v>
      </c>
      <c r="P463" s="52" t="str">
        <f t="shared" si="62"/>
        <v/>
      </c>
      <c r="Q463" s="53" t="str">
        <f t="shared" si="63"/>
        <v/>
      </c>
      <c r="R463" s="54" t="str">
        <f t="shared" si="64"/>
        <v/>
      </c>
      <c r="S463" s="53" t="str">
        <f t="shared" si="65"/>
        <v/>
      </c>
    </row>
    <row r="464" spans="10:19" x14ac:dyDescent="0.15">
      <c r="J464" s="38">
        <v>455</v>
      </c>
      <c r="K464" s="40"/>
      <c r="L464" s="34">
        <f t="shared" si="59"/>
        <v>7.1589238527602027E-4</v>
      </c>
      <c r="M464" s="35">
        <f t="shared" si="60"/>
        <v>7.0915668683084893E-7</v>
      </c>
      <c r="N464" s="44">
        <f t="shared" si="58"/>
        <v>3.1988846561739484E-5</v>
      </c>
      <c r="O464" s="45" t="e">
        <f t="shared" si="61"/>
        <v>#VALUE!</v>
      </c>
      <c r="P464" s="52" t="str">
        <f t="shared" si="62"/>
        <v/>
      </c>
      <c r="Q464" s="53" t="str">
        <f t="shared" si="63"/>
        <v/>
      </c>
      <c r="R464" s="54" t="str">
        <f t="shared" si="64"/>
        <v/>
      </c>
      <c r="S464" s="53" t="str">
        <f t="shared" si="65"/>
        <v/>
      </c>
    </row>
    <row r="465" spans="10:19" x14ac:dyDescent="0.15">
      <c r="J465" s="38">
        <v>456</v>
      </c>
      <c r="K465" s="40"/>
      <c r="L465" s="34">
        <f t="shared" si="59"/>
        <v>7.166000415503006E-4</v>
      </c>
      <c r="M465" s="35">
        <f t="shared" si="60"/>
        <v>7.06158351321337E-7</v>
      </c>
      <c r="N465" s="44">
        <f t="shared" si="58"/>
        <v>3.1855729632820104E-5</v>
      </c>
      <c r="O465" s="45" t="e">
        <f t="shared" si="61"/>
        <v>#VALUE!</v>
      </c>
      <c r="P465" s="52" t="str">
        <f t="shared" si="62"/>
        <v/>
      </c>
      <c r="Q465" s="53" t="str">
        <f t="shared" si="63"/>
        <v/>
      </c>
      <c r="R465" s="54" t="str">
        <f t="shared" si="64"/>
        <v/>
      </c>
      <c r="S465" s="53" t="str">
        <f t="shared" si="65"/>
        <v/>
      </c>
    </row>
    <row r="466" spans="10:19" x14ac:dyDescent="0.15">
      <c r="J466" s="38">
        <v>457</v>
      </c>
      <c r="K466" s="40"/>
      <c r="L466" s="34">
        <f t="shared" si="59"/>
        <v>7.1730470694134963E-4</v>
      </c>
      <c r="M466" s="35">
        <f t="shared" si="60"/>
        <v>7.0317490389901569E-7</v>
      </c>
      <c r="N466" s="44">
        <f t="shared" si="58"/>
        <v>3.1723248766963512E-5</v>
      </c>
      <c r="O466" s="45" t="e">
        <f t="shared" si="61"/>
        <v>#VALUE!</v>
      </c>
      <c r="P466" s="52" t="str">
        <f t="shared" si="62"/>
        <v/>
      </c>
      <c r="Q466" s="53" t="str">
        <f t="shared" si="63"/>
        <v/>
      </c>
      <c r="R466" s="54" t="str">
        <f t="shared" si="64"/>
        <v/>
      </c>
      <c r="S466" s="53" t="str">
        <f t="shared" si="65"/>
        <v/>
      </c>
    </row>
    <row r="467" spans="10:19" x14ac:dyDescent="0.15">
      <c r="J467" s="38">
        <v>458</v>
      </c>
      <c r="K467" s="40"/>
      <c r="L467" s="34">
        <f t="shared" si="59"/>
        <v>7.1800639628798364E-4</v>
      </c>
      <c r="M467" s="35">
        <f t="shared" si="60"/>
        <v>7.0020624615869817E-7</v>
      </c>
      <c r="N467" s="44">
        <f t="shared" si="58"/>
        <v>3.1591399916157024E-5</v>
      </c>
      <c r="O467" s="45" t="e">
        <f t="shared" si="61"/>
        <v>#VALUE!</v>
      </c>
      <c r="P467" s="52" t="str">
        <f t="shared" si="62"/>
        <v/>
      </c>
      <c r="Q467" s="53" t="str">
        <f t="shared" si="63"/>
        <v/>
      </c>
      <c r="R467" s="54" t="str">
        <f t="shared" si="64"/>
        <v/>
      </c>
      <c r="S467" s="53" t="str">
        <f t="shared" si="65"/>
        <v/>
      </c>
    </row>
    <row r="468" spans="10:19" x14ac:dyDescent="0.15">
      <c r="J468" s="38">
        <v>459</v>
      </c>
      <c r="K468" s="40"/>
      <c r="L468" s="34">
        <f t="shared" si="59"/>
        <v>7.1870512433102067E-4</v>
      </c>
      <c r="M468" s="35">
        <f t="shared" si="60"/>
        <v>6.9725228050688727E-7</v>
      </c>
      <c r="N468" s="44">
        <f t="shared" si="58"/>
        <v>3.1460179064555366E-5</v>
      </c>
      <c r="O468" s="45" t="e">
        <f t="shared" si="61"/>
        <v>#VALUE!</v>
      </c>
      <c r="P468" s="52" t="str">
        <f t="shared" si="62"/>
        <v/>
      </c>
      <c r="Q468" s="53" t="str">
        <f t="shared" si="63"/>
        <v/>
      </c>
      <c r="R468" s="54" t="str">
        <f t="shared" si="64"/>
        <v/>
      </c>
      <c r="S468" s="53" t="str">
        <f t="shared" si="65"/>
        <v/>
      </c>
    </row>
    <row r="469" spans="10:19" x14ac:dyDescent="0.15">
      <c r="J469" s="38">
        <v>460</v>
      </c>
      <c r="K469" s="40"/>
      <c r="L469" s="34">
        <f t="shared" si="59"/>
        <v>7.1940090571408818E-4</v>
      </c>
      <c r="M469" s="35">
        <f t="shared" si="60"/>
        <v>6.9431291015375564E-7</v>
      </c>
      <c r="N469" s="44">
        <f t="shared" si="58"/>
        <v>3.1329582228174714E-5</v>
      </c>
      <c r="O469" s="45" t="e">
        <f t="shared" si="61"/>
        <v>#VALUE!</v>
      </c>
      <c r="P469" s="52" t="str">
        <f t="shared" si="62"/>
        <v/>
      </c>
      <c r="Q469" s="53" t="str">
        <f t="shared" si="63"/>
        <v/>
      </c>
      <c r="R469" s="54" t="str">
        <f t="shared" si="64"/>
        <v/>
      </c>
      <c r="S469" s="53" t="str">
        <f t="shared" si="65"/>
        <v/>
      </c>
    </row>
    <row r="470" spans="10:19" x14ac:dyDescent="0.15">
      <c r="J470" s="38">
        <v>461</v>
      </c>
      <c r="K470" s="40"/>
      <c r="L470" s="34">
        <f t="shared" si="59"/>
        <v>7.2009375498442111E-4</v>
      </c>
      <c r="M470" s="35">
        <f t="shared" si="60"/>
        <v>6.9138803910521449E-7</v>
      </c>
      <c r="N470" s="44">
        <f t="shared" si="58"/>
        <v>3.1199605454591719E-5</v>
      </c>
      <c r="O470" s="45" t="e">
        <f t="shared" si="61"/>
        <v>#VALUE!</v>
      </c>
      <c r="P470" s="52" t="str">
        <f t="shared" si="62"/>
        <v/>
      </c>
      <c r="Q470" s="53" t="str">
        <f t="shared" si="63"/>
        <v/>
      </c>
      <c r="R470" s="54" t="str">
        <f t="shared" si="64"/>
        <v/>
      </c>
      <c r="S470" s="53" t="str">
        <f t="shared" si="65"/>
        <v/>
      </c>
    </row>
    <row r="471" spans="10:19" x14ac:dyDescent="0.15">
      <c r="J471" s="38">
        <v>462</v>
      </c>
      <c r="K471" s="40"/>
      <c r="L471" s="34">
        <f t="shared" si="59"/>
        <v>7.2078368659365597E-4</v>
      </c>
      <c r="M471" s="35">
        <f t="shared" si="60"/>
        <v>6.8847757215507714E-7</v>
      </c>
      <c r="N471" s="44">
        <f t="shared" si="58"/>
        <v>3.1070244822641339E-5</v>
      </c>
      <c r="O471" s="45" t="e">
        <f t="shared" si="61"/>
        <v>#VALUE!</v>
      </c>
      <c r="P471" s="52" t="str">
        <f t="shared" si="62"/>
        <v/>
      </c>
      <c r="Q471" s="53" t="str">
        <f t="shared" si="63"/>
        <v/>
      </c>
      <c r="R471" s="54" t="str">
        <f t="shared" si="64"/>
        <v/>
      </c>
      <c r="S471" s="53" t="str">
        <f t="shared" si="65"/>
        <v/>
      </c>
    </row>
    <row r="472" spans="10:19" x14ac:dyDescent="0.15">
      <c r="J472" s="38">
        <v>463</v>
      </c>
      <c r="K472" s="40"/>
      <c r="L472" s="34">
        <f t="shared" si="59"/>
        <v>7.214707148986136E-4</v>
      </c>
      <c r="M472" s="35">
        <f t="shared" si="60"/>
        <v>6.8558141487731382E-7</v>
      </c>
      <c r="N472" s="44">
        <f t="shared" si="58"/>
        <v>3.0941496442121177E-5</v>
      </c>
      <c r="O472" s="45" t="e">
        <f t="shared" si="61"/>
        <v>#VALUE!</v>
      </c>
      <c r="P472" s="52" t="str">
        <f t="shared" si="62"/>
        <v/>
      </c>
      <c r="Q472" s="53" t="str">
        <f t="shared" si="63"/>
        <v/>
      </c>
      <c r="R472" s="54" t="str">
        <f t="shared" si="64"/>
        <v/>
      </c>
      <c r="S472" s="53" t="str">
        <f t="shared" si="65"/>
        <v/>
      </c>
    </row>
    <row r="473" spans="10:19" x14ac:dyDescent="0.15">
      <c r="J473" s="38">
        <v>464</v>
      </c>
      <c r="K473" s="40"/>
      <c r="L473" s="34">
        <f t="shared" si="59"/>
        <v>7.2215485416207508E-4</v>
      </c>
      <c r="M473" s="35">
        <f t="shared" si="60"/>
        <v>6.8269947361838724E-7</v>
      </c>
      <c r="N473" s="44">
        <f t="shared" si="58"/>
        <v>3.0813356453499507E-5</v>
      </c>
      <c r="O473" s="45" t="e">
        <f t="shared" si="61"/>
        <v>#VALUE!</v>
      </c>
      <c r="P473" s="52" t="str">
        <f t="shared" si="62"/>
        <v/>
      </c>
      <c r="Q473" s="53" t="str">
        <f t="shared" si="63"/>
        <v/>
      </c>
      <c r="R473" s="54" t="str">
        <f t="shared" si="64"/>
        <v/>
      </c>
      <c r="S473" s="53" t="str">
        <f t="shared" si="65"/>
        <v/>
      </c>
    </row>
    <row r="474" spans="10:19" x14ac:dyDescent="0.15">
      <c r="J474" s="38">
        <v>465</v>
      </c>
      <c r="K474" s="40"/>
      <c r="L474" s="34">
        <f t="shared" si="59"/>
        <v>7.2283611855355199E-4</v>
      </c>
      <c r="M474" s="35">
        <f t="shared" si="60"/>
        <v>6.7983165548968752E-7</v>
      </c>
      <c r="N474" s="44">
        <f t="shared" si="58"/>
        <v>3.0685821027623514E-5</v>
      </c>
      <c r="O474" s="45" t="e">
        <f t="shared" si="61"/>
        <v>#VALUE!</v>
      </c>
      <c r="P474" s="52" t="str">
        <f t="shared" si="62"/>
        <v/>
      </c>
      <c r="Q474" s="53" t="str">
        <f t="shared" si="63"/>
        <v/>
      </c>
      <c r="R474" s="54" t="str">
        <f t="shared" si="64"/>
        <v/>
      </c>
      <c r="S474" s="53" t="str">
        <f t="shared" si="65"/>
        <v/>
      </c>
    </row>
    <row r="475" spans="10:19" x14ac:dyDescent="0.15">
      <c r="J475" s="38">
        <v>466</v>
      </c>
      <c r="K475" s="40"/>
      <c r="L475" s="34">
        <f t="shared" si="59"/>
        <v>7.2351452215004583E-4</v>
      </c>
      <c r="M475" s="35">
        <f t="shared" si="60"/>
        <v>6.769778683600428E-7</v>
      </c>
      <c r="N475" s="44">
        <f t="shared" si="58"/>
        <v>3.0558886365435016E-5</v>
      </c>
      <c r="O475" s="45" t="e">
        <f t="shared" si="61"/>
        <v>#VALUE!</v>
      </c>
      <c r="P475" s="52" t="str">
        <f t="shared" si="62"/>
        <v/>
      </c>
      <c r="Q475" s="53" t="str">
        <f t="shared" si="63"/>
        <v/>
      </c>
      <c r="R475" s="54" t="str">
        <f t="shared" si="64"/>
        <v/>
      </c>
      <c r="S475" s="53" t="str">
        <f t="shared" si="65"/>
        <v/>
      </c>
    </row>
    <row r="476" spans="10:19" x14ac:dyDescent="0.15">
      <c r="J476" s="38">
        <v>467</v>
      </c>
      <c r="K476" s="40"/>
      <c r="L476" s="34">
        <f t="shared" si="59"/>
        <v>7.2419007893680294E-4</v>
      </c>
      <c r="M476" s="35">
        <f t="shared" si="60"/>
        <v>6.741380208483217E-7</v>
      </c>
      <c r="N476" s="44">
        <f t="shared" si="58"/>
        <v>3.0432548697684777E-5</v>
      </c>
      <c r="O476" s="45" t="e">
        <f t="shared" si="61"/>
        <v>#VALUE!</v>
      </c>
      <c r="P476" s="52" t="str">
        <f t="shared" si="62"/>
        <v/>
      </c>
      <c r="Q476" s="53" t="str">
        <f t="shared" si="63"/>
        <v/>
      </c>
      <c r="R476" s="54" t="str">
        <f t="shared" si="64"/>
        <v/>
      </c>
      <c r="S476" s="53" t="str">
        <f t="shared" si="65"/>
        <v/>
      </c>
    </row>
    <row r="477" spans="10:19" x14ac:dyDescent="0.15">
      <c r="J477" s="38">
        <v>468</v>
      </c>
      <c r="K477" s="40"/>
      <c r="L477" s="34">
        <f t="shared" si="59"/>
        <v>7.2486280280806086E-4</v>
      </c>
      <c r="M477" s="35">
        <f t="shared" si="60"/>
        <v>6.7131202231611833E-7</v>
      </c>
      <c r="N477" s="44">
        <f t="shared" si="58"/>
        <v>3.0306804284652676E-5</v>
      </c>
      <c r="O477" s="45" t="e">
        <f t="shared" si="61"/>
        <v>#VALUE!</v>
      </c>
      <c r="P477" s="52" t="str">
        <f t="shared" si="62"/>
        <v/>
      </c>
      <c r="Q477" s="53" t="str">
        <f t="shared" si="63"/>
        <v/>
      </c>
      <c r="R477" s="54" t="str">
        <f t="shared" si="64"/>
        <v/>
      </c>
      <c r="S477" s="53" t="str">
        <f t="shared" si="65"/>
        <v/>
      </c>
    </row>
    <row r="478" spans="10:19" x14ac:dyDescent="0.15">
      <c r="J478" s="38">
        <v>469</v>
      </c>
      <c r="K478" s="40"/>
      <c r="L478" s="34">
        <f t="shared" si="59"/>
        <v>7.2553270756778613E-4</v>
      </c>
      <c r="M478" s="35">
        <f t="shared" si="60"/>
        <v>6.6849978286051675E-7</v>
      </c>
      <c r="N478" s="44">
        <f t="shared" si="58"/>
        <v>3.0181649415872099E-5</v>
      </c>
      <c r="O478" s="45" t="e">
        <f t="shared" si="61"/>
        <v>#VALUE!</v>
      </c>
      <c r="P478" s="52" t="str">
        <f t="shared" si="62"/>
        <v/>
      </c>
      <c r="Q478" s="53" t="str">
        <f t="shared" si="63"/>
        <v/>
      </c>
      <c r="R478" s="54" t="str">
        <f t="shared" si="64"/>
        <v/>
      </c>
      <c r="S478" s="53" t="str">
        <f t="shared" si="65"/>
        <v/>
      </c>
    </row>
    <row r="479" spans="10:19" x14ac:dyDescent="0.15">
      <c r="J479" s="38">
        <v>470</v>
      </c>
      <c r="K479" s="40"/>
      <c r="L479" s="34">
        <f t="shared" si="59"/>
        <v>7.2619980693040776E-4</v>
      </c>
      <c r="M479" s="35">
        <f t="shared" si="60"/>
        <v>6.6570121330694641E-7</v>
      </c>
      <c r="N479" s="44">
        <f t="shared" si="58"/>
        <v>3.0057080409852713E-5</v>
      </c>
      <c r="O479" s="45" t="e">
        <f t="shared" si="61"/>
        <v>#VALUE!</v>
      </c>
      <c r="P479" s="52" t="str">
        <f t="shared" si="62"/>
        <v/>
      </c>
      <c r="Q479" s="53" t="str">
        <f t="shared" si="63"/>
        <v/>
      </c>
      <c r="R479" s="54" t="str">
        <f t="shared" si="64"/>
        <v/>
      </c>
      <c r="S479" s="53" t="str">
        <f t="shared" si="65"/>
        <v/>
      </c>
    </row>
    <row r="480" spans="10:19" x14ac:dyDescent="0.15">
      <c r="J480" s="38">
        <v>471</v>
      </c>
      <c r="K480" s="40"/>
      <c r="L480" s="34">
        <f t="shared" si="59"/>
        <v>7.2686411452154158E-4</v>
      </c>
      <c r="M480" s="35">
        <f t="shared" si="60"/>
        <v>6.6291622520210706E-7</v>
      </c>
      <c r="N480" s="44">
        <f t="shared" si="58"/>
        <v>2.9933093613811689E-5</v>
      </c>
      <c r="O480" s="45" t="e">
        <f t="shared" si="61"/>
        <v>#VALUE!</v>
      </c>
      <c r="P480" s="52" t="str">
        <f t="shared" si="62"/>
        <v/>
      </c>
      <c r="Q480" s="53" t="str">
        <f t="shared" si="63"/>
        <v/>
      </c>
      <c r="R480" s="54" t="str">
        <f t="shared" si="64"/>
        <v/>
      </c>
      <c r="S480" s="53" t="str">
        <f t="shared" si="65"/>
        <v/>
      </c>
    </row>
    <row r="481" spans="10:19" x14ac:dyDescent="0.15">
      <c r="J481" s="38">
        <v>472</v>
      </c>
      <c r="K481" s="40"/>
      <c r="L481" s="34">
        <f t="shared" si="59"/>
        <v>7.2752564387870743E-4</v>
      </c>
      <c r="M481" s="35">
        <f t="shared" si="60"/>
        <v>6.6014473080698278E-7</v>
      </c>
      <c r="N481" s="44">
        <f t="shared" si="58"/>
        <v>2.9809685403403953E-5</v>
      </c>
      <c r="O481" s="45" t="e">
        <f t="shared" si="61"/>
        <v>#VALUE!</v>
      </c>
      <c r="P481" s="52" t="str">
        <f t="shared" si="62"/>
        <v/>
      </c>
      <c r="Q481" s="53" t="str">
        <f t="shared" si="63"/>
        <v/>
      </c>
      <c r="R481" s="54" t="str">
        <f t="shared" si="64"/>
        <v/>
      </c>
      <c r="S481" s="53" t="str">
        <f t="shared" si="65"/>
        <v/>
      </c>
    </row>
    <row r="482" spans="10:19" x14ac:dyDescent="0.15">
      <c r="J482" s="38">
        <v>473</v>
      </c>
      <c r="K482" s="40"/>
      <c r="L482" s="34">
        <f t="shared" si="59"/>
        <v>7.2818440845204063E-4</v>
      </c>
      <c r="M482" s="35">
        <f t="shared" si="60"/>
        <v>6.573866430899317E-7</v>
      </c>
      <c r="N482" s="44">
        <f t="shared" si="58"/>
        <v>2.9686852182457426E-5</v>
      </c>
      <c r="O482" s="45" t="e">
        <f t="shared" si="61"/>
        <v>#VALUE!</v>
      </c>
      <c r="P482" s="52" t="str">
        <f t="shared" si="62"/>
        <v/>
      </c>
      <c r="Q482" s="53" t="str">
        <f t="shared" si="63"/>
        <v/>
      </c>
      <c r="R482" s="54" t="str">
        <f t="shared" si="64"/>
        <v/>
      </c>
      <c r="S482" s="53" t="str">
        <f t="shared" si="65"/>
        <v/>
      </c>
    </row>
    <row r="483" spans="10:19" x14ac:dyDescent="0.15">
      <c r="J483" s="38">
        <v>474</v>
      </c>
      <c r="K483" s="40"/>
      <c r="L483" s="34">
        <f t="shared" si="59"/>
        <v>7.2884042160499529E-4</v>
      </c>
      <c r="M483" s="35">
        <f t="shared" si="60"/>
        <v>6.5464187571985012E-7</v>
      </c>
      <c r="N483" s="44">
        <f t="shared" si="58"/>
        <v>2.9564590382711079E-5</v>
      </c>
      <c r="O483" s="45" t="e">
        <f t="shared" si="61"/>
        <v>#VALUE!</v>
      </c>
      <c r="P483" s="52" t="str">
        <f t="shared" si="62"/>
        <v/>
      </c>
      <c r="Q483" s="53" t="str">
        <f t="shared" si="63"/>
        <v/>
      </c>
      <c r="R483" s="54" t="str">
        <f t="shared" si="64"/>
        <v/>
      </c>
      <c r="S483" s="53" t="str">
        <f t="shared" si="65"/>
        <v/>
      </c>
    </row>
    <row r="484" spans="10:19" x14ac:dyDescent="0.15">
      <c r="J484" s="38">
        <v>475</v>
      </c>
      <c r="K484" s="40"/>
      <c r="L484" s="34">
        <f t="shared" si="59"/>
        <v>7.2949369661504245E-4</v>
      </c>
      <c r="M484" s="35">
        <f t="shared" si="60"/>
        <v>6.5191034305942126E-7</v>
      </c>
      <c r="N484" s="44">
        <f t="shared" si="58"/>
        <v>2.9442896463553097E-5</v>
      </c>
      <c r="O484" s="45" t="e">
        <f t="shared" si="61"/>
        <v>#VALUE!</v>
      </c>
      <c r="P484" s="52" t="str">
        <f t="shared" si="62"/>
        <v/>
      </c>
      <c r="Q484" s="53" t="str">
        <f t="shared" si="63"/>
        <v/>
      </c>
      <c r="R484" s="54" t="str">
        <f t="shared" si="64"/>
        <v/>
      </c>
      <c r="S484" s="53" t="str">
        <f t="shared" si="65"/>
        <v/>
      </c>
    </row>
    <row r="485" spans="10:19" x14ac:dyDescent="0.15">
      <c r="J485" s="38">
        <v>476</v>
      </c>
      <c r="K485" s="40"/>
      <c r="L485" s="34">
        <f t="shared" si="59"/>
        <v>7.3014424667435971E-4</v>
      </c>
      <c r="M485" s="35">
        <f t="shared" si="60"/>
        <v>6.4919196015843203E-7</v>
      </c>
      <c r="N485" s="44">
        <f t="shared" si="58"/>
        <v>2.9321766911766635E-5</v>
      </c>
      <c r="O485" s="45" t="e">
        <f t="shared" si="61"/>
        <v>#VALUE!</v>
      </c>
      <c r="P485" s="52" t="str">
        <f t="shared" si="62"/>
        <v/>
      </c>
      <c r="Q485" s="53" t="str">
        <f t="shared" si="63"/>
        <v/>
      </c>
      <c r="R485" s="54" t="str">
        <f t="shared" si="64"/>
        <v/>
      </c>
      <c r="S485" s="53" t="str">
        <f t="shared" si="65"/>
        <v/>
      </c>
    </row>
    <row r="486" spans="10:19" x14ac:dyDescent="0.15">
      <c r="J486" s="38">
        <v>477</v>
      </c>
      <c r="K486" s="40"/>
      <c r="L486" s="34">
        <f t="shared" si="59"/>
        <v>7.3079208489051494E-4</v>
      </c>
      <c r="M486" s="35">
        <f t="shared" si="60"/>
        <v>6.4648664274716968E-7</v>
      </c>
      <c r="N486" s="44">
        <f t="shared" si="58"/>
        <v>2.9201198241273949E-5</v>
      </c>
      <c r="O486" s="45" t="e">
        <f t="shared" si="61"/>
        <v>#VALUE!</v>
      </c>
      <c r="P486" s="52" t="str">
        <f t="shared" si="62"/>
        <v/>
      </c>
      <c r="Q486" s="53" t="str">
        <f t="shared" si="63"/>
        <v/>
      </c>
      <c r="R486" s="54" t="str">
        <f t="shared" si="64"/>
        <v/>
      </c>
      <c r="S486" s="53" t="str">
        <f t="shared" si="65"/>
        <v/>
      </c>
    </row>
    <row r="487" spans="10:19" x14ac:dyDescent="0.15">
      <c r="J487" s="38">
        <v>478</v>
      </c>
      <c r="K487" s="40"/>
      <c r="L487" s="34">
        <f t="shared" si="59"/>
        <v>7.3143722428714456E-4</v>
      </c>
      <c r="M487" s="35">
        <f t="shared" si="60"/>
        <v>6.4379430722989033E-7</v>
      </c>
      <c r="N487" s="44">
        <f t="shared" si="58"/>
        <v>2.9081186992885723E-5</v>
      </c>
      <c r="O487" s="45" t="e">
        <f t="shared" si="61"/>
        <v>#VALUE!</v>
      </c>
      <c r="P487" s="52" t="str">
        <f t="shared" si="62"/>
        <v/>
      </c>
      <c r="Q487" s="53" t="str">
        <f t="shared" si="63"/>
        <v/>
      </c>
      <c r="R487" s="54" t="str">
        <f t="shared" si="64"/>
        <v/>
      </c>
      <c r="S487" s="53" t="str">
        <f t="shared" si="65"/>
        <v/>
      </c>
    </row>
    <row r="488" spans="10:19" x14ac:dyDescent="0.15">
      <c r="J488" s="38">
        <v>479</v>
      </c>
      <c r="K488" s="40"/>
      <c r="L488" s="34">
        <f t="shared" si="59"/>
        <v>7.3207967780462271E-4</v>
      </c>
      <c r="M488" s="35">
        <f t="shared" si="60"/>
        <v>6.4111487067836056E-7</v>
      </c>
      <c r="N488" s="44">
        <f t="shared" si="58"/>
        <v>2.8961729734053115E-5</v>
      </c>
      <c r="O488" s="45" t="e">
        <f t="shared" si="61"/>
        <v>#VALUE!</v>
      </c>
      <c r="P488" s="52" t="str">
        <f t="shared" si="62"/>
        <v/>
      </c>
      <c r="Q488" s="53" t="str">
        <f t="shared" si="63"/>
        <v/>
      </c>
      <c r="R488" s="54" t="str">
        <f t="shared" si="64"/>
        <v/>
      </c>
      <c r="S488" s="53" t="str">
        <f t="shared" si="65"/>
        <v/>
      </c>
    </row>
    <row r="489" spans="10:19" x14ac:dyDescent="0.15">
      <c r="J489" s="38">
        <v>480</v>
      </c>
      <c r="K489" s="40"/>
      <c r="L489" s="34">
        <f t="shared" si="59"/>
        <v>7.3271945830072696E-4</v>
      </c>
      <c r="M489" s="35">
        <f t="shared" si="60"/>
        <v>6.3844825082547364E-7</v>
      </c>
      <c r="N489" s="44">
        <f t="shared" si="58"/>
        <v>2.8842823058620125E-5</v>
      </c>
      <c r="O489" s="45" t="e">
        <f t="shared" si="61"/>
        <v>#VALUE!</v>
      </c>
      <c r="P489" s="52" t="str">
        <f t="shared" si="62"/>
        <v/>
      </c>
      <c r="Q489" s="53" t="str">
        <f t="shared" si="63"/>
        <v/>
      </c>
      <c r="R489" s="54" t="str">
        <f t="shared" si="64"/>
        <v/>
      </c>
      <c r="S489" s="53" t="str">
        <f t="shared" si="65"/>
        <v/>
      </c>
    </row>
    <row r="490" spans="10:19" x14ac:dyDescent="0.15">
      <c r="J490" s="38">
        <v>481</v>
      </c>
      <c r="K490" s="40"/>
      <c r="L490" s="34">
        <f t="shared" si="59"/>
        <v>7.3335657855129531E-4</v>
      </c>
      <c r="M490" s="35">
        <f t="shared" si="60"/>
        <v>6.3579436605893148E-7</v>
      </c>
      <c r="N490" s="44">
        <f t="shared" si="58"/>
        <v>2.8724463586582579E-5</v>
      </c>
      <c r="O490" s="45" t="e">
        <f t="shared" si="61"/>
        <v>#VALUE!</v>
      </c>
      <c r="P490" s="52" t="str">
        <f t="shared" si="62"/>
        <v/>
      </c>
      <c r="Q490" s="53" t="str">
        <f t="shared" si="63"/>
        <v/>
      </c>
      <c r="R490" s="54" t="str">
        <f t="shared" si="64"/>
        <v/>
      </c>
      <c r="S490" s="53" t="str">
        <f t="shared" si="65"/>
        <v/>
      </c>
    </row>
    <row r="491" spans="10:19" x14ac:dyDescent="0.15">
      <c r="J491" s="38">
        <v>482</v>
      </c>
      <c r="K491" s="40"/>
      <c r="L491" s="34">
        <f t="shared" si="59"/>
        <v>7.3399105125087835E-4</v>
      </c>
      <c r="M491" s="35">
        <f t="shared" si="60"/>
        <v>6.3315313541500291E-7</v>
      </c>
      <c r="N491" s="44">
        <f t="shared" si="58"/>
        <v>2.8606647963845262E-5</v>
      </c>
      <c r="O491" s="45" t="e">
        <f t="shared" si="61"/>
        <v>#VALUE!</v>
      </c>
      <c r="P491" s="52" t="str">
        <f t="shared" si="62"/>
        <v/>
      </c>
      <c r="Q491" s="53" t="str">
        <f t="shared" si="63"/>
        <v/>
      </c>
      <c r="R491" s="54" t="str">
        <f t="shared" si="64"/>
        <v/>
      </c>
      <c r="S491" s="53" t="str">
        <f t="shared" si="65"/>
        <v/>
      </c>
    </row>
    <row r="492" spans="10:19" x14ac:dyDescent="0.15">
      <c r="J492" s="38">
        <v>483</v>
      </c>
      <c r="K492" s="40"/>
      <c r="L492" s="34">
        <f t="shared" si="59"/>
        <v>7.3462288901338525E-4</v>
      </c>
      <c r="M492" s="35">
        <f t="shared" si="60"/>
        <v>6.3052447857234768E-7</v>
      </c>
      <c r="N492" s="44">
        <f t="shared" si="58"/>
        <v>2.8489372861984809E-5</v>
      </c>
      <c r="O492" s="45" t="e">
        <f t="shared" si="61"/>
        <v>#VALUE!</v>
      </c>
      <c r="P492" s="52" t="str">
        <f t="shared" si="62"/>
        <v/>
      </c>
      <c r="Q492" s="53" t="str">
        <f t="shared" si="63"/>
        <v/>
      </c>
      <c r="R492" s="54" t="str">
        <f t="shared" si="64"/>
        <v/>
      </c>
      <c r="S492" s="53" t="str">
        <f t="shared" si="65"/>
        <v/>
      </c>
    </row>
    <row r="493" spans="10:19" x14ac:dyDescent="0.15">
      <c r="J493" s="38">
        <v>484</v>
      </c>
      <c r="K493" s="40"/>
      <c r="L493" s="34">
        <f t="shared" si="59"/>
        <v>7.3525210437272166E-4</v>
      </c>
      <c r="M493" s="35">
        <f t="shared" si="60"/>
        <v>6.2790831584590919E-7</v>
      </c>
      <c r="N493" s="44">
        <f t="shared" si="58"/>
        <v>2.8372634978014754E-5</v>
      </c>
      <c r="O493" s="45" t="e">
        <f t="shared" si="61"/>
        <v>#VALUE!</v>
      </c>
      <c r="P493" s="52" t="str">
        <f t="shared" si="62"/>
        <v/>
      </c>
      <c r="Q493" s="53" t="str">
        <f t="shared" si="63"/>
        <v/>
      </c>
      <c r="R493" s="54" t="str">
        <f t="shared" si="64"/>
        <v/>
      </c>
      <c r="S493" s="53" t="str">
        <f t="shared" si="65"/>
        <v/>
      </c>
    </row>
    <row r="494" spans="10:19" x14ac:dyDescent="0.15">
      <c r="J494" s="38">
        <v>485</v>
      </c>
      <c r="K494" s="40"/>
      <c r="L494" s="34">
        <f t="shared" si="59"/>
        <v>7.3587870978342402E-4</v>
      </c>
      <c r="M494" s="35">
        <f t="shared" si="60"/>
        <v>6.2530456818087681E-7</v>
      </c>
      <c r="N494" s="44">
        <f t="shared" si="58"/>
        <v>2.8256431034151238E-5</v>
      </c>
      <c r="O494" s="45" t="e">
        <f t="shared" si="61"/>
        <v>#VALUE!</v>
      </c>
      <c r="P494" s="52" t="str">
        <f t="shared" si="62"/>
        <v/>
      </c>
      <c r="Q494" s="53" t="str">
        <f t="shared" si="63"/>
        <v/>
      </c>
      <c r="R494" s="54" t="str">
        <f t="shared" si="64"/>
        <v/>
      </c>
      <c r="S494" s="53" t="str">
        <f t="shared" si="65"/>
        <v/>
      </c>
    </row>
    <row r="495" spans="10:19" x14ac:dyDescent="0.15">
      <c r="J495" s="38">
        <v>486</v>
      </c>
      <c r="K495" s="40"/>
      <c r="L495" s="34">
        <f t="shared" si="59"/>
        <v>7.3650271762128693E-4</v>
      </c>
      <c r="M495" s="35">
        <f t="shared" si="60"/>
        <v>6.227131571467121E-7</v>
      </c>
      <c r="N495" s="44">
        <f t="shared" si="58"/>
        <v>2.8140757777583695E-5</v>
      </c>
      <c r="O495" s="45" t="e">
        <f t="shared" si="61"/>
        <v>#VALUE!</v>
      </c>
      <c r="P495" s="52" t="str">
        <f t="shared" si="62"/>
        <v/>
      </c>
      <c r="Q495" s="53" t="str">
        <f t="shared" si="63"/>
        <v/>
      </c>
      <c r="R495" s="54" t="str">
        <f t="shared" si="64"/>
        <v/>
      </c>
      <c r="S495" s="53" t="str">
        <f t="shared" si="65"/>
        <v/>
      </c>
    </row>
    <row r="496" spans="10:19" x14ac:dyDescent="0.15">
      <c r="J496" s="38">
        <v>487</v>
      </c>
      <c r="K496" s="40"/>
      <c r="L496" s="34">
        <f t="shared" si="59"/>
        <v>7.3712414018398359E-4</v>
      </c>
      <c r="M496" s="35">
        <f t="shared" si="60"/>
        <v>6.2013400493124369E-7</v>
      </c>
      <c r="N496" s="44">
        <f t="shared" si="58"/>
        <v>2.8025611980246092E-5</v>
      </c>
      <c r="O496" s="45" t="e">
        <f t="shared" si="61"/>
        <v>#VALUE!</v>
      </c>
      <c r="P496" s="52" t="str">
        <f t="shared" si="62"/>
        <v/>
      </c>
      <c r="Q496" s="53" t="str">
        <f t="shared" si="63"/>
        <v/>
      </c>
      <c r="R496" s="54" t="str">
        <f t="shared" si="64"/>
        <v/>
      </c>
      <c r="S496" s="53" t="str">
        <f t="shared" si="65"/>
        <v/>
      </c>
    </row>
    <row r="497" spans="10:19" x14ac:dyDescent="0.15">
      <c r="J497" s="38">
        <v>488</v>
      </c>
      <c r="K497" s="40"/>
      <c r="L497" s="34">
        <f t="shared" si="59"/>
        <v>7.3774298969168223E-4</v>
      </c>
      <c r="M497" s="35">
        <f t="shared" si="60"/>
        <v>6.1756703433482586E-7</v>
      </c>
      <c r="N497" s="44">
        <f t="shared" si="58"/>
        <v>2.791099043859119E-5</v>
      </c>
      <c r="O497" s="45" t="e">
        <f t="shared" si="61"/>
        <v>#VALUE!</v>
      </c>
      <c r="P497" s="52" t="str">
        <f t="shared" si="62"/>
        <v/>
      </c>
      <c r="Q497" s="53" t="str">
        <f t="shared" si="63"/>
        <v/>
      </c>
      <c r="R497" s="54" t="str">
        <f t="shared" si="64"/>
        <v/>
      </c>
      <c r="S497" s="53" t="str">
        <f t="shared" si="65"/>
        <v/>
      </c>
    </row>
    <row r="498" spans="10:19" x14ac:dyDescent="0.15">
      <c r="J498" s="38">
        <v>489</v>
      </c>
      <c r="K498" s="40"/>
      <c r="L498" s="34">
        <f t="shared" si="59"/>
        <v>7.3835927828765525E-4</v>
      </c>
      <c r="M498" s="35">
        <f t="shared" si="60"/>
        <v>6.150121687645613E-7</v>
      </c>
      <c r="N498" s="44">
        <f t="shared" si="58"/>
        <v>2.7796889973367533E-5</v>
      </c>
      <c r="O498" s="45" t="e">
        <f t="shared" si="61"/>
        <v>#VALUE!</v>
      </c>
      <c r="P498" s="52" t="str">
        <f t="shared" si="62"/>
        <v/>
      </c>
      <c r="Q498" s="53" t="str">
        <f t="shared" si="63"/>
        <v/>
      </c>
      <c r="R498" s="54" t="str">
        <f t="shared" si="64"/>
        <v/>
      </c>
      <c r="S498" s="53" t="str">
        <f t="shared" si="65"/>
        <v/>
      </c>
    </row>
    <row r="499" spans="10:19" x14ac:dyDescent="0.15">
      <c r="J499" s="38">
        <v>490</v>
      </c>
      <c r="K499" s="40"/>
      <c r="L499" s="34">
        <f t="shared" si="59"/>
        <v>7.3897301803888264E-4</v>
      </c>
      <c r="M499" s="35">
        <f t="shared" si="60"/>
        <v>6.1246933222858708E-7</v>
      </c>
      <c r="N499" s="44">
        <f t="shared" si="58"/>
        <v>2.7683307429398913E-5</v>
      </c>
      <c r="O499" s="45" t="e">
        <f t="shared" si="61"/>
        <v>#VALUE!</v>
      </c>
      <c r="P499" s="52" t="str">
        <f t="shared" si="62"/>
        <v/>
      </c>
      <c r="Q499" s="53" t="str">
        <f t="shared" si="63"/>
        <v/>
      </c>
      <c r="R499" s="54" t="str">
        <f t="shared" si="64"/>
        <v/>
      </c>
      <c r="S499" s="53" t="str">
        <f t="shared" si="65"/>
        <v/>
      </c>
    </row>
    <row r="500" spans="10:19" x14ac:dyDescent="0.15">
      <c r="J500" s="38">
        <v>491</v>
      </c>
      <c r="K500" s="40"/>
      <c r="L500" s="34">
        <f t="shared" si="59"/>
        <v>7.3958422093665184E-4</v>
      </c>
      <c r="M500" s="35">
        <f t="shared" si="60"/>
        <v>6.0993844933042618E-7</v>
      </c>
      <c r="N500" s="44">
        <f t="shared" si="58"/>
        <v>2.7570239675364498E-5</v>
      </c>
      <c r="O500" s="45" t="e">
        <f t="shared" si="61"/>
        <v>#VALUE!</v>
      </c>
      <c r="P500" s="52" t="str">
        <f t="shared" si="62"/>
        <v/>
      </c>
      <c r="Q500" s="53" t="str">
        <f t="shared" si="63"/>
        <v/>
      </c>
      <c r="R500" s="54" t="str">
        <f t="shared" si="64"/>
        <v/>
      </c>
      <c r="S500" s="53" t="str">
        <f t="shared" si="65"/>
        <v/>
      </c>
    </row>
    <row r="501" spans="10:19" x14ac:dyDescent="0.15">
      <c r="J501" s="38">
        <v>492</v>
      </c>
      <c r="K501" s="40"/>
      <c r="L501" s="34">
        <f t="shared" si="59"/>
        <v>7.4019289889714756E-4</v>
      </c>
      <c r="M501" s="35">
        <f t="shared" si="60"/>
        <v>6.0741944526339434E-7</v>
      </c>
      <c r="N501" s="44">
        <f t="shared" si="58"/>
        <v>2.7457683603585134E-5</v>
      </c>
      <c r="O501" s="45" t="e">
        <f t="shared" si="61"/>
        <v>#VALUE!</v>
      </c>
      <c r="P501" s="52" t="str">
        <f t="shared" si="62"/>
        <v/>
      </c>
      <c r="Q501" s="53" t="str">
        <f t="shared" si="63"/>
        <v/>
      </c>
      <c r="R501" s="54" t="str">
        <f t="shared" si="64"/>
        <v/>
      </c>
      <c r="S501" s="53" t="str">
        <f t="shared" si="65"/>
        <v/>
      </c>
    </row>
    <row r="502" spans="10:19" x14ac:dyDescent="0.15">
      <c r="J502" s="38">
        <v>493</v>
      </c>
      <c r="K502" s="40"/>
      <c r="L502" s="34">
        <f t="shared" si="59"/>
        <v>7.4079906376204176E-4</v>
      </c>
      <c r="M502" s="35">
        <f t="shared" si="60"/>
        <v>6.0491224580507694E-7</v>
      </c>
      <c r="N502" s="44">
        <f t="shared" si="58"/>
        <v>2.7345636129806183E-5</v>
      </c>
      <c r="O502" s="45" t="e">
        <f t="shared" si="61"/>
        <v>#VALUE!</v>
      </c>
      <c r="P502" s="52" t="str">
        <f t="shared" si="62"/>
        <v/>
      </c>
      <c r="Q502" s="53" t="str">
        <f t="shared" si="63"/>
        <v/>
      </c>
      <c r="R502" s="54" t="str">
        <f t="shared" si="64"/>
        <v/>
      </c>
      <c r="S502" s="53" t="str">
        <f t="shared" si="65"/>
        <v/>
      </c>
    </row>
    <row r="503" spans="10:19" x14ac:dyDescent="0.15">
      <c r="J503" s="38">
        <v>494</v>
      </c>
      <c r="K503" s="40"/>
      <c r="L503" s="34">
        <f t="shared" si="59"/>
        <v>7.4140272729907302E-4</v>
      </c>
      <c r="M503" s="35">
        <f t="shared" si="60"/>
        <v>6.0241677731185829E-7</v>
      </c>
      <c r="N503" s="44">
        <f t="shared" si="58"/>
        <v>2.7234094192989133E-5</v>
      </c>
      <c r="O503" s="45" t="e">
        <f t="shared" si="61"/>
        <v>#VALUE!</v>
      </c>
      <c r="P503" s="52" t="str">
        <f t="shared" si="62"/>
        <v/>
      </c>
      <c r="Q503" s="53" t="str">
        <f t="shared" si="63"/>
        <v/>
      </c>
      <c r="R503" s="54" t="str">
        <f t="shared" si="64"/>
        <v/>
      </c>
      <c r="S503" s="53" t="str">
        <f t="shared" si="65"/>
        <v/>
      </c>
    </row>
    <row r="504" spans="10:19" x14ac:dyDescent="0.15">
      <c r="J504" s="38">
        <v>495</v>
      </c>
      <c r="K504" s="40"/>
      <c r="L504" s="34">
        <f t="shared" si="59"/>
        <v>7.420039012026239E-4</v>
      </c>
      <c r="M504" s="35">
        <f t="shared" si="60"/>
        <v>5.9993296671351505E-7</v>
      </c>
      <c r="N504" s="44">
        <f t="shared" si="58"/>
        <v>2.71230547550991E-5</v>
      </c>
      <c r="O504" s="45" t="e">
        <f t="shared" si="61"/>
        <v>#VALUE!</v>
      </c>
      <c r="P504" s="52" t="str">
        <f t="shared" si="62"/>
        <v/>
      </c>
      <c r="Q504" s="53" t="str">
        <f t="shared" si="63"/>
        <v/>
      </c>
      <c r="R504" s="54" t="str">
        <f t="shared" si="64"/>
        <v/>
      </c>
      <c r="S504" s="53" t="str">
        <f t="shared" si="65"/>
        <v/>
      </c>
    </row>
    <row r="505" spans="10:19" x14ac:dyDescent="0.15">
      <c r="J505" s="38">
        <v>496</v>
      </c>
      <c r="K505" s="40"/>
      <c r="L505" s="34">
        <f t="shared" si="59"/>
        <v>7.4260259709429141E-4</v>
      </c>
      <c r="M505" s="35">
        <f t="shared" si="60"/>
        <v>5.9746074150786729E-7</v>
      </c>
      <c r="N505" s="44">
        <f t="shared" si="58"/>
        <v>2.7012514800899153E-5</v>
      </c>
      <c r="O505" s="45" t="e">
        <f t="shared" si="61"/>
        <v>#VALUE!</v>
      </c>
      <c r="P505" s="52" t="str">
        <f t="shared" si="62"/>
        <v/>
      </c>
      <c r="Q505" s="53" t="str">
        <f t="shared" si="63"/>
        <v/>
      </c>
      <c r="R505" s="54" t="str">
        <f t="shared" si="64"/>
        <v/>
      </c>
      <c r="S505" s="53" t="str">
        <f t="shared" si="65"/>
        <v/>
      </c>
    </row>
    <row r="506" spans="10:19" x14ac:dyDescent="0.15">
      <c r="J506" s="38">
        <v>497</v>
      </c>
      <c r="K506" s="40"/>
      <c r="L506" s="34">
        <f t="shared" si="59"/>
        <v>7.4319882652345128E-4</v>
      </c>
      <c r="M506" s="35">
        <f t="shared" si="60"/>
        <v>5.9500002975548628E-7</v>
      </c>
      <c r="N506" s="44">
        <f t="shared" si="58"/>
        <v>2.6902471337746374E-5</v>
      </c>
      <c r="O506" s="45" t="e">
        <f t="shared" si="61"/>
        <v>#VALUE!</v>
      </c>
      <c r="P506" s="52" t="str">
        <f t="shared" si="62"/>
        <v/>
      </c>
      <c r="Q506" s="53" t="str">
        <f t="shared" si="63"/>
        <v/>
      </c>
      <c r="R506" s="54" t="str">
        <f t="shared" si="64"/>
        <v/>
      </c>
      <c r="S506" s="53" t="str">
        <f t="shared" si="65"/>
        <v/>
      </c>
    </row>
    <row r="507" spans="10:19" x14ac:dyDescent="0.15">
      <c r="J507" s="38">
        <v>498</v>
      </c>
      <c r="K507" s="40"/>
      <c r="L507" s="34">
        <f t="shared" si="59"/>
        <v>7.4379260096782006E-4</v>
      </c>
      <c r="M507" s="35">
        <f t="shared" si="60"/>
        <v>5.9255076007446346E-7</v>
      </c>
      <c r="N507" s="44">
        <f t="shared" si="58"/>
        <v>2.6792921395385428E-5</v>
      </c>
      <c r="O507" s="45" t="e">
        <f t="shared" si="61"/>
        <v>#VALUE!</v>
      </c>
      <c r="P507" s="52" t="str">
        <f t="shared" si="62"/>
        <v/>
      </c>
      <c r="Q507" s="53" t="str">
        <f t="shared" si="63"/>
        <v/>
      </c>
      <c r="R507" s="54" t="str">
        <f t="shared" si="64"/>
        <v/>
      </c>
      <c r="S507" s="53" t="str">
        <f t="shared" si="65"/>
        <v/>
      </c>
    </row>
    <row r="508" spans="10:19" x14ac:dyDescent="0.15">
      <c r="J508" s="38">
        <v>499</v>
      </c>
      <c r="K508" s="40"/>
      <c r="L508" s="34">
        <f t="shared" si="59"/>
        <v>7.4438393183400811E-4</v>
      </c>
      <c r="M508" s="35">
        <f t="shared" si="60"/>
        <v>5.9011286163523112E-7</v>
      </c>
      <c r="N508" s="44">
        <f t="shared" si="58"/>
        <v>2.6683862025752214E-5</v>
      </c>
      <c r="O508" s="45" t="e">
        <f t="shared" si="61"/>
        <v>#VALUE!</v>
      </c>
      <c r="P508" s="52" t="str">
        <f t="shared" si="62"/>
        <v/>
      </c>
      <c r="Q508" s="53" t="str">
        <f t="shared" si="63"/>
        <v/>
      </c>
      <c r="R508" s="54" t="str">
        <f t="shared" si="64"/>
        <v/>
      </c>
      <c r="S508" s="53" t="str">
        <f t="shared" si="65"/>
        <v/>
      </c>
    </row>
    <row r="509" spans="10:19" x14ac:dyDescent="0.15">
      <c r="J509" s="38">
        <v>500</v>
      </c>
      <c r="K509" s="75">
        <f>B25</f>
        <v>6.4001010000000003E-4</v>
      </c>
      <c r="L509" s="34">
        <f t="shared" si="59"/>
        <v>7.449728304580709E-4</v>
      </c>
      <c r="M509" s="35">
        <f t="shared" si="60"/>
        <v>5.8768626415544266E-7</v>
      </c>
      <c r="N509" s="44">
        <f t="shared" si="58"/>
        <v>2.6575290302771224E-5</v>
      </c>
      <c r="O509" s="45" t="e">
        <f t="shared" si="61"/>
        <v>#VALUE!</v>
      </c>
      <c r="P509" s="52" t="str">
        <f t="shared" si="62"/>
        <v/>
      </c>
      <c r="Q509" s="53" t="str">
        <f t="shared" si="63"/>
        <v/>
      </c>
      <c r="R509" s="54" t="str">
        <f t="shared" si="64"/>
        <v/>
      </c>
      <c r="S509" s="53" t="str">
        <f t="shared" si="65"/>
        <v/>
      </c>
    </row>
    <row r="510" spans="10:19" x14ac:dyDescent="0.15">
      <c r="J510" s="38">
        <v>501</v>
      </c>
      <c r="K510" s="40"/>
      <c r="L510" s="34">
        <f t="shared" si="59"/>
        <v>7.4555930810605285E-4</v>
      </c>
      <c r="M510" s="35">
        <f t="shared" si="60"/>
        <v>5.8527089789490897E-7</v>
      </c>
      <c r="N510" s="44">
        <f t="shared" si="58"/>
        <v>2.6467203322160936E-5</v>
      </c>
      <c r="O510" s="45" t="e">
        <f t="shared" si="61"/>
        <v>#VALUE!</v>
      </c>
      <c r="P510" s="52" t="str">
        <f t="shared" si="62"/>
        <v/>
      </c>
      <c r="Q510" s="53" t="str">
        <f t="shared" si="63"/>
        <v/>
      </c>
      <c r="R510" s="54" t="str">
        <f t="shared" si="64"/>
        <v/>
      </c>
      <c r="S510" s="53" t="str">
        <f t="shared" si="65"/>
        <v/>
      </c>
    </row>
    <row r="511" spans="10:19" x14ac:dyDescent="0.15">
      <c r="J511" s="38">
        <v>502</v>
      </c>
      <c r="K511" s="40"/>
      <c r="L511" s="34">
        <f t="shared" si="59"/>
        <v>7.461433759745269E-4</v>
      </c>
      <c r="M511" s="35">
        <f t="shared" si="60"/>
        <v>5.8286669365058255E-7</v>
      </c>
      <c r="N511" s="44">
        <f t="shared" si="58"/>
        <v>2.635959820123995E-5</v>
      </c>
      <c r="O511" s="45" t="e">
        <f t="shared" si="61"/>
        <v>#VALUE!</v>
      </c>
      <c r="P511" s="52" t="str">
        <f t="shared" si="62"/>
        <v/>
      </c>
      <c r="Q511" s="53" t="str">
        <f t="shared" si="63"/>
        <v/>
      </c>
      <c r="R511" s="54" t="str">
        <f t="shared" si="64"/>
        <v/>
      </c>
      <c r="S511" s="53" t="str">
        <f t="shared" si="65"/>
        <v/>
      </c>
    </row>
    <row r="512" spans="10:19" x14ac:dyDescent="0.15">
      <c r="J512" s="38">
        <v>503</v>
      </c>
      <c r="K512" s="40"/>
      <c r="L512" s="34">
        <f t="shared" si="59"/>
        <v>7.4672504519112987E-4</v>
      </c>
      <c r="M512" s="35">
        <f t="shared" si="60"/>
        <v>5.8047358275160651E-7</v>
      </c>
      <c r="N512" s="44">
        <f t="shared" si="58"/>
        <v>2.6252472078731404E-5</v>
      </c>
      <c r="O512" s="45" t="e">
        <f t="shared" si="61"/>
        <v>#VALUE!</v>
      </c>
      <c r="P512" s="52" t="str">
        <f t="shared" si="62"/>
        <v/>
      </c>
      <c r="Q512" s="53" t="str">
        <f t="shared" si="63"/>
        <v/>
      </c>
      <c r="R512" s="54" t="str">
        <f t="shared" si="64"/>
        <v/>
      </c>
      <c r="S512" s="53" t="str">
        <f t="shared" si="65"/>
        <v/>
      </c>
    </row>
    <row r="513" spans="10:19" x14ac:dyDescent="0.15">
      <c r="J513" s="38">
        <v>504</v>
      </c>
      <c r="K513" s="40"/>
      <c r="L513" s="34">
        <f t="shared" si="59"/>
        <v>7.4730432681509155E-4</v>
      </c>
      <c r="M513" s="35">
        <f t="shared" si="60"/>
        <v>5.7809149705440671E-7</v>
      </c>
      <c r="N513" s="44">
        <f t="shared" si="58"/>
        <v>2.6145822114576056E-5</v>
      </c>
      <c r="O513" s="45" t="e">
        <f t="shared" si="61"/>
        <v>#VALUE!</v>
      </c>
      <c r="P513" s="52" t="str">
        <f t="shared" si="62"/>
        <v/>
      </c>
      <c r="Q513" s="53" t="str">
        <f t="shared" si="63"/>
        <v/>
      </c>
      <c r="R513" s="54" t="str">
        <f t="shared" si="64"/>
        <v/>
      </c>
      <c r="S513" s="53" t="str">
        <f t="shared" si="65"/>
        <v/>
      </c>
    </row>
    <row r="514" spans="10:19" x14ac:dyDescent="0.15">
      <c r="J514" s="38">
        <v>505</v>
      </c>
      <c r="K514" s="40"/>
      <c r="L514" s="34">
        <f t="shared" si="59"/>
        <v>7.4788123183775976E-4</v>
      </c>
      <c r="M514" s="35">
        <f t="shared" si="60"/>
        <v>5.7572036893784296E-7</v>
      </c>
      <c r="N514" s="44">
        <f t="shared" si="58"/>
        <v>2.6039645489740922E-5</v>
      </c>
      <c r="O514" s="45" t="e">
        <f t="shared" si="61"/>
        <v>#VALUE!</v>
      </c>
      <c r="P514" s="52" t="str">
        <f t="shared" si="62"/>
        <v/>
      </c>
      <c r="Q514" s="53" t="str">
        <f t="shared" si="63"/>
        <v/>
      </c>
      <c r="R514" s="54" t="str">
        <f t="shared" si="64"/>
        <v/>
      </c>
      <c r="S514" s="53" t="str">
        <f t="shared" si="65"/>
        <v/>
      </c>
    </row>
    <row r="515" spans="10:19" x14ac:dyDescent="0.15">
      <c r="J515" s="38">
        <v>506</v>
      </c>
      <c r="K515" s="40"/>
      <c r="L515" s="34">
        <f t="shared" si="59"/>
        <v>7.484557711831207E-4</v>
      </c>
      <c r="M515" s="35">
        <f t="shared" si="60"/>
        <v>5.7336013129840949E-7</v>
      </c>
      <c r="N515" s="44">
        <f t="shared" si="58"/>
        <v>2.5933939406034201E-5</v>
      </c>
      <c r="O515" s="45" t="e">
        <f t="shared" si="61"/>
        <v>#VALUE!</v>
      </c>
      <c r="P515" s="52" t="str">
        <f t="shared" si="62"/>
        <v/>
      </c>
      <c r="Q515" s="53" t="str">
        <f t="shared" si="63"/>
        <v/>
      </c>
      <c r="R515" s="54" t="str">
        <f t="shared" si="64"/>
        <v/>
      </c>
      <c r="S515" s="53" t="str">
        <f t="shared" si="65"/>
        <v/>
      </c>
    </row>
    <row r="516" spans="10:19" x14ac:dyDescent="0.15">
      <c r="J516" s="38">
        <v>507</v>
      </c>
      <c r="K516" s="40"/>
      <c r="L516" s="34">
        <f t="shared" si="59"/>
        <v>7.4902795570831314E-4</v>
      </c>
      <c r="M516" s="35">
        <f t="shared" si="60"/>
        <v>5.7101071754548502E-7</v>
      </c>
      <c r="N516" s="44">
        <f t="shared" si="58"/>
        <v>2.582870108592053E-5</v>
      </c>
      <c r="O516" s="45" t="e">
        <f t="shared" si="61"/>
        <v>#VALUE!</v>
      </c>
      <c r="P516" s="52" t="str">
        <f t="shared" si="62"/>
        <v/>
      </c>
      <c r="Q516" s="53" t="str">
        <f t="shared" si="63"/>
        <v/>
      </c>
      <c r="R516" s="54" t="str">
        <f t="shared" si="64"/>
        <v/>
      </c>
      <c r="S516" s="53" t="str">
        <f t="shared" si="65"/>
        <v/>
      </c>
    </row>
    <row r="517" spans="10:19" x14ac:dyDescent="0.15">
      <c r="J517" s="38">
        <v>508</v>
      </c>
      <c r="K517" s="40"/>
      <c r="L517" s="34">
        <f t="shared" si="59"/>
        <v>7.4959779620414066E-4</v>
      </c>
      <c r="M517" s="35">
        <f t="shared" si="60"/>
        <v>5.6867206159664072E-7</v>
      </c>
      <c r="N517" s="44">
        <f t="shared" si="58"/>
        <v>2.5723927772336669E-5</v>
      </c>
      <c r="O517" s="45" t="e">
        <f t="shared" si="61"/>
        <v>#VALUE!</v>
      </c>
      <c r="P517" s="52" t="str">
        <f t="shared" si="62"/>
        <v/>
      </c>
      <c r="Q517" s="53" t="str">
        <f t="shared" si="63"/>
        <v/>
      </c>
      <c r="R517" s="54" t="str">
        <f t="shared" si="64"/>
        <v/>
      </c>
      <c r="S517" s="53" t="str">
        <f t="shared" si="65"/>
        <v/>
      </c>
    </row>
    <row r="518" spans="10:19" x14ac:dyDescent="0.15">
      <c r="J518" s="38">
        <v>509</v>
      </c>
      <c r="K518" s="40"/>
      <c r="L518" s="34">
        <f t="shared" si="59"/>
        <v>7.5016530339557603E-4</v>
      </c>
      <c r="M518" s="35">
        <f t="shared" si="60"/>
        <v>5.6634409787298854E-7</v>
      </c>
      <c r="N518" s="44">
        <f t="shared" si="58"/>
        <v>2.5619616728512497E-5</v>
      </c>
      <c r="O518" s="45" t="e">
        <f t="shared" si="61"/>
        <v>#VALUE!</v>
      </c>
      <c r="P518" s="52" t="str">
        <f t="shared" si="62"/>
        <v/>
      </c>
      <c r="Q518" s="53" t="str">
        <f t="shared" si="63"/>
        <v/>
      </c>
      <c r="R518" s="54" t="str">
        <f t="shared" si="64"/>
        <v/>
      </c>
      <c r="S518" s="53" t="str">
        <f t="shared" si="65"/>
        <v/>
      </c>
    </row>
    <row r="519" spans="10:19" x14ac:dyDescent="0.15">
      <c r="J519" s="38">
        <v>510</v>
      </c>
      <c r="K519" s="40"/>
      <c r="L519" s="34">
        <f t="shared" si="59"/>
        <v>7.5073048794226289E-4</v>
      </c>
      <c r="M519" s="35">
        <f t="shared" si="60"/>
        <v>5.6402676129458652E-7</v>
      </c>
      <c r="N519" s="44">
        <f t="shared" si="58"/>
        <v>2.5515765237791145E-5</v>
      </c>
      <c r="O519" s="45" t="e">
        <f t="shared" si="61"/>
        <v>#VALUE!</v>
      </c>
      <c r="P519" s="52" t="str">
        <f t="shared" si="62"/>
        <v/>
      </c>
      <c r="Q519" s="53" t="str">
        <f t="shared" si="63"/>
        <v/>
      </c>
      <c r="R519" s="54" t="str">
        <f t="shared" si="64"/>
        <v/>
      </c>
      <c r="S519" s="53" t="str">
        <f t="shared" si="65"/>
        <v/>
      </c>
    </row>
    <row r="520" spans="10:19" x14ac:dyDescent="0.15">
      <c r="J520" s="38">
        <v>511</v>
      </c>
      <c r="K520" s="40"/>
      <c r="L520" s="34">
        <f t="shared" si="59"/>
        <v>7.5129336043901283E-4</v>
      </c>
      <c r="M520" s="35">
        <f t="shared" si="60"/>
        <v>5.617199872758901E-7</v>
      </c>
      <c r="N520" s="44">
        <f t="shared" si="58"/>
        <v>2.5412370603451187E-5</v>
      </c>
      <c r="O520" s="45" t="e">
        <f t="shared" si="61"/>
        <v>#VALUE!</v>
      </c>
      <c r="P520" s="52" t="str">
        <f t="shared" si="62"/>
        <v/>
      </c>
      <c r="Q520" s="53" t="str">
        <f t="shared" si="63"/>
        <v/>
      </c>
      <c r="R520" s="54" t="str">
        <f t="shared" si="64"/>
        <v/>
      </c>
      <c r="S520" s="53" t="str">
        <f t="shared" si="65"/>
        <v/>
      </c>
    </row>
    <row r="521" spans="10:19" x14ac:dyDescent="0.15">
      <c r="J521" s="38">
        <v>512</v>
      </c>
      <c r="K521" s="40"/>
      <c r="L521" s="34">
        <f t="shared" si="59"/>
        <v>7.5185393141629731E-4</v>
      </c>
      <c r="M521" s="35">
        <f t="shared" si="60"/>
        <v>5.594237117212506E-7</v>
      </c>
      <c r="N521" s="44">
        <f t="shared" ref="N521:N584" si="66">(L571-L521)</f>
        <v>2.530943014853273E-5</v>
      </c>
      <c r="O521" s="45" t="e">
        <f t="shared" si="61"/>
        <v>#VALUE!</v>
      </c>
      <c r="P521" s="52" t="str">
        <f t="shared" si="62"/>
        <v/>
      </c>
      <c r="Q521" s="53" t="str">
        <f t="shared" si="63"/>
        <v/>
      </c>
      <c r="R521" s="54" t="str">
        <f t="shared" si="64"/>
        <v/>
      </c>
      <c r="S521" s="53" t="str">
        <f t="shared" si="65"/>
        <v/>
      </c>
    </row>
    <row r="522" spans="10:19" x14ac:dyDescent="0.15">
      <c r="J522" s="38">
        <v>513</v>
      </c>
      <c r="K522" s="40"/>
      <c r="L522" s="34">
        <f t="shared" ref="L522:L585" si="67">$F$39*((1-$F$40*J522)/(1+$F$41*J522))*(J522-$F$42)</f>
        <v>7.5241221134073478E-4</v>
      </c>
      <c r="M522" s="35">
        <f t="shared" ref="M522:M585" si="68">$F$39*((1-2*$F$40*J522-$F$40*$F$41*(J522^2)+($F$41+$F$40)*$F$42)/(1+$F$41*J522)^2)</f>
        <v>5.5713787102046429E-7</v>
      </c>
      <c r="N522" s="44">
        <f t="shared" si="66"/>
        <v>2.5206941215662215E-5</v>
      </c>
      <c r="O522" s="45" t="e">
        <f t="shared" ref="O522:O585" si="69">IF(N522&lt;=$B$49,1+O521,0)</f>
        <v>#VALUE!</v>
      </c>
      <c r="P522" s="52" t="str">
        <f t="shared" ref="P522:P585" si="70">IF(J522&lt;=$F$42,J522,"")</f>
        <v/>
      </c>
      <c r="Q522" s="53" t="str">
        <f t="shared" ref="Q522:Q585" si="71">IF(J522&lt;=$F$42,L522,"")</f>
        <v/>
      </c>
      <c r="R522" s="54" t="str">
        <f t="shared" ref="R522:R585" si="72">IF(AND(J522&gt;=$F$42,J522&lt;=200),J522,"")</f>
        <v/>
      </c>
      <c r="S522" s="53" t="str">
        <f t="shared" ref="S522:S585" si="73">IF(AND(J522&gt;=$F$42,J522&lt;=200),L522,"")</f>
        <v/>
      </c>
    </row>
    <row r="523" spans="10:19" x14ac:dyDescent="0.15">
      <c r="J523" s="38">
        <v>514</v>
      </c>
      <c r="K523" s="40"/>
      <c r="L523" s="34">
        <f t="shared" si="67"/>
        <v>7.5296821061557459E-4</v>
      </c>
      <c r="M523" s="35">
        <f t="shared" si="68"/>
        <v>5.5486240204436638E-7</v>
      </c>
      <c r="N523" s="44">
        <f t="shared" si="66"/>
        <v>2.5104901166882404E-5</v>
      </c>
      <c r="O523" s="45" t="e">
        <f t="shared" si="69"/>
        <v>#VALUE!</v>
      </c>
      <c r="P523" s="52" t="str">
        <f t="shared" si="70"/>
        <v/>
      </c>
      <c r="Q523" s="53" t="str">
        <f t="shared" si="71"/>
        <v/>
      </c>
      <c r="R523" s="54" t="str">
        <f t="shared" si="72"/>
        <v/>
      </c>
      <c r="S523" s="53" t="str">
        <f t="shared" si="73"/>
        <v/>
      </c>
    </row>
    <row r="524" spans="10:19" x14ac:dyDescent="0.15">
      <c r="J524" s="38">
        <v>515</v>
      </c>
      <c r="K524" s="40"/>
      <c r="L524" s="34">
        <f t="shared" si="67"/>
        <v>7.535219395811755E-4</v>
      </c>
      <c r="M524" s="35">
        <f t="shared" si="68"/>
        <v>5.5259724214047243E-7</v>
      </c>
      <c r="N524" s="44">
        <f t="shared" si="66"/>
        <v>2.5003307383480544E-5</v>
      </c>
      <c r="O524" s="45" t="e">
        <f t="shared" si="69"/>
        <v>#VALUE!</v>
      </c>
      <c r="P524" s="52" t="str">
        <f t="shared" si="70"/>
        <v/>
      </c>
      <c r="Q524" s="53" t="str">
        <f t="shared" si="71"/>
        <v/>
      </c>
      <c r="R524" s="54" t="str">
        <f t="shared" si="72"/>
        <v/>
      </c>
      <c r="S524" s="53" t="str">
        <f t="shared" si="73"/>
        <v/>
      </c>
    </row>
    <row r="525" spans="10:19" x14ac:dyDescent="0.15">
      <c r="J525" s="38">
        <v>516</v>
      </c>
      <c r="K525" s="40"/>
      <c r="L525" s="34">
        <f t="shared" si="67"/>
        <v>7.5407340851548084E-4</v>
      </c>
      <c r="M525" s="35">
        <f t="shared" si="68"/>
        <v>5.5034232912866639E-7</v>
      </c>
      <c r="N525" s="44">
        <f t="shared" si="66"/>
        <v>2.4902157265820524E-5</v>
      </c>
      <c r="O525" s="45" t="e">
        <f t="shared" si="69"/>
        <v>#VALUE!</v>
      </c>
      <c r="P525" s="52" t="str">
        <f t="shared" si="70"/>
        <v/>
      </c>
      <c r="Q525" s="53" t="str">
        <f t="shared" si="71"/>
        <v/>
      </c>
      <c r="R525" s="54" t="str">
        <f t="shared" si="72"/>
        <v/>
      </c>
      <c r="S525" s="53" t="str">
        <f t="shared" si="73"/>
        <v/>
      </c>
    </row>
    <row r="526" spans="10:19" x14ac:dyDescent="0.15">
      <c r="J526" s="38">
        <v>517</v>
      </c>
      <c r="K526" s="40"/>
      <c r="L526" s="34">
        <f t="shared" si="67"/>
        <v>7.5462262763448772E-4</v>
      </c>
      <c r="M526" s="35">
        <f t="shared" si="68"/>
        <v>5.4809760129693171E-7</v>
      </c>
      <c r="N526" s="44">
        <f t="shared" si="66"/>
        <v>2.4801448233177322E-5</v>
      </c>
      <c r="O526" s="45" t="e">
        <f t="shared" si="69"/>
        <v>#VALUE!</v>
      </c>
      <c r="P526" s="52" t="str">
        <f t="shared" si="70"/>
        <v/>
      </c>
      <c r="Q526" s="53" t="str">
        <f t="shared" si="71"/>
        <v/>
      </c>
      <c r="R526" s="54" t="str">
        <f t="shared" si="72"/>
        <v/>
      </c>
      <c r="S526" s="53" t="str">
        <f t="shared" si="73"/>
        <v/>
      </c>
    </row>
    <row r="527" spans="10:19" x14ac:dyDescent="0.15">
      <c r="J527" s="38">
        <v>518</v>
      </c>
      <c r="K527" s="40"/>
      <c r="L527" s="34">
        <f t="shared" si="67"/>
        <v>7.5516960709271354E-4</v>
      </c>
      <c r="M527" s="35">
        <f t="shared" si="68"/>
        <v>5.4586299739712987E-7</v>
      </c>
      <c r="N527" s="44">
        <f t="shared" si="66"/>
        <v>2.4701177723571231E-5</v>
      </c>
      <c r="O527" s="45" t="e">
        <f t="shared" si="69"/>
        <v>#VALUE!</v>
      </c>
      <c r="P527" s="52" t="str">
        <f t="shared" si="70"/>
        <v/>
      </c>
      <c r="Q527" s="53" t="str">
        <f t="shared" si="71"/>
        <v/>
      </c>
      <c r="R527" s="54" t="str">
        <f t="shared" si="72"/>
        <v/>
      </c>
      <c r="S527" s="53" t="str">
        <f t="shared" si="73"/>
        <v/>
      </c>
    </row>
    <row r="528" spans="10:19" x14ac:dyDescent="0.15">
      <c r="J528" s="38">
        <v>519</v>
      </c>
      <c r="K528" s="40"/>
      <c r="L528" s="34">
        <f t="shared" si="67"/>
        <v>7.5571435698365823E-4</v>
      </c>
      <c r="M528" s="35">
        <f t="shared" si="68"/>
        <v>5.4363845664082365E-7</v>
      </c>
      <c r="N528" s="44">
        <f t="shared" si="66"/>
        <v>2.4601343193604141E-5</v>
      </c>
      <c r="O528" s="45" t="e">
        <f t="shared" si="69"/>
        <v>#VALUE!</v>
      </c>
      <c r="P528" s="52" t="str">
        <f t="shared" si="70"/>
        <v/>
      </c>
      <c r="Q528" s="53" t="str">
        <f t="shared" si="71"/>
        <v/>
      </c>
      <c r="R528" s="54" t="str">
        <f t="shared" si="72"/>
        <v/>
      </c>
      <c r="S528" s="53" t="str">
        <f t="shared" si="73"/>
        <v/>
      </c>
    </row>
    <row r="529" spans="10:19" x14ac:dyDescent="0.15">
      <c r="J529" s="38">
        <v>520</v>
      </c>
      <c r="K529" s="40"/>
      <c r="L529" s="34">
        <f t="shared" si="67"/>
        <v>7.5625688734026048E-4</v>
      </c>
      <c r="M529" s="35">
        <f t="shared" si="68"/>
        <v>5.4142391869513999E-7</v>
      </c>
      <c r="N529" s="44">
        <f t="shared" si="66"/>
        <v>2.4501942118299621E-5</v>
      </c>
      <c r="O529" s="45" t="e">
        <f t="shared" si="69"/>
        <v>#VALUE!</v>
      </c>
      <c r="P529" s="52" t="str">
        <f t="shared" si="70"/>
        <v/>
      </c>
      <c r="Q529" s="53" t="str">
        <f t="shared" si="71"/>
        <v/>
      </c>
      <c r="R529" s="54" t="str">
        <f t="shared" si="72"/>
        <v/>
      </c>
      <c r="S529" s="53" t="str">
        <f t="shared" si="73"/>
        <v/>
      </c>
    </row>
    <row r="530" spans="10:19" x14ac:dyDescent="0.15">
      <c r="J530" s="38">
        <v>521</v>
      </c>
      <c r="K530" s="40"/>
      <c r="L530" s="34">
        <f t="shared" si="67"/>
        <v>7.5679720813535327E-4</v>
      </c>
      <c r="M530" s="35">
        <f t="shared" si="68"/>
        <v>5.3921932367868278E-7</v>
      </c>
      <c r="N530" s="44">
        <f t="shared" si="66"/>
        <v>2.4402971990940942E-5</v>
      </c>
      <c r="O530" s="45" t="e">
        <f t="shared" si="69"/>
        <v>#VALUE!</v>
      </c>
      <c r="P530" s="52" t="str">
        <f t="shared" si="70"/>
        <v/>
      </c>
      <c r="Q530" s="53" t="str">
        <f t="shared" si="71"/>
        <v/>
      </c>
      <c r="R530" s="54" t="str">
        <f t="shared" si="72"/>
        <v/>
      </c>
      <c r="S530" s="53" t="str">
        <f t="shared" si="73"/>
        <v/>
      </c>
    </row>
    <row r="531" spans="10:19" x14ac:dyDescent="0.15">
      <c r="J531" s="38">
        <v>522</v>
      </c>
      <c r="K531" s="40"/>
      <c r="L531" s="34">
        <f t="shared" si="67"/>
        <v>7.5733532928211138E-4</v>
      </c>
      <c r="M531" s="35">
        <f t="shared" si="68"/>
        <v>5.3702461215748177E-7</v>
      </c>
      <c r="N531" s="44">
        <f t="shared" si="66"/>
        <v>2.4304430322914621E-5</v>
      </c>
      <c r="O531" s="45" t="e">
        <f t="shared" si="69"/>
        <v>#VALUE!</v>
      </c>
      <c r="P531" s="52" t="str">
        <f t="shared" si="70"/>
        <v/>
      </c>
      <c r="Q531" s="53" t="str">
        <f t="shared" si="71"/>
        <v/>
      </c>
      <c r="R531" s="54" t="str">
        <f t="shared" si="72"/>
        <v/>
      </c>
      <c r="S531" s="53" t="str">
        <f t="shared" si="73"/>
        <v/>
      </c>
    </row>
    <row r="532" spans="10:19" x14ac:dyDescent="0.15">
      <c r="J532" s="38">
        <v>523</v>
      </c>
      <c r="K532" s="40"/>
      <c r="L532" s="34">
        <f t="shared" si="67"/>
        <v>7.5787126063449806E-4</v>
      </c>
      <c r="M532" s="35">
        <f t="shared" si="68"/>
        <v>5.3483972514098773E-7</v>
      </c>
      <c r="N532" s="44">
        <f t="shared" si="66"/>
        <v>2.4206314643552564E-5</v>
      </c>
      <c r="O532" s="45" t="e">
        <f t="shared" si="69"/>
        <v>#VALUE!</v>
      </c>
      <c r="P532" s="52" t="str">
        <f t="shared" si="70"/>
        <v/>
      </c>
      <c r="Q532" s="53" t="str">
        <f t="shared" si="71"/>
        <v/>
      </c>
      <c r="R532" s="54" t="str">
        <f t="shared" si="72"/>
        <v/>
      </c>
      <c r="S532" s="53" t="str">
        <f t="shared" si="73"/>
        <v/>
      </c>
    </row>
    <row r="533" spans="10:19" x14ac:dyDescent="0.15">
      <c r="J533" s="38">
        <v>524</v>
      </c>
      <c r="K533" s="40"/>
      <c r="L533" s="34">
        <f t="shared" si="67"/>
        <v>7.5840501198770637E-4</v>
      </c>
      <c r="M533" s="35">
        <f t="shared" si="68"/>
        <v>5.3266460407811066E-7</v>
      </c>
      <c r="N533" s="44">
        <f t="shared" si="66"/>
        <v>2.4108622499976595E-5</v>
      </c>
      <c r="O533" s="45" t="e">
        <f t="shared" si="69"/>
        <v>#VALUE!</v>
      </c>
      <c r="P533" s="52" t="str">
        <f t="shared" si="70"/>
        <v/>
      </c>
      <c r="Q533" s="53" t="str">
        <f t="shared" si="71"/>
        <v/>
      </c>
      <c r="R533" s="54" t="str">
        <f t="shared" si="72"/>
        <v/>
      </c>
      <c r="S533" s="53" t="str">
        <f t="shared" si="73"/>
        <v/>
      </c>
    </row>
    <row r="534" spans="10:19" x14ac:dyDescent="0.15">
      <c r="J534" s="38">
        <v>525</v>
      </c>
      <c r="K534" s="40"/>
      <c r="L534" s="34">
        <f t="shared" si="67"/>
        <v>7.5893659307859555E-4</v>
      </c>
      <c r="M534" s="35">
        <f t="shared" si="68"/>
        <v>5.3049919085329238E-7</v>
      </c>
      <c r="N534" s="44">
        <f t="shared" si="66"/>
        <v>2.4011351456946876E-5</v>
      </c>
      <c r="O534" s="45" t="e">
        <f t="shared" si="69"/>
        <v>#VALUE!</v>
      </c>
      <c r="P534" s="52" t="str">
        <f t="shared" si="70"/>
        <v/>
      </c>
      <c r="Q534" s="53" t="str">
        <f t="shared" si="71"/>
        <v/>
      </c>
      <c r="R534" s="54" t="str">
        <f t="shared" si="72"/>
        <v/>
      </c>
      <c r="S534" s="53" t="str">
        <f t="shared" si="73"/>
        <v/>
      </c>
    </row>
    <row r="535" spans="10:19" x14ac:dyDescent="0.15">
      <c r="J535" s="38">
        <v>526</v>
      </c>
      <c r="K535" s="40"/>
      <c r="L535" s="34">
        <f t="shared" si="67"/>
        <v>7.5946601358612635E-4</v>
      </c>
      <c r="M535" s="35">
        <f t="shared" si="68"/>
        <v>5.2834342778262993E-7</v>
      </c>
      <c r="N535" s="44">
        <f t="shared" si="66"/>
        <v>2.3914499096706551E-5</v>
      </c>
      <c r="O535" s="45" t="e">
        <f t="shared" si="69"/>
        <v>#VALUE!</v>
      </c>
      <c r="P535" s="52" t="str">
        <f t="shared" si="70"/>
        <v/>
      </c>
      <c r="Q535" s="53" t="str">
        <f t="shared" si="71"/>
        <v/>
      </c>
      <c r="R535" s="54" t="str">
        <f t="shared" si="72"/>
        <v/>
      </c>
      <c r="S535" s="53" t="str">
        <f t="shared" si="73"/>
        <v/>
      </c>
    </row>
    <row r="536" spans="10:19" x14ac:dyDescent="0.15">
      <c r="J536" s="38">
        <v>527</v>
      </c>
      <c r="K536" s="40"/>
      <c r="L536" s="34">
        <f t="shared" si="67"/>
        <v>7.5999328313178889E-4</v>
      </c>
      <c r="M536" s="35">
        <f t="shared" si="68"/>
        <v>5.2619725761002989E-7</v>
      </c>
      <c r="N536" s="44">
        <f t="shared" si="66"/>
        <v>2.3818063018835912E-5</v>
      </c>
      <c r="O536" s="45" t="e">
        <f t="shared" si="69"/>
        <v>#VALUE!</v>
      </c>
      <c r="P536" s="52" t="str">
        <f t="shared" si="70"/>
        <v/>
      </c>
      <c r="Q536" s="53" t="str">
        <f t="shared" si="71"/>
        <v/>
      </c>
      <c r="R536" s="54" t="str">
        <f t="shared" si="72"/>
        <v/>
      </c>
      <c r="S536" s="53" t="str">
        <f t="shared" si="73"/>
        <v/>
      </c>
    </row>
    <row r="537" spans="10:19" x14ac:dyDescent="0.15">
      <c r="J537" s="38">
        <v>528</v>
      </c>
      <c r="K537" s="40"/>
      <c r="L537" s="34">
        <f t="shared" si="67"/>
        <v>7.6051841128003028E-4</v>
      </c>
      <c r="M537" s="35">
        <f t="shared" si="68"/>
        <v>5.240606235034086E-7</v>
      </c>
      <c r="N537" s="44">
        <f t="shared" si="66"/>
        <v>2.372204084009834E-5</v>
      </c>
      <c r="O537" s="45" t="e">
        <f t="shared" si="69"/>
        <v>#VALUE!</v>
      </c>
      <c r="P537" s="52" t="str">
        <f t="shared" si="70"/>
        <v/>
      </c>
      <c r="Q537" s="53" t="str">
        <f t="shared" si="71"/>
        <v/>
      </c>
      <c r="R537" s="54" t="str">
        <f t="shared" si="72"/>
        <v/>
      </c>
      <c r="S537" s="53" t="str">
        <f t="shared" si="73"/>
        <v/>
      </c>
    </row>
    <row r="538" spans="10:19" x14ac:dyDescent="0.15">
      <c r="J538" s="38">
        <v>529</v>
      </c>
      <c r="K538" s="40"/>
      <c r="L538" s="34">
        <f t="shared" si="67"/>
        <v>7.6104140753867583E-4</v>
      </c>
      <c r="M538" s="35">
        <f t="shared" si="68"/>
        <v>5.2193346905092997E-7</v>
      </c>
      <c r="N538" s="44">
        <f t="shared" si="66"/>
        <v>2.3626430194296209E-5</v>
      </c>
      <c r="O538" s="45" t="e">
        <f t="shared" si="69"/>
        <v>#VALUE!</v>
      </c>
      <c r="P538" s="52" t="str">
        <f t="shared" si="70"/>
        <v/>
      </c>
      <c r="Q538" s="53" t="str">
        <f t="shared" si="71"/>
        <v/>
      </c>
      <c r="R538" s="54" t="str">
        <f t="shared" si="72"/>
        <v/>
      </c>
      <c r="S538" s="53" t="str">
        <f t="shared" si="73"/>
        <v/>
      </c>
    </row>
    <row r="539" spans="10:19" x14ac:dyDescent="0.15">
      <c r="J539" s="38">
        <v>530</v>
      </c>
      <c r="K539" s="40"/>
      <c r="L539" s="34">
        <f t="shared" si="67"/>
        <v>7.6156228135934709E-4</v>
      </c>
      <c r="M539" s="35">
        <f t="shared" si="68"/>
        <v>5.1981573825727959E-7</v>
      </c>
      <c r="N539" s="44">
        <f t="shared" si="66"/>
        <v>2.3531228732124416E-5</v>
      </c>
      <c r="O539" s="45" t="e">
        <f t="shared" si="69"/>
        <v>#VALUE!</v>
      </c>
      <c r="P539" s="52" t="str">
        <f t="shared" si="70"/>
        <v/>
      </c>
      <c r="Q539" s="53" t="str">
        <f t="shared" si="71"/>
        <v/>
      </c>
      <c r="R539" s="54" t="str">
        <f t="shared" si="72"/>
        <v/>
      </c>
      <c r="S539" s="53" t="str">
        <f t="shared" si="73"/>
        <v/>
      </c>
    </row>
    <row r="540" spans="10:19" x14ac:dyDescent="0.15">
      <c r="J540" s="38">
        <v>531</v>
      </c>
      <c r="K540" s="40"/>
      <c r="L540" s="34">
        <f t="shared" si="67"/>
        <v>7.6208104213787789E-4</v>
      </c>
      <c r="M540" s="35">
        <f t="shared" si="68"/>
        <v>5.1770737553998319E-7</v>
      </c>
      <c r="N540" s="44">
        <f t="shared" si="66"/>
        <v>2.3436434121023469E-5</v>
      </c>
      <c r="O540" s="45" t="e">
        <f t="shared" si="69"/>
        <v>#VALUE!</v>
      </c>
      <c r="P540" s="52" t="str">
        <f t="shared" si="70"/>
        <v/>
      </c>
      <c r="Q540" s="53" t="str">
        <f t="shared" si="71"/>
        <v/>
      </c>
      <c r="R540" s="54" t="str">
        <f t="shared" si="72"/>
        <v/>
      </c>
      <c r="S540" s="53" t="str">
        <f t="shared" si="73"/>
        <v/>
      </c>
    </row>
    <row r="541" spans="10:19" x14ac:dyDescent="0.15">
      <c r="J541" s="38">
        <v>532</v>
      </c>
      <c r="K541" s="40"/>
      <c r="L541" s="34">
        <f t="shared" si="67"/>
        <v>7.6259769921472361E-4</v>
      </c>
      <c r="M541" s="35">
        <f t="shared" si="68"/>
        <v>5.1560832572575658E-7</v>
      </c>
      <c r="N541" s="44">
        <f t="shared" si="66"/>
        <v>2.3342044045040057E-5</v>
      </c>
      <c r="O541" s="45" t="e">
        <f t="shared" si="69"/>
        <v>#VALUE!</v>
      </c>
      <c r="P541" s="52" t="str">
        <f t="shared" si="70"/>
        <v/>
      </c>
      <c r="Q541" s="53" t="str">
        <f t="shared" si="71"/>
        <v/>
      </c>
      <c r="R541" s="54" t="str">
        <f t="shared" si="72"/>
        <v/>
      </c>
      <c r="S541" s="53" t="str">
        <f t="shared" si="73"/>
        <v/>
      </c>
    </row>
    <row r="542" spans="10:19" x14ac:dyDescent="0.15">
      <c r="J542" s="38">
        <v>533</v>
      </c>
      <c r="K542" s="40"/>
      <c r="L542" s="34">
        <f t="shared" si="67"/>
        <v>7.6311226187537006E-4</v>
      </c>
      <c r="M542" s="35">
        <f t="shared" si="68"/>
        <v>5.1351853404689708E-7</v>
      </c>
      <c r="N542" s="44">
        <f t="shared" si="66"/>
        <v>2.3248056204682528E-5</v>
      </c>
      <c r="O542" s="45" t="e">
        <f t="shared" si="69"/>
        <v>#VALUE!</v>
      </c>
      <c r="P542" s="52" t="str">
        <f t="shared" si="70"/>
        <v/>
      </c>
      <c r="Q542" s="53" t="str">
        <f t="shared" si="71"/>
        <v/>
      </c>
      <c r="R542" s="54" t="str">
        <f t="shared" si="72"/>
        <v/>
      </c>
      <c r="S542" s="53" t="str">
        <f t="shared" si="73"/>
        <v/>
      </c>
    </row>
    <row r="543" spans="10:19" x14ac:dyDescent="0.15">
      <c r="J543" s="38">
        <v>534</v>
      </c>
      <c r="K543" s="40"/>
      <c r="L543" s="34">
        <f t="shared" si="67"/>
        <v>7.6362473935073642E-4</v>
      </c>
      <c r="M543" s="35">
        <f t="shared" si="68"/>
        <v>5.1143794613771199E-7</v>
      </c>
      <c r="N543" s="44">
        <f t="shared" si="66"/>
        <v>2.3154468316781353E-5</v>
      </c>
      <c r="O543" s="45" t="e">
        <f t="shared" si="69"/>
        <v>#VALUE!</v>
      </c>
      <c r="P543" s="52" t="str">
        <f t="shared" si="70"/>
        <v/>
      </c>
      <c r="Q543" s="53" t="str">
        <f t="shared" si="71"/>
        <v/>
      </c>
      <c r="R543" s="54" t="str">
        <f t="shared" si="72"/>
        <v/>
      </c>
      <c r="S543" s="53" t="str">
        <f t="shared" si="73"/>
        <v/>
      </c>
    </row>
    <row r="544" spans="10:19" x14ac:dyDescent="0.15">
      <c r="J544" s="38">
        <v>535</v>
      </c>
      <c r="K544" s="40"/>
      <c r="L544" s="34">
        <f t="shared" si="67"/>
        <v>7.6413514081757525E-4</v>
      </c>
      <c r="M544" s="35">
        <f t="shared" si="68"/>
        <v>5.0936650803098034E-7</v>
      </c>
      <c r="N544" s="44">
        <f t="shared" si="66"/>
        <v>2.3061278114351754E-5</v>
      </c>
      <c r="O544" s="45" t="e">
        <f t="shared" si="69"/>
        <v>#VALUE!</v>
      </c>
      <c r="P544" s="52" t="str">
        <f t="shared" si="70"/>
        <v/>
      </c>
      <c r="Q544" s="53" t="str">
        <f t="shared" si="71"/>
        <v/>
      </c>
      <c r="R544" s="54" t="str">
        <f t="shared" si="72"/>
        <v/>
      </c>
      <c r="S544" s="53" t="str">
        <f t="shared" si="73"/>
        <v/>
      </c>
    </row>
    <row r="545" spans="10:19" x14ac:dyDescent="0.15">
      <c r="J545" s="38">
        <v>536</v>
      </c>
      <c r="K545" s="40"/>
      <c r="L545" s="34">
        <f t="shared" si="67"/>
        <v>7.6464347539887062E-4</v>
      </c>
      <c r="M545" s="35">
        <f t="shared" si="68"/>
        <v>5.0730416615445643E-7</v>
      </c>
      <c r="N545" s="44">
        <f t="shared" si="66"/>
        <v>2.2968483346452761E-5</v>
      </c>
      <c r="O545" s="45" t="e">
        <f t="shared" si="69"/>
        <v>#VALUE!</v>
      </c>
      <c r="P545" s="52" t="str">
        <f t="shared" si="70"/>
        <v/>
      </c>
      <c r="Q545" s="53" t="str">
        <f t="shared" si="71"/>
        <v/>
      </c>
      <c r="R545" s="54" t="str">
        <f t="shared" si="72"/>
        <v/>
      </c>
      <c r="S545" s="53" t="str">
        <f t="shared" si="73"/>
        <v/>
      </c>
    </row>
    <row r="546" spans="10:19" x14ac:dyDescent="0.15">
      <c r="J546" s="38">
        <v>537</v>
      </c>
      <c r="K546" s="40"/>
      <c r="L546" s="34">
        <f t="shared" si="67"/>
        <v>7.6514975216422968E-4</v>
      </c>
      <c r="M546" s="35">
        <f t="shared" si="68"/>
        <v>5.0525086732740346E-7</v>
      </c>
      <c r="N546" s="44">
        <f t="shared" si="66"/>
        <v>2.287608177805483E-5</v>
      </c>
      <c r="O546" s="45" t="e">
        <f t="shared" si="69"/>
        <v>#VALUE!</v>
      </c>
      <c r="P546" s="52" t="str">
        <f t="shared" si="70"/>
        <v/>
      </c>
      <c r="Q546" s="53" t="str">
        <f t="shared" si="71"/>
        <v/>
      </c>
      <c r="R546" s="54" t="str">
        <f t="shared" si="72"/>
        <v/>
      </c>
      <c r="S546" s="53" t="str">
        <f t="shared" si="73"/>
        <v/>
      </c>
    </row>
    <row r="547" spans="10:19" x14ac:dyDescent="0.15">
      <c r="J547" s="38">
        <v>538</v>
      </c>
      <c r="K547" s="40"/>
      <c r="L547" s="34">
        <f t="shared" si="67"/>
        <v>7.6565398013027342E-4</v>
      </c>
      <c r="M547" s="35">
        <f t="shared" si="68"/>
        <v>5.0320655875716643E-7</v>
      </c>
      <c r="N547" s="44">
        <f t="shared" si="66"/>
        <v>2.2784071189902691E-5</v>
      </c>
      <c r="O547" s="45" t="e">
        <f t="shared" si="69"/>
        <v>#VALUE!</v>
      </c>
      <c r="P547" s="52" t="str">
        <f t="shared" si="70"/>
        <v/>
      </c>
      <c r="Q547" s="53" t="str">
        <f t="shared" si="71"/>
        <v/>
      </c>
      <c r="R547" s="54" t="str">
        <f t="shared" si="72"/>
        <v/>
      </c>
      <c r="S547" s="53" t="str">
        <f t="shared" si="73"/>
        <v/>
      </c>
    </row>
    <row r="548" spans="10:19" x14ac:dyDescent="0.15">
      <c r="J548" s="38">
        <v>539</v>
      </c>
      <c r="K548" s="40"/>
      <c r="L548" s="34">
        <f t="shared" si="67"/>
        <v>7.6615616826102278E-4</v>
      </c>
      <c r="M548" s="35">
        <f t="shared" si="68"/>
        <v>5.0117118803577799E-7</v>
      </c>
      <c r="N548" s="44">
        <f t="shared" si="66"/>
        <v>2.2692449378382208E-5</v>
      </c>
      <c r="O548" s="45" t="e">
        <f t="shared" si="69"/>
        <v>#VALUE!</v>
      </c>
      <c r="P548" s="52" t="str">
        <f t="shared" si="70"/>
        <v/>
      </c>
      <c r="Q548" s="53" t="str">
        <f t="shared" si="71"/>
        <v/>
      </c>
      <c r="R548" s="54" t="str">
        <f t="shared" si="72"/>
        <v/>
      </c>
      <c r="S548" s="53" t="str">
        <f t="shared" si="73"/>
        <v/>
      </c>
    </row>
    <row r="549" spans="10:19" x14ac:dyDescent="0.15">
      <c r="J549" s="38">
        <v>540</v>
      </c>
      <c r="K549" s="40"/>
      <c r="L549" s="34">
        <f t="shared" si="67"/>
        <v>7.6665632546828156E-4</v>
      </c>
      <c r="M549" s="35">
        <f t="shared" si="68"/>
        <v>4.9914470313660034E-7</v>
      </c>
      <c r="N549" s="44">
        <f t="shared" si="66"/>
        <v>2.2601214155389625E-5</v>
      </c>
      <c r="O549" s="45" t="e">
        <f t="shared" si="69"/>
        <v>#VALUE!</v>
      </c>
      <c r="P549" s="52" t="str">
        <f t="shared" si="70"/>
        <v/>
      </c>
      <c r="Q549" s="53" t="str">
        <f t="shared" si="71"/>
        <v/>
      </c>
      <c r="R549" s="54" t="str">
        <f t="shared" si="72"/>
        <v/>
      </c>
      <c r="S549" s="53" t="str">
        <f t="shared" si="73"/>
        <v/>
      </c>
    </row>
    <row r="550" spans="10:19" x14ac:dyDescent="0.15">
      <c r="J550" s="38">
        <v>541</v>
      </c>
      <c r="K550" s="40"/>
      <c r="L550" s="34">
        <f t="shared" si="67"/>
        <v>7.6715446061201634E-4</v>
      </c>
      <c r="M550" s="35">
        <f t="shared" si="68"/>
        <v>4.9712705241100003E-7</v>
      </c>
      <c r="N550" s="44">
        <f t="shared" si="66"/>
        <v>2.2510363348198534E-5</v>
      </c>
      <c r="O550" s="45" t="e">
        <f t="shared" si="69"/>
        <v>#VALUE!</v>
      </c>
      <c r="P550" s="52" t="str">
        <f t="shared" si="70"/>
        <v/>
      </c>
      <c r="Q550" s="53" t="str">
        <f t="shared" si="71"/>
        <v/>
      </c>
      <c r="R550" s="54" t="str">
        <f t="shared" si="72"/>
        <v/>
      </c>
      <c r="S550" s="53" t="str">
        <f t="shared" si="73"/>
        <v/>
      </c>
    </row>
    <row r="551" spans="10:19" x14ac:dyDescent="0.15">
      <c r="J551" s="38">
        <v>542</v>
      </c>
      <c r="K551" s="40"/>
      <c r="L551" s="34">
        <f t="shared" si="67"/>
        <v>7.6765058250073269E-4</v>
      </c>
      <c r="M551" s="35">
        <f t="shared" si="68"/>
        <v>4.9511818458505702E-7</v>
      </c>
      <c r="N551" s="44">
        <f t="shared" si="66"/>
        <v>2.2419894799332154E-5</v>
      </c>
      <c r="O551" s="45" t="e">
        <f t="shared" si="69"/>
        <v>#VALUE!</v>
      </c>
      <c r="P551" s="52" t="str">
        <f t="shared" si="70"/>
        <v/>
      </c>
      <c r="Q551" s="53" t="str">
        <f t="shared" si="71"/>
        <v/>
      </c>
      <c r="R551" s="54" t="str">
        <f t="shared" si="72"/>
        <v/>
      </c>
      <c r="S551" s="53" t="str">
        <f t="shared" si="73"/>
        <v/>
      </c>
    </row>
    <row r="552" spans="10:19" x14ac:dyDescent="0.15">
      <c r="J552" s="38">
        <v>543</v>
      </c>
      <c r="K552" s="40"/>
      <c r="L552" s="34">
        <f t="shared" si="67"/>
        <v>7.6814469989184794E-4</v>
      </c>
      <c r="M552" s="35">
        <f t="shared" si="68"/>
        <v>4.9311804875630706E-7</v>
      </c>
      <c r="N552" s="44">
        <f t="shared" si="66"/>
        <v>2.2329806366433989E-5</v>
      </c>
      <c r="O552" s="45" t="e">
        <f t="shared" si="69"/>
        <v>#VALUE!</v>
      </c>
      <c r="P552" s="52" t="str">
        <f t="shared" si="70"/>
        <v/>
      </c>
      <c r="Q552" s="53" t="str">
        <f t="shared" si="71"/>
        <v/>
      </c>
      <c r="R552" s="54" t="str">
        <f t="shared" si="72"/>
        <v/>
      </c>
      <c r="S552" s="53" t="str">
        <f t="shared" si="73"/>
        <v/>
      </c>
    </row>
    <row r="553" spans="10:19" x14ac:dyDescent="0.15">
      <c r="J553" s="38">
        <v>544</v>
      </c>
      <c r="K553" s="40"/>
      <c r="L553" s="34">
        <f t="shared" si="67"/>
        <v>7.6863682149206215E-4</v>
      </c>
      <c r="M553" s="35">
        <f t="shared" si="68"/>
        <v>4.9112659439051793E-7</v>
      </c>
      <c r="N553" s="44">
        <f t="shared" si="66"/>
        <v>2.2240095922140216E-5</v>
      </c>
      <c r="O553" s="45" t="e">
        <f t="shared" si="69"/>
        <v>#VALUE!</v>
      </c>
      <c r="P553" s="52" t="str">
        <f t="shared" si="70"/>
        <v/>
      </c>
      <c r="Q553" s="53" t="str">
        <f t="shared" si="71"/>
        <v/>
      </c>
      <c r="R553" s="54" t="str">
        <f t="shared" si="72"/>
        <v/>
      </c>
      <c r="S553" s="53" t="str">
        <f t="shared" si="73"/>
        <v/>
      </c>
    </row>
    <row r="554" spans="10:19" x14ac:dyDescent="0.15">
      <c r="J554" s="38">
        <v>545</v>
      </c>
      <c r="K554" s="40"/>
      <c r="L554" s="34">
        <f t="shared" si="67"/>
        <v>7.69126955957723E-4</v>
      </c>
      <c r="M554" s="35">
        <f t="shared" si="68"/>
        <v>4.8914377131849653E-7</v>
      </c>
      <c r="N554" s="44">
        <f t="shared" si="66"/>
        <v>2.215076135395652E-5</v>
      </c>
      <c r="O554" s="45" t="e">
        <f t="shared" si="69"/>
        <v>#VALUE!</v>
      </c>
      <c r="P554" s="52" t="str">
        <f t="shared" si="70"/>
        <v/>
      </c>
      <c r="Q554" s="53" t="str">
        <f t="shared" si="71"/>
        <v/>
      </c>
      <c r="R554" s="54" t="str">
        <f t="shared" si="72"/>
        <v/>
      </c>
      <c r="S554" s="53" t="str">
        <f t="shared" si="73"/>
        <v/>
      </c>
    </row>
    <row r="555" spans="10:19" x14ac:dyDescent="0.15">
      <c r="J555" s="38">
        <v>546</v>
      </c>
      <c r="K555" s="40"/>
      <c r="L555" s="34">
        <f t="shared" si="67"/>
        <v>7.6961511189519057E-4</v>
      </c>
      <c r="M555" s="35">
        <f t="shared" si="68"/>
        <v>4.8716952973292879E-7</v>
      </c>
      <c r="N555" s="44">
        <f t="shared" si="66"/>
        <v>2.2061800564131023E-5</v>
      </c>
      <c r="O555" s="45" t="e">
        <f t="shared" si="69"/>
        <v>#VALUE!</v>
      </c>
      <c r="P555" s="52" t="str">
        <f t="shared" si="70"/>
        <v/>
      </c>
      <c r="Q555" s="53" t="str">
        <f t="shared" si="71"/>
        <v/>
      </c>
      <c r="R555" s="54" t="str">
        <f t="shared" si="72"/>
        <v/>
      </c>
      <c r="S555" s="53" t="str">
        <f t="shared" si="73"/>
        <v/>
      </c>
    </row>
    <row r="556" spans="10:19" x14ac:dyDescent="0.15">
      <c r="J556" s="38">
        <v>547</v>
      </c>
      <c r="K556" s="40"/>
      <c r="L556" s="34">
        <f t="shared" si="67"/>
        <v>7.7010129786119765E-4</v>
      </c>
      <c r="M556" s="35">
        <f t="shared" si="68"/>
        <v>4.8520382018525417E-7</v>
      </c>
      <c r="N556" s="44">
        <f t="shared" si="66"/>
        <v>2.1973211469530473E-5</v>
      </c>
      <c r="O556" s="45" t="e">
        <f t="shared" si="69"/>
        <v>#VALUE!</v>
      </c>
      <c r="P556" s="52" t="str">
        <f t="shared" si="70"/>
        <v/>
      </c>
      <c r="Q556" s="53" t="str">
        <f t="shared" si="71"/>
        <v/>
      </c>
      <c r="R556" s="54" t="str">
        <f t="shared" si="72"/>
        <v/>
      </c>
      <c r="S556" s="53" t="str">
        <f t="shared" si="73"/>
        <v/>
      </c>
    </row>
    <row r="557" spans="10:19" x14ac:dyDescent="0.15">
      <c r="J557" s="38">
        <v>548</v>
      </c>
      <c r="K557" s="40"/>
      <c r="L557" s="34">
        <f t="shared" si="67"/>
        <v>7.7058552236320549E-4</v>
      </c>
      <c r="M557" s="35">
        <f t="shared" si="68"/>
        <v>4.8324659358256577E-7</v>
      </c>
      <c r="N557" s="44">
        <f t="shared" si="66"/>
        <v>2.1884992001521626E-5</v>
      </c>
      <c r="O557" s="45" t="e">
        <f t="shared" si="69"/>
        <v>#VALUE!</v>
      </c>
      <c r="P557" s="52" t="str">
        <f t="shared" si="70"/>
        <v/>
      </c>
      <c r="Q557" s="53" t="str">
        <f t="shared" si="71"/>
        <v/>
      </c>
      <c r="R557" s="54" t="str">
        <f t="shared" si="72"/>
        <v/>
      </c>
      <c r="S557" s="53" t="str">
        <f t="shared" si="73"/>
        <v/>
      </c>
    </row>
    <row r="558" spans="10:19" x14ac:dyDescent="0.15">
      <c r="J558" s="38">
        <v>549</v>
      </c>
      <c r="K558" s="40"/>
      <c r="L558" s="34">
        <f t="shared" si="67"/>
        <v>7.7106779385976033E-4</v>
      </c>
      <c r="M558" s="35">
        <f t="shared" si="68"/>
        <v>4.8129780118454838E-7</v>
      </c>
      <c r="N558" s="44">
        <f t="shared" si="66"/>
        <v>2.1797140105845702E-5</v>
      </c>
      <c r="O558" s="45" t="e">
        <f t="shared" si="69"/>
        <v>#VALUE!</v>
      </c>
      <c r="P558" s="52" t="str">
        <f t="shared" si="70"/>
        <v/>
      </c>
      <c r="Q558" s="53" t="str">
        <f t="shared" si="71"/>
        <v/>
      </c>
      <c r="R558" s="54" t="str">
        <f t="shared" si="72"/>
        <v/>
      </c>
      <c r="S558" s="53" t="str">
        <f t="shared" si="73"/>
        <v/>
      </c>
    </row>
    <row r="559" spans="10:19" x14ac:dyDescent="0.15">
      <c r="J559" s="38">
        <v>550</v>
      </c>
      <c r="K559" s="40"/>
      <c r="L559" s="34">
        <f t="shared" si="67"/>
        <v>7.7154812076084213E-4</v>
      </c>
      <c r="M559" s="35">
        <f t="shared" si="68"/>
        <v>4.7935739460044243E-7</v>
      </c>
      <c r="N559" s="44">
        <f t="shared" si="66"/>
        <v>2.1709653742502263E-5</v>
      </c>
      <c r="O559" s="45" t="e">
        <f t="shared" si="69"/>
        <v>#VALUE!</v>
      </c>
      <c r="P559" s="52" t="str">
        <f t="shared" si="70"/>
        <v/>
      </c>
      <c r="Q559" s="53" t="str">
        <f t="shared" si="71"/>
        <v/>
      </c>
      <c r="R559" s="54" t="str">
        <f t="shared" si="72"/>
        <v/>
      </c>
      <c r="S559" s="53" t="str">
        <f t="shared" si="73"/>
        <v/>
      </c>
    </row>
    <row r="560" spans="10:19" x14ac:dyDescent="0.15">
      <c r="J560" s="38">
        <v>551</v>
      </c>
      <c r="K560" s="40"/>
      <c r="L560" s="34">
        <f t="shared" si="67"/>
        <v>7.7202651142821378E-4</v>
      </c>
      <c r="M560" s="35">
        <f t="shared" si="68"/>
        <v>4.774253257860391E-7</v>
      </c>
      <c r="N560" s="44">
        <f t="shared" si="66"/>
        <v>2.1622530885628973E-5</v>
      </c>
      <c r="O560" s="45" t="e">
        <f t="shared" si="69"/>
        <v>#VALUE!</v>
      </c>
      <c r="P560" s="52" t="str">
        <f t="shared" si="70"/>
        <v/>
      </c>
      <c r="Q560" s="53" t="str">
        <f t="shared" si="71"/>
        <v/>
      </c>
      <c r="R560" s="54" t="str">
        <f t="shared" si="72"/>
        <v/>
      </c>
      <c r="S560" s="53" t="str">
        <f t="shared" si="73"/>
        <v/>
      </c>
    </row>
    <row r="561" spans="10:19" x14ac:dyDescent="0.15">
      <c r="J561" s="38">
        <v>552</v>
      </c>
      <c r="K561" s="40"/>
      <c r="L561" s="34">
        <f t="shared" si="67"/>
        <v>7.7250297417576685E-4</v>
      </c>
      <c r="M561" s="35">
        <f t="shared" si="68"/>
        <v>4.7550154704070935E-7</v>
      </c>
      <c r="N561" s="44">
        <f t="shared" si="66"/>
        <v>2.1535769523383535E-5</v>
      </c>
      <c r="O561" s="45" t="e">
        <f t="shared" si="69"/>
        <v>#VALUE!</v>
      </c>
      <c r="P561" s="52" t="str">
        <f t="shared" si="70"/>
        <v/>
      </c>
      <c r="Q561" s="53" t="str">
        <f t="shared" si="71"/>
        <v/>
      </c>
      <c r="R561" s="54" t="str">
        <f t="shared" si="72"/>
        <v/>
      </c>
      <c r="S561" s="53" t="str">
        <f t="shared" si="73"/>
        <v/>
      </c>
    </row>
    <row r="562" spans="10:19" x14ac:dyDescent="0.15">
      <c r="J562" s="38">
        <v>553</v>
      </c>
      <c r="K562" s="40"/>
      <c r="L562" s="34">
        <f t="shared" si="67"/>
        <v>7.7297751726986127E-4</v>
      </c>
      <c r="M562" s="35">
        <f t="shared" si="68"/>
        <v>4.7358601100445569E-7</v>
      </c>
      <c r="N562" s="44">
        <f t="shared" si="66"/>
        <v>2.1449367657829627E-5</v>
      </c>
      <c r="O562" s="45" t="e">
        <f t="shared" si="69"/>
        <v>#VALUE!</v>
      </c>
      <c r="P562" s="52" t="str">
        <f t="shared" si="70"/>
        <v/>
      </c>
      <c r="Q562" s="53" t="str">
        <f t="shared" si="71"/>
        <v/>
      </c>
      <c r="R562" s="54" t="str">
        <f t="shared" si="72"/>
        <v/>
      </c>
      <c r="S562" s="53" t="str">
        <f t="shared" si="73"/>
        <v/>
      </c>
    </row>
    <row r="563" spans="10:19" x14ac:dyDescent="0.15">
      <c r="J563" s="38">
        <v>554</v>
      </c>
      <c r="K563" s="40"/>
      <c r="L563" s="34">
        <f t="shared" si="67"/>
        <v>7.7345014892966761E-4</v>
      </c>
      <c r="M563" s="35">
        <f t="shared" si="68"/>
        <v>4.7167867065500125E-7</v>
      </c>
      <c r="N563" s="44">
        <f t="shared" si="66"/>
        <v>2.1363323304818835E-5</v>
      </c>
      <c r="O563" s="45" t="e">
        <f t="shared" si="69"/>
        <v>#VALUE!</v>
      </c>
      <c r="P563" s="52" t="str">
        <f t="shared" si="70"/>
        <v/>
      </c>
      <c r="Q563" s="53" t="str">
        <f t="shared" si="71"/>
        <v/>
      </c>
      <c r="R563" s="54" t="str">
        <f t="shared" si="72"/>
        <v/>
      </c>
      <c r="S563" s="53" t="str">
        <f t="shared" si="73"/>
        <v/>
      </c>
    </row>
    <row r="564" spans="10:19" x14ac:dyDescent="0.15">
      <c r="J564" s="38">
        <v>555</v>
      </c>
      <c r="K564" s="40"/>
      <c r="L564" s="34">
        <f t="shared" si="67"/>
        <v>7.7392087732750068E-4</v>
      </c>
      <c r="M564" s="35">
        <f t="shared" si="68"/>
        <v>4.6977947930490113E-7</v>
      </c>
      <c r="N564" s="44">
        <f t="shared" si="66"/>
        <v>2.1277634493879088E-5</v>
      </c>
      <c r="O564" s="45" t="e">
        <f t="shared" si="69"/>
        <v>#VALUE!</v>
      </c>
      <c r="P564" s="52" t="str">
        <f t="shared" si="70"/>
        <v/>
      </c>
      <c r="Q564" s="53" t="str">
        <f t="shared" si="71"/>
        <v/>
      </c>
      <c r="R564" s="54" t="str">
        <f t="shared" si="72"/>
        <v/>
      </c>
      <c r="S564" s="53" t="str">
        <f t="shared" si="73"/>
        <v/>
      </c>
    </row>
    <row r="565" spans="10:19" x14ac:dyDescent="0.15">
      <c r="J565" s="38">
        <v>556</v>
      </c>
      <c r="K565" s="40"/>
      <c r="L565" s="34">
        <f t="shared" si="67"/>
        <v>7.743897105891549E-4</v>
      </c>
      <c r="M565" s="35">
        <f t="shared" si="68"/>
        <v>4.6788839059868667E-7</v>
      </c>
      <c r="N565" s="44">
        <f t="shared" si="66"/>
        <v>2.1192299268099949E-5</v>
      </c>
      <c r="O565" s="45" t="e">
        <f t="shared" si="69"/>
        <v>#VALUE!</v>
      </c>
      <c r="P565" s="52" t="str">
        <f t="shared" si="70"/>
        <v/>
      </c>
      <c r="Q565" s="53" t="str">
        <f t="shared" si="71"/>
        <v/>
      </c>
      <c r="R565" s="54" t="str">
        <f t="shared" si="72"/>
        <v/>
      </c>
      <c r="S565" s="53" t="str">
        <f t="shared" si="73"/>
        <v/>
      </c>
    </row>
    <row r="566" spans="10:19" x14ac:dyDescent="0.15">
      <c r="J566" s="38">
        <v>557</v>
      </c>
      <c r="K566" s="40"/>
      <c r="L566" s="34">
        <f t="shared" si="67"/>
        <v>7.7485665679423367E-4</v>
      </c>
      <c r="M566" s="35">
        <f t="shared" si="68"/>
        <v>4.6600535851003753E-7</v>
      </c>
      <c r="N566" s="44">
        <f t="shared" si="66"/>
        <v>2.110731568402116E-5</v>
      </c>
      <c r="O566" s="45" t="e">
        <f t="shared" si="69"/>
        <v>#VALUE!</v>
      </c>
      <c r="P566" s="52" t="str">
        <f t="shared" si="70"/>
        <v/>
      </c>
      <c r="Q566" s="53" t="str">
        <f t="shared" si="71"/>
        <v/>
      </c>
      <c r="R566" s="54" t="str">
        <f t="shared" si="72"/>
        <v/>
      </c>
      <c r="S566" s="53" t="str">
        <f t="shared" si="73"/>
        <v/>
      </c>
    </row>
    <row r="567" spans="10:19" x14ac:dyDescent="0.15">
      <c r="J567" s="38">
        <v>558</v>
      </c>
      <c r="K567" s="40"/>
      <c r="L567" s="34">
        <f t="shared" si="67"/>
        <v>7.7532172397647733E-4</v>
      </c>
      <c r="M567" s="35">
        <f t="shared" si="68"/>
        <v>4.6413033733897842E-7</v>
      </c>
      <c r="N567" s="44">
        <f t="shared" si="66"/>
        <v>2.1022681811522378E-5</v>
      </c>
      <c r="O567" s="45" t="e">
        <f t="shared" si="69"/>
        <v>#VALUE!</v>
      </c>
      <c r="P567" s="52" t="str">
        <f t="shared" si="70"/>
        <v/>
      </c>
      <c r="Q567" s="53" t="str">
        <f t="shared" si="71"/>
        <v/>
      </c>
      <c r="R567" s="54" t="str">
        <f t="shared" si="72"/>
        <v/>
      </c>
      <c r="S567" s="53" t="str">
        <f t="shared" si="73"/>
        <v/>
      </c>
    </row>
    <row r="568" spans="10:19" x14ac:dyDescent="0.15">
      <c r="J568" s="38">
        <v>559</v>
      </c>
      <c r="K568" s="40"/>
      <c r="L568" s="34">
        <f t="shared" si="67"/>
        <v>7.7578492012408853E-4</v>
      </c>
      <c r="M568" s="35">
        <f t="shared" si="68"/>
        <v>4.6226328170910999E-7</v>
      </c>
      <c r="N568" s="44">
        <f t="shared" si="66"/>
        <v>2.0938395733713019E-5</v>
      </c>
      <c r="O568" s="45" t="e">
        <f t="shared" si="69"/>
        <v>#VALUE!</v>
      </c>
      <c r="P568" s="52" t="str">
        <f t="shared" si="70"/>
        <v/>
      </c>
      <c r="Q568" s="53" t="str">
        <f t="shared" si="71"/>
        <v/>
      </c>
      <c r="R568" s="54" t="str">
        <f t="shared" si="72"/>
        <v/>
      </c>
      <c r="S568" s="53" t="str">
        <f t="shared" si="73"/>
        <v/>
      </c>
    </row>
    <row r="569" spans="10:19" x14ac:dyDescent="0.15">
      <c r="J569" s="38">
        <v>560</v>
      </c>
      <c r="K569" s="40"/>
      <c r="L569" s="34">
        <f t="shared" si="67"/>
        <v>7.7624625318005404E-4</v>
      </c>
      <c r="M569" s="35">
        <f t="shared" si="68"/>
        <v>4.604041465648603E-7</v>
      </c>
      <c r="N569" s="44">
        <f t="shared" si="66"/>
        <v>2.0854455546823517E-5</v>
      </c>
      <c r="O569" s="45" t="e">
        <f t="shared" si="69"/>
        <v>#VALUE!</v>
      </c>
      <c r="P569" s="52" t="str">
        <f t="shared" si="70"/>
        <v/>
      </c>
      <c r="Q569" s="53" t="str">
        <f t="shared" si="71"/>
        <v/>
      </c>
      <c r="R569" s="54" t="str">
        <f t="shared" si="72"/>
        <v/>
      </c>
      <c r="S569" s="53" t="str">
        <f t="shared" si="73"/>
        <v/>
      </c>
    </row>
    <row r="570" spans="10:19" x14ac:dyDescent="0.15">
      <c r="J570" s="38">
        <v>561</v>
      </c>
      <c r="K570" s="40"/>
      <c r="L570" s="34">
        <f t="shared" si="67"/>
        <v>7.7670573104246402E-4</v>
      </c>
      <c r="M570" s="35">
        <f t="shared" si="68"/>
        <v>4.5855288716876812E-7</v>
      </c>
      <c r="N570" s="44">
        <f t="shared" si="66"/>
        <v>2.0770859360097656E-5</v>
      </c>
      <c r="O570" s="45" t="e">
        <f t="shared" si="69"/>
        <v>#VALUE!</v>
      </c>
      <c r="P570" s="52" t="str">
        <f t="shared" si="70"/>
        <v/>
      </c>
      <c r="Q570" s="53" t="str">
        <f t="shared" si="71"/>
        <v/>
      </c>
      <c r="R570" s="54" t="str">
        <f t="shared" si="72"/>
        <v/>
      </c>
      <c r="S570" s="53" t="str">
        <f t="shared" si="73"/>
        <v/>
      </c>
    </row>
    <row r="571" spans="10:19" x14ac:dyDescent="0.15">
      <c r="J571" s="38">
        <v>562</v>
      </c>
      <c r="K571" s="40"/>
      <c r="L571" s="34">
        <f t="shared" si="67"/>
        <v>7.7716336156483004E-4</v>
      </c>
      <c r="M571" s="35">
        <f t="shared" si="68"/>
        <v>4.5670945909879206E-7</v>
      </c>
      <c r="N571" s="44">
        <f t="shared" si="66"/>
        <v>2.0687605295685455E-5</v>
      </c>
      <c r="O571" s="45" t="e">
        <f t="shared" si="69"/>
        <v>#VALUE!</v>
      </c>
      <c r="P571" s="52" t="str">
        <f t="shared" si="70"/>
        <v/>
      </c>
      <c r="Q571" s="53" t="str">
        <f t="shared" si="71"/>
        <v/>
      </c>
      <c r="R571" s="54" t="str">
        <f t="shared" si="72"/>
        <v/>
      </c>
      <c r="S571" s="53" t="str">
        <f t="shared" si="73"/>
        <v/>
      </c>
    </row>
    <row r="572" spans="10:19" x14ac:dyDescent="0.15">
      <c r="J572" s="38">
        <v>563</v>
      </c>
      <c r="K572" s="40"/>
      <c r="L572" s="34">
        <f t="shared" si="67"/>
        <v>7.77619152556397E-4</v>
      </c>
      <c r="M572" s="35">
        <f t="shared" si="68"/>
        <v>4.5487381824564361E-7</v>
      </c>
      <c r="N572" s="44">
        <f t="shared" si="66"/>
        <v>2.0604691488538543E-5</v>
      </c>
      <c r="O572" s="45" t="e">
        <f t="shared" si="69"/>
        <v>#VALUE!</v>
      </c>
      <c r="P572" s="52" t="str">
        <f t="shared" si="70"/>
        <v/>
      </c>
      <c r="Q572" s="53" t="str">
        <f t="shared" si="71"/>
        <v/>
      </c>
      <c r="R572" s="54" t="str">
        <f t="shared" si="72"/>
        <v/>
      </c>
      <c r="S572" s="53" t="str">
        <f t="shared" si="73"/>
        <v/>
      </c>
    </row>
    <row r="573" spans="10:19" x14ac:dyDescent="0.15">
      <c r="J573" s="38">
        <v>564</v>
      </c>
      <c r="K573" s="40"/>
      <c r="L573" s="34">
        <f t="shared" si="67"/>
        <v>7.7807311178245699E-4</v>
      </c>
      <c r="M573" s="35">
        <f t="shared" si="68"/>
        <v>4.5304592081015119E-7</v>
      </c>
      <c r="N573" s="44">
        <f t="shared" si="66"/>
        <v>2.0522116086305097E-5</v>
      </c>
      <c r="O573" s="45" t="e">
        <f t="shared" si="69"/>
        <v>#VALUE!</v>
      </c>
      <c r="P573" s="52" t="str">
        <f t="shared" si="70"/>
        <v/>
      </c>
      <c r="Q573" s="53" t="str">
        <f t="shared" si="71"/>
        <v/>
      </c>
      <c r="R573" s="54" t="str">
        <f t="shared" si="72"/>
        <v/>
      </c>
      <c r="S573" s="53" t="str">
        <f t="shared" si="73"/>
        <v/>
      </c>
    </row>
    <row r="574" spans="10:19" x14ac:dyDescent="0.15">
      <c r="J574" s="38">
        <v>565</v>
      </c>
      <c r="K574" s="40"/>
      <c r="L574" s="34">
        <f t="shared" si="67"/>
        <v>7.7852524696465605E-4</v>
      </c>
      <c r="M574" s="35">
        <f t="shared" si="68"/>
        <v>4.5122572330064545E-7</v>
      </c>
      <c r="N574" s="44">
        <f t="shared" si="66"/>
        <v>2.0439877249225978E-5</v>
      </c>
      <c r="O574" s="45" t="e">
        <f t="shared" si="69"/>
        <v>#VALUE!</v>
      </c>
      <c r="P574" s="52" t="str">
        <f t="shared" si="70"/>
        <v/>
      </c>
      <c r="Q574" s="53" t="str">
        <f t="shared" si="71"/>
        <v/>
      </c>
      <c r="R574" s="54" t="str">
        <f t="shared" si="72"/>
        <v/>
      </c>
      <c r="S574" s="53" t="str">
        <f t="shared" si="73"/>
        <v/>
      </c>
    </row>
    <row r="575" spans="10:19" x14ac:dyDescent="0.15">
      <c r="J575" s="38">
        <v>566</v>
      </c>
      <c r="K575" s="40"/>
      <c r="L575" s="34">
        <f t="shared" si="67"/>
        <v>7.7897556578130137E-4</v>
      </c>
      <c r="M575" s="35">
        <f t="shared" si="68"/>
        <v>4.4941318253037286E-7</v>
      </c>
      <c r="N575" s="44">
        <f t="shared" si="66"/>
        <v>2.0357973150032164E-5</v>
      </c>
      <c r="O575" s="45" t="e">
        <f t="shared" si="69"/>
        <v>#VALUE!</v>
      </c>
      <c r="P575" s="52" t="str">
        <f t="shared" si="70"/>
        <v/>
      </c>
      <c r="Q575" s="53" t="str">
        <f t="shared" si="71"/>
        <v/>
      </c>
      <c r="R575" s="54" t="str">
        <f t="shared" si="72"/>
        <v/>
      </c>
      <c r="S575" s="53" t="str">
        <f t="shared" si="73"/>
        <v/>
      </c>
    </row>
    <row r="576" spans="10:19" x14ac:dyDescent="0.15">
      <c r="J576" s="38">
        <v>567</v>
      </c>
      <c r="K576" s="40"/>
      <c r="L576" s="34">
        <f t="shared" si="67"/>
        <v>7.7942407586766504E-4</v>
      </c>
      <c r="M576" s="35">
        <f t="shared" si="68"/>
        <v>4.4760825561493442E-7</v>
      </c>
      <c r="N576" s="44">
        <f t="shared" si="66"/>
        <v>2.0276401973843704E-5</v>
      </c>
      <c r="O576" s="45" t="e">
        <f t="shared" si="69"/>
        <v>#VALUE!</v>
      </c>
      <c r="P576" s="52" t="str">
        <f t="shared" si="70"/>
        <v/>
      </c>
      <c r="Q576" s="53" t="str">
        <f t="shared" si="71"/>
        <v/>
      </c>
      <c r="R576" s="54" t="str">
        <f t="shared" si="72"/>
        <v/>
      </c>
      <c r="S576" s="53" t="str">
        <f t="shared" si="73"/>
        <v/>
      </c>
    </row>
    <row r="577" spans="10:19" x14ac:dyDescent="0.15">
      <c r="J577" s="38">
        <v>568</v>
      </c>
      <c r="K577" s="40"/>
      <c r="L577" s="34">
        <f t="shared" si="67"/>
        <v>7.7987078481628477E-4</v>
      </c>
      <c r="M577" s="35">
        <f t="shared" si="68"/>
        <v>4.4581089996974851E-7</v>
      </c>
      <c r="N577" s="44">
        <f t="shared" si="66"/>
        <v>2.0195161918067908E-5</v>
      </c>
      <c r="O577" s="45" t="e">
        <f t="shared" si="69"/>
        <v>#VALUE!</v>
      </c>
      <c r="P577" s="52" t="str">
        <f t="shared" si="70"/>
        <v/>
      </c>
      <c r="Q577" s="53" t="str">
        <f t="shared" si="71"/>
        <v/>
      </c>
      <c r="R577" s="54" t="str">
        <f t="shared" si="72"/>
        <v/>
      </c>
      <c r="S577" s="53" t="str">
        <f t="shared" si="73"/>
        <v/>
      </c>
    </row>
    <row r="578" spans="10:19" x14ac:dyDescent="0.15">
      <c r="J578" s="38">
        <v>569</v>
      </c>
      <c r="K578" s="40"/>
      <c r="L578" s="34">
        <f t="shared" si="67"/>
        <v>7.8031570017726237E-4</v>
      </c>
      <c r="M578" s="35">
        <f t="shared" si="68"/>
        <v>4.4402107330753919E-7</v>
      </c>
      <c r="N578" s="44">
        <f t="shared" si="66"/>
        <v>2.0114251192300905E-5</v>
      </c>
      <c r="O578" s="45" t="e">
        <f t="shared" si="69"/>
        <v>#VALUE!</v>
      </c>
      <c r="P578" s="52" t="str">
        <f t="shared" si="70"/>
        <v/>
      </c>
      <c r="Q578" s="53" t="str">
        <f t="shared" si="71"/>
        <v/>
      </c>
      <c r="R578" s="54" t="str">
        <f t="shared" si="72"/>
        <v/>
      </c>
      <c r="S578" s="53" t="str">
        <f t="shared" si="73"/>
        <v/>
      </c>
    </row>
    <row r="579" spans="10:19" x14ac:dyDescent="0.15">
      <c r="J579" s="38">
        <v>570</v>
      </c>
      <c r="K579" s="40"/>
      <c r="L579" s="34">
        <f t="shared" si="67"/>
        <v>7.807588294585601E-4</v>
      </c>
      <c r="M579" s="35">
        <f t="shared" si="68"/>
        <v>4.4223873363584892E-7</v>
      </c>
      <c r="N579" s="44">
        <f t="shared" si="66"/>
        <v>2.003366801822757E-5</v>
      </c>
      <c r="O579" s="45" t="e">
        <f t="shared" si="69"/>
        <v>#VALUE!</v>
      </c>
      <c r="P579" s="52" t="str">
        <f t="shared" si="70"/>
        <v/>
      </c>
      <c r="Q579" s="53" t="str">
        <f t="shared" si="71"/>
        <v/>
      </c>
      <c r="R579" s="54" t="str">
        <f t="shared" si="72"/>
        <v/>
      </c>
      <c r="S579" s="53" t="str">
        <f t="shared" si="73"/>
        <v/>
      </c>
    </row>
    <row r="580" spans="10:19" x14ac:dyDescent="0.15">
      <c r="J580" s="38">
        <v>571</v>
      </c>
      <c r="K580" s="40"/>
      <c r="L580" s="34">
        <f t="shared" si="67"/>
        <v>7.8120018012629421E-4</v>
      </c>
      <c r="M580" s="35">
        <f t="shared" si="68"/>
        <v>4.4046383925457566E-7</v>
      </c>
      <c r="N580" s="44">
        <f t="shared" si="66"/>
        <v>1.9953410629524487E-5</v>
      </c>
      <c r="O580" s="45" t="e">
        <f t="shared" si="69"/>
        <v>#VALUE!</v>
      </c>
      <c r="P580" s="52" t="str">
        <f t="shared" si="70"/>
        <v/>
      </c>
      <c r="Q580" s="53" t="str">
        <f t="shared" si="71"/>
        <v/>
      </c>
      <c r="R580" s="54" t="str">
        <f t="shared" si="72"/>
        <v/>
      </c>
      <c r="S580" s="53" t="str">
        <f t="shared" si="73"/>
        <v/>
      </c>
    </row>
    <row r="581" spans="10:19" x14ac:dyDescent="0.15">
      <c r="J581" s="38">
        <v>572</v>
      </c>
      <c r="K581" s="40"/>
      <c r="L581" s="34">
        <f t="shared" si="67"/>
        <v>7.81639759605026E-4</v>
      </c>
      <c r="M581" s="35">
        <f t="shared" si="68"/>
        <v>4.3869634875353366E-7</v>
      </c>
      <c r="N581" s="44">
        <f t="shared" si="66"/>
        <v>1.9873477271763239E-5</v>
      </c>
      <c r="O581" s="45" t="e">
        <f t="shared" si="69"/>
        <v>#VALUE!</v>
      </c>
      <c r="P581" s="52" t="str">
        <f t="shared" si="70"/>
        <v/>
      </c>
      <c r="Q581" s="53" t="str">
        <f t="shared" si="71"/>
        <v/>
      </c>
      <c r="R581" s="54" t="str">
        <f t="shared" si="72"/>
        <v/>
      </c>
      <c r="S581" s="53" t="str">
        <f t="shared" si="73"/>
        <v/>
      </c>
    </row>
    <row r="582" spans="10:19" x14ac:dyDescent="0.15">
      <c r="J582" s="38">
        <v>573</v>
      </c>
      <c r="K582" s="40"/>
      <c r="L582" s="34">
        <f t="shared" si="67"/>
        <v>7.8207757527805062E-4</v>
      </c>
      <c r="M582" s="35">
        <f t="shared" si="68"/>
        <v>4.3693622101003797E-7</v>
      </c>
      <c r="N582" s="44">
        <f t="shared" si="66"/>
        <v>1.9793866202312831E-5</v>
      </c>
      <c r="O582" s="45" t="e">
        <f t="shared" si="69"/>
        <v>#VALUE!</v>
      </c>
      <c r="P582" s="52" t="str">
        <f t="shared" si="70"/>
        <v/>
      </c>
      <c r="Q582" s="53" t="str">
        <f t="shared" si="71"/>
        <v/>
      </c>
      <c r="R582" s="54" t="str">
        <f t="shared" si="72"/>
        <v/>
      </c>
      <c r="S582" s="53" t="str">
        <f t="shared" si="73"/>
        <v/>
      </c>
    </row>
    <row r="583" spans="10:19" x14ac:dyDescent="0.15">
      <c r="J583" s="38">
        <v>574</v>
      </c>
      <c r="K583" s="40"/>
      <c r="L583" s="34">
        <f t="shared" si="67"/>
        <v>7.8251363448768297E-4</v>
      </c>
      <c r="M583" s="35">
        <f t="shared" si="68"/>
        <v>4.3518341518651243E-7</v>
      </c>
      <c r="N583" s="44">
        <f t="shared" si="66"/>
        <v>1.9714575690247204E-5</v>
      </c>
      <c r="O583" s="45" t="e">
        <f t="shared" si="69"/>
        <v>#VALUE!</v>
      </c>
      <c r="P583" s="52" t="str">
        <f t="shared" si="70"/>
        <v/>
      </c>
      <c r="Q583" s="53" t="str">
        <f t="shared" si="71"/>
        <v/>
      </c>
      <c r="R583" s="54" t="str">
        <f t="shared" si="72"/>
        <v/>
      </c>
      <c r="S583" s="53" t="str">
        <f t="shared" si="73"/>
        <v/>
      </c>
    </row>
    <row r="584" spans="10:19" x14ac:dyDescent="0.15">
      <c r="J584" s="38">
        <v>575</v>
      </c>
      <c r="K584" s="40"/>
      <c r="L584" s="34">
        <f t="shared" si="67"/>
        <v>7.8294794453554243E-4</v>
      </c>
      <c r="M584" s="35">
        <f t="shared" si="68"/>
        <v>4.3343789072812172E-7</v>
      </c>
      <c r="N584" s="44">
        <f t="shared" si="66"/>
        <v>1.9635604016247986E-5</v>
      </c>
      <c r="O584" s="45" t="e">
        <f t="shared" si="69"/>
        <v>#VALUE!</v>
      </c>
      <c r="P584" s="52" t="str">
        <f t="shared" si="70"/>
        <v/>
      </c>
      <c r="Q584" s="53" t="str">
        <f t="shared" si="71"/>
        <v/>
      </c>
      <c r="R584" s="54" t="str">
        <f t="shared" si="72"/>
        <v/>
      </c>
      <c r="S584" s="53" t="str">
        <f t="shared" si="73"/>
        <v/>
      </c>
    </row>
    <row r="585" spans="10:19" x14ac:dyDescent="0.15">
      <c r="J585" s="38">
        <v>576</v>
      </c>
      <c r="K585" s="40"/>
      <c r="L585" s="34">
        <f t="shared" si="67"/>
        <v>7.833805126828329E-4</v>
      </c>
      <c r="M585" s="35">
        <f t="shared" si="68"/>
        <v>4.3169960736042394E-7</v>
      </c>
      <c r="N585" s="44">
        <f t="shared" ref="N585:N648" si="74">(L635-L585)</f>
        <v>1.9556949472514283E-5</v>
      </c>
      <c r="O585" s="45" t="e">
        <f t="shared" si="69"/>
        <v>#VALUE!</v>
      </c>
      <c r="P585" s="52" t="str">
        <f t="shared" si="70"/>
        <v/>
      </c>
      <c r="Q585" s="53" t="str">
        <f t="shared" si="71"/>
        <v/>
      </c>
      <c r="R585" s="54" t="str">
        <f t="shared" si="72"/>
        <v/>
      </c>
      <c r="S585" s="53" t="str">
        <f t="shared" si="73"/>
        <v/>
      </c>
    </row>
    <row r="586" spans="10:19" x14ac:dyDescent="0.15">
      <c r="J586" s="38">
        <v>577</v>
      </c>
      <c r="K586" s="40"/>
      <c r="L586" s="34">
        <f t="shared" ref="L586:L649" si="75">$F$39*((1-$F$40*J586)/(1+$F$41*J586))*(J586-$F$42)</f>
        <v>7.838113461506248E-4</v>
      </c>
      <c r="M586" s="35">
        <f t="shared" ref="M586:M649" si="76">$F$39*((1-2*$F$40*J586-$F$40*$F$41*(J586^2)+($F$41+$F$40)*$F$42)/(1+$F$41*J586)^2)</f>
        <v>4.2996852508704929E-7</v>
      </c>
      <c r="N586" s="44">
        <f t="shared" si="74"/>
        <v>1.9478610362666298E-5</v>
      </c>
      <c r="O586" s="45" t="e">
        <f t="shared" ref="O586:O649" si="77">IF(N586&lt;=$B$49,1+O585,0)</f>
        <v>#VALUE!</v>
      </c>
      <c r="P586" s="52" t="str">
        <f t="shared" ref="P586:P649" si="78">IF(J586&lt;=$F$42,J586,"")</f>
        <v/>
      </c>
      <c r="Q586" s="53" t="str">
        <f t="shared" ref="Q586:Q649" si="79">IF(J586&lt;=$F$42,L586,"")</f>
        <v/>
      </c>
      <c r="R586" s="54" t="str">
        <f t="shared" ref="R586:R649" si="80">IF(AND(J586&gt;=$F$42,J586&lt;=200),J586,"")</f>
        <v/>
      </c>
      <c r="S586" s="53" t="str">
        <f t="shared" ref="S586:S649" si="81">IF(AND(J586&gt;=$F$42,J586&lt;=200),L586,"")</f>
        <v/>
      </c>
    </row>
    <row r="587" spans="10:19" x14ac:dyDescent="0.15">
      <c r="J587" s="38">
        <v>578</v>
      </c>
      <c r="K587" s="40"/>
      <c r="L587" s="34">
        <f t="shared" si="75"/>
        <v>7.8424045212012862E-4</v>
      </c>
      <c r="M587" s="35">
        <f t="shared" si="76"/>
        <v>4.282446041873981E-7</v>
      </c>
      <c r="N587" s="44">
        <f t="shared" si="74"/>
        <v>1.9400585001658373E-5</v>
      </c>
      <c r="O587" s="45" t="e">
        <f t="shared" si="77"/>
        <v>#VALUE!</v>
      </c>
      <c r="P587" s="52" t="str">
        <f t="shared" si="78"/>
        <v/>
      </c>
      <c r="Q587" s="53" t="str">
        <f t="shared" si="79"/>
        <v/>
      </c>
      <c r="R587" s="54" t="str">
        <f t="shared" si="80"/>
        <v/>
      </c>
      <c r="S587" s="53" t="str">
        <f t="shared" si="81"/>
        <v/>
      </c>
    </row>
    <row r="588" spans="10:19" x14ac:dyDescent="0.15">
      <c r="J588" s="38">
        <v>579</v>
      </c>
      <c r="K588" s="40"/>
      <c r="L588" s="34">
        <f t="shared" si="75"/>
        <v>7.8466783773297204E-4</v>
      </c>
      <c r="M588" s="35">
        <f t="shared" si="76"/>
        <v>4.2652780521436231E-7</v>
      </c>
      <c r="N588" s="44">
        <f t="shared" si="74"/>
        <v>1.9322871715684664E-5</v>
      </c>
      <c r="O588" s="45" t="e">
        <f t="shared" si="77"/>
        <v>#VALUE!</v>
      </c>
      <c r="P588" s="52" t="str">
        <f t="shared" si="78"/>
        <v/>
      </c>
      <c r="Q588" s="53" t="str">
        <f t="shared" si="79"/>
        <v/>
      </c>
      <c r="R588" s="54" t="str">
        <f t="shared" si="80"/>
        <v/>
      </c>
      <c r="S588" s="53" t="str">
        <f t="shared" si="81"/>
        <v/>
      </c>
    </row>
    <row r="589" spans="10:19" x14ac:dyDescent="0.15">
      <c r="J589" s="38">
        <v>580</v>
      </c>
      <c r="K589" s="40"/>
      <c r="L589" s="34">
        <f t="shared" si="75"/>
        <v>7.850935100914715E-4</v>
      </c>
      <c r="M589" s="35">
        <f t="shared" si="76"/>
        <v>4.2481808899207031E-7</v>
      </c>
      <c r="N589" s="44">
        <f t="shared" si="74"/>
        <v>1.9245468842090025E-5</v>
      </c>
      <c r="O589" s="45" t="e">
        <f t="shared" si="77"/>
        <v>#VALUE!</v>
      </c>
      <c r="P589" s="52" t="str">
        <f t="shared" si="78"/>
        <v/>
      </c>
      <c r="Q589" s="53" t="str">
        <f t="shared" si="79"/>
        <v/>
      </c>
      <c r="R589" s="54" t="str">
        <f t="shared" si="80"/>
        <v/>
      </c>
      <c r="S589" s="53" t="str">
        <f t="shared" si="81"/>
        <v/>
      </c>
    </row>
    <row r="590" spans="10:19" x14ac:dyDescent="0.15">
      <c r="J590" s="38">
        <v>581</v>
      </c>
      <c r="K590" s="40"/>
      <c r="L590" s="34">
        <f t="shared" si="75"/>
        <v>7.8551747625890136E-4</v>
      </c>
      <c r="M590" s="35">
        <f t="shared" si="76"/>
        <v>4.2311541661364936E-7</v>
      </c>
      <c r="N590" s="44">
        <f t="shared" si="74"/>
        <v>1.9168374729282615E-5</v>
      </c>
      <c r="O590" s="45" t="e">
        <f t="shared" si="77"/>
        <v>#VALUE!</v>
      </c>
      <c r="P590" s="52" t="str">
        <f t="shared" si="78"/>
        <v/>
      </c>
      <c r="Q590" s="53" t="str">
        <f t="shared" si="79"/>
        <v/>
      </c>
      <c r="R590" s="54" t="str">
        <f t="shared" si="80"/>
        <v/>
      </c>
      <c r="S590" s="53" t="str">
        <f t="shared" si="81"/>
        <v/>
      </c>
    </row>
    <row r="591" spans="10:19" x14ac:dyDescent="0.15">
      <c r="J591" s="38">
        <v>582</v>
      </c>
      <c r="K591" s="40"/>
      <c r="L591" s="34">
        <f t="shared" si="75"/>
        <v>7.8593974325976367E-4</v>
      </c>
      <c r="M591" s="35">
        <f t="shared" si="76"/>
        <v>4.2141974943901518E-7</v>
      </c>
      <c r="N591" s="44">
        <f t="shared" si="74"/>
        <v>1.9091587736643693E-5</v>
      </c>
      <c r="O591" s="45" t="e">
        <f t="shared" si="77"/>
        <v>#VALUE!</v>
      </c>
      <c r="P591" s="52" t="str">
        <f t="shared" si="78"/>
        <v/>
      </c>
      <c r="Q591" s="53" t="str">
        <f t="shared" si="79"/>
        <v/>
      </c>
      <c r="R591" s="54" t="str">
        <f t="shared" si="80"/>
        <v/>
      </c>
      <c r="S591" s="53" t="str">
        <f t="shared" si="81"/>
        <v/>
      </c>
    </row>
    <row r="592" spans="10:19" x14ac:dyDescent="0.15">
      <c r="J592" s="38">
        <v>583</v>
      </c>
      <c r="K592" s="40"/>
      <c r="L592" s="34">
        <f t="shared" si="75"/>
        <v>7.8636031808005259E-4</v>
      </c>
      <c r="M592" s="35">
        <f t="shared" si="76"/>
        <v>4.1973104909267732E-7</v>
      </c>
      <c r="N592" s="44">
        <f t="shared" si="74"/>
        <v>1.901510623444078E-5</v>
      </c>
      <c r="O592" s="45" t="e">
        <f t="shared" si="77"/>
        <v>#VALUE!</v>
      </c>
      <c r="P592" s="52" t="str">
        <f t="shared" si="78"/>
        <v/>
      </c>
      <c r="Q592" s="53" t="str">
        <f t="shared" si="79"/>
        <v/>
      </c>
      <c r="R592" s="54" t="str">
        <f t="shared" si="80"/>
        <v/>
      </c>
      <c r="S592" s="53" t="str">
        <f t="shared" si="81"/>
        <v/>
      </c>
    </row>
    <row r="593" spans="10:19" x14ac:dyDescent="0.15">
      <c r="J593" s="38">
        <v>584</v>
      </c>
      <c r="K593" s="40"/>
      <c r="L593" s="34">
        <f t="shared" si="75"/>
        <v>7.8677920766751777E-4</v>
      </c>
      <c r="M593" s="35">
        <f t="shared" si="76"/>
        <v>4.1804927746156878E-7</v>
      </c>
      <c r="N593" s="44">
        <f t="shared" si="74"/>
        <v>1.8938928603741672E-5</v>
      </c>
      <c r="O593" s="45" t="e">
        <f t="shared" si="77"/>
        <v>#VALUE!</v>
      </c>
      <c r="P593" s="52" t="str">
        <f t="shared" si="78"/>
        <v/>
      </c>
      <c r="Q593" s="53" t="str">
        <f t="shared" si="79"/>
        <v/>
      </c>
      <c r="R593" s="54" t="str">
        <f t="shared" si="80"/>
        <v/>
      </c>
      <c r="S593" s="53" t="str">
        <f t="shared" si="81"/>
        <v/>
      </c>
    </row>
    <row r="594" spans="10:19" x14ac:dyDescent="0.15">
      <c r="J594" s="38">
        <v>585</v>
      </c>
      <c r="K594" s="40"/>
      <c r="L594" s="34">
        <f t="shared" si="75"/>
        <v>7.8719641893192701E-4</v>
      </c>
      <c r="M594" s="35">
        <f t="shared" si="76"/>
        <v>4.1637439669289654E-7</v>
      </c>
      <c r="N594" s="44">
        <f t="shared" si="74"/>
        <v>1.8863053236327495E-5</v>
      </c>
      <c r="O594" s="45" t="e">
        <f t="shared" si="77"/>
        <v>#VALUE!</v>
      </c>
      <c r="P594" s="52" t="str">
        <f t="shared" si="78"/>
        <v/>
      </c>
      <c r="Q594" s="53" t="str">
        <f t="shared" si="79"/>
        <v/>
      </c>
      <c r="R594" s="54" t="str">
        <f t="shared" si="80"/>
        <v/>
      </c>
      <c r="S594" s="53" t="str">
        <f t="shared" si="81"/>
        <v/>
      </c>
    </row>
    <row r="595" spans="10:19" x14ac:dyDescent="0.15">
      <c r="J595" s="38">
        <v>586</v>
      </c>
      <c r="K595" s="40"/>
      <c r="L595" s="34">
        <f t="shared" si="75"/>
        <v>7.8761195874532338E-4</v>
      </c>
      <c r="M595" s="35">
        <f t="shared" si="76"/>
        <v>4.1470636919200897E-7</v>
      </c>
      <c r="N595" s="44">
        <f t="shared" si="74"/>
        <v>1.8787478534609218E-5</v>
      </c>
      <c r="O595" s="45" t="e">
        <f t="shared" si="77"/>
        <v>#VALUE!</v>
      </c>
      <c r="P595" s="52" t="str">
        <f t="shared" si="78"/>
        <v/>
      </c>
      <c r="Q595" s="53" t="str">
        <f t="shared" si="79"/>
        <v/>
      </c>
      <c r="R595" s="54" t="str">
        <f t="shared" si="80"/>
        <v/>
      </c>
      <c r="S595" s="53" t="str">
        <f t="shared" si="81"/>
        <v/>
      </c>
    </row>
    <row r="596" spans="10:19" x14ac:dyDescent="0.15">
      <c r="J596" s="38">
        <v>587</v>
      </c>
      <c r="K596" s="40"/>
      <c r="L596" s="34">
        <f t="shared" si="75"/>
        <v>7.8802583394228451E-4</v>
      </c>
      <c r="M596" s="35">
        <f t="shared" si="76"/>
        <v>4.1304515762028918E-7</v>
      </c>
      <c r="N596" s="44">
        <f t="shared" si="74"/>
        <v>1.8712202911541891E-5</v>
      </c>
      <c r="O596" s="45" t="e">
        <f t="shared" si="77"/>
        <v>#VALUE!</v>
      </c>
      <c r="P596" s="52" t="str">
        <f t="shared" si="78"/>
        <v/>
      </c>
      <c r="Q596" s="53" t="str">
        <f t="shared" si="79"/>
        <v/>
      </c>
      <c r="R596" s="54" t="str">
        <f t="shared" si="80"/>
        <v/>
      </c>
      <c r="S596" s="53" t="str">
        <f t="shared" si="81"/>
        <v/>
      </c>
    </row>
    <row r="597" spans="10:19" x14ac:dyDescent="0.15">
      <c r="J597" s="38">
        <v>588</v>
      </c>
      <c r="K597" s="40"/>
      <c r="L597" s="34">
        <f t="shared" si="75"/>
        <v>7.8843805132017611E-4</v>
      </c>
      <c r="M597" s="35">
        <f t="shared" si="76"/>
        <v>4.1139072489306338E-7</v>
      </c>
      <c r="N597" s="44">
        <f t="shared" si="74"/>
        <v>1.8637224790542467E-5</v>
      </c>
      <c r="O597" s="45" t="e">
        <f t="shared" si="77"/>
        <v>#VALUE!</v>
      </c>
      <c r="P597" s="52" t="str">
        <f t="shared" si="78"/>
        <v/>
      </c>
      <c r="Q597" s="53" t="str">
        <f t="shared" si="79"/>
        <v/>
      </c>
      <c r="R597" s="54" t="str">
        <f t="shared" si="80"/>
        <v/>
      </c>
      <c r="S597" s="53" t="str">
        <f t="shared" si="81"/>
        <v/>
      </c>
    </row>
    <row r="598" spans="10:19" x14ac:dyDescent="0.15">
      <c r="J598" s="38">
        <v>589</v>
      </c>
      <c r="K598" s="40"/>
      <c r="L598" s="34">
        <f t="shared" si="75"/>
        <v>7.8884861763940499E-4</v>
      </c>
      <c r="M598" s="35">
        <f t="shared" si="76"/>
        <v>4.0974303417753176E-7</v>
      </c>
      <c r="N598" s="44">
        <f t="shared" si="74"/>
        <v>1.856254260540664E-5</v>
      </c>
      <c r="O598" s="45" t="e">
        <f t="shared" si="77"/>
        <v>#VALUE!</v>
      </c>
      <c r="P598" s="52" t="str">
        <f t="shared" si="78"/>
        <v/>
      </c>
      <c r="Q598" s="53" t="str">
        <f t="shared" si="79"/>
        <v/>
      </c>
      <c r="R598" s="54" t="str">
        <f t="shared" si="80"/>
        <v/>
      </c>
      <c r="S598" s="53" t="str">
        <f t="shared" si="81"/>
        <v/>
      </c>
    </row>
    <row r="599" spans="10:19" x14ac:dyDescent="0.15">
      <c r="J599" s="38">
        <v>590</v>
      </c>
      <c r="K599" s="40"/>
      <c r="L599" s="34">
        <f t="shared" si="75"/>
        <v>7.8925753962367118E-4</v>
      </c>
      <c r="M599" s="35">
        <f t="shared" si="76"/>
        <v>4.0810204889071917E-7</v>
      </c>
      <c r="N599" s="44">
        <f t="shared" si="74"/>
        <v>1.8488154800226013E-5</v>
      </c>
      <c r="O599" s="45" t="e">
        <f t="shared" si="77"/>
        <v>#VALUE!</v>
      </c>
      <c r="P599" s="52" t="str">
        <f t="shared" si="78"/>
        <v/>
      </c>
      <c r="Q599" s="53" t="str">
        <f t="shared" si="79"/>
        <v/>
      </c>
      <c r="R599" s="54" t="str">
        <f t="shared" si="80"/>
        <v/>
      </c>
      <c r="S599" s="53" t="str">
        <f t="shared" si="81"/>
        <v/>
      </c>
    </row>
    <row r="600" spans="10:19" x14ac:dyDescent="0.15">
      <c r="J600" s="38">
        <v>591</v>
      </c>
      <c r="K600" s="40"/>
      <c r="L600" s="34">
        <f t="shared" si="75"/>
        <v>7.8966482396021487E-4</v>
      </c>
      <c r="M600" s="35">
        <f t="shared" si="76"/>
        <v>4.0646773269744343E-7</v>
      </c>
      <c r="N600" s="44">
        <f t="shared" si="74"/>
        <v>1.8414059829308625E-5</v>
      </c>
      <c r="O600" s="45" t="e">
        <f t="shared" si="77"/>
        <v>#VALUE!</v>
      </c>
      <c r="P600" s="52" t="str">
        <f t="shared" si="78"/>
        <v/>
      </c>
      <c r="Q600" s="53" t="str">
        <f t="shared" si="79"/>
        <v/>
      </c>
      <c r="R600" s="54" t="str">
        <f t="shared" si="80"/>
        <v/>
      </c>
      <c r="S600" s="53" t="str">
        <f t="shared" si="81"/>
        <v/>
      </c>
    </row>
    <row r="601" spans="10:19" x14ac:dyDescent="0.15">
      <c r="J601" s="38">
        <v>592</v>
      </c>
      <c r="K601" s="40"/>
      <c r="L601" s="34">
        <f t="shared" si="75"/>
        <v>7.9007047730006484E-4</v>
      </c>
      <c r="M601" s="35">
        <f t="shared" si="76"/>
        <v>4.0484004950830424E-7</v>
      </c>
      <c r="N601" s="44">
        <f t="shared" si="74"/>
        <v>1.8340256157097098E-5</v>
      </c>
      <c r="O601" s="45" t="e">
        <f t="shared" si="77"/>
        <v>#VALUE!</v>
      </c>
      <c r="P601" s="52" t="str">
        <f t="shared" si="78"/>
        <v/>
      </c>
      <c r="Q601" s="53" t="str">
        <f t="shared" si="79"/>
        <v/>
      </c>
      <c r="R601" s="54" t="str">
        <f t="shared" si="80"/>
        <v/>
      </c>
      <c r="S601" s="53" t="str">
        <f t="shared" si="81"/>
        <v/>
      </c>
    </row>
    <row r="602" spans="10:19" x14ac:dyDescent="0.15">
      <c r="J602" s="38">
        <v>593</v>
      </c>
      <c r="K602" s="40"/>
      <c r="L602" s="34">
        <f t="shared" si="75"/>
        <v>7.9047450625828193E-4</v>
      </c>
      <c r="M602" s="35">
        <f t="shared" si="76"/>
        <v>4.0321896347769135E-7</v>
      </c>
      <c r="N602" s="44">
        <f t="shared" si="74"/>
        <v>1.8266742258090459E-5</v>
      </c>
      <c r="O602" s="45" t="e">
        <f t="shared" si="77"/>
        <v>#VALUE!</v>
      </c>
      <c r="P602" s="52" t="str">
        <f t="shared" si="78"/>
        <v/>
      </c>
      <c r="Q602" s="53" t="str">
        <f t="shared" si="79"/>
        <v/>
      </c>
      <c r="R602" s="54" t="str">
        <f t="shared" si="80"/>
        <v/>
      </c>
      <c r="S602" s="53" t="str">
        <f t="shared" si="81"/>
        <v/>
      </c>
    </row>
    <row r="603" spans="10:19" x14ac:dyDescent="0.15">
      <c r="J603" s="38">
        <v>594</v>
      </c>
      <c r="K603" s="40"/>
      <c r="L603" s="34">
        <f t="shared" si="75"/>
        <v>7.9087691741420237E-4</v>
      </c>
      <c r="M603" s="35">
        <f t="shared" si="76"/>
        <v>4.0160443900181006E-7</v>
      </c>
      <c r="N603" s="44">
        <f t="shared" si="74"/>
        <v>1.8193516616763915E-5</v>
      </c>
      <c r="O603" s="45" t="e">
        <f t="shared" si="77"/>
        <v>#VALUE!</v>
      </c>
      <c r="P603" s="52" t="str">
        <f t="shared" si="78"/>
        <v/>
      </c>
      <c r="Q603" s="53" t="str">
        <f t="shared" si="79"/>
        <v/>
      </c>
      <c r="R603" s="54" t="str">
        <f t="shared" si="80"/>
        <v/>
      </c>
      <c r="S603" s="53" t="str">
        <f t="shared" si="81"/>
        <v/>
      </c>
    </row>
    <row r="604" spans="10:19" x14ac:dyDescent="0.15">
      <c r="J604" s="38">
        <v>595</v>
      </c>
      <c r="K604" s="40"/>
      <c r="L604" s="34">
        <f t="shared" si="75"/>
        <v>7.9127771731167952E-4</v>
      </c>
      <c r="M604" s="35">
        <f t="shared" si="76"/>
        <v>3.9999644071672808E-7</v>
      </c>
      <c r="N604" s="44">
        <f t="shared" si="74"/>
        <v>1.8120577727490463E-5</v>
      </c>
      <c r="O604" s="45" t="e">
        <f t="shared" si="77"/>
        <v>#VALUE!</v>
      </c>
      <c r="P604" s="52" t="str">
        <f t="shared" si="78"/>
        <v/>
      </c>
      <c r="Q604" s="53" t="str">
        <f t="shared" si="79"/>
        <v/>
      </c>
      <c r="R604" s="54" t="str">
        <f t="shared" si="80"/>
        <v/>
      </c>
      <c r="S604" s="53" t="str">
        <f t="shared" si="81"/>
        <v/>
      </c>
    </row>
    <row r="605" spans="10:19" x14ac:dyDescent="0.15">
      <c r="J605" s="38">
        <v>596</v>
      </c>
      <c r="K605" s="40"/>
      <c r="L605" s="34">
        <f t="shared" si="75"/>
        <v>7.9167691245932159E-4</v>
      </c>
      <c r="M605" s="35">
        <f t="shared" si="76"/>
        <v>3.9839493349643644E-7</v>
      </c>
      <c r="N605" s="44">
        <f t="shared" si="74"/>
        <v>1.8047924094464454E-5</v>
      </c>
      <c r="O605" s="45" t="e">
        <f t="shared" si="77"/>
        <v>#VALUE!</v>
      </c>
      <c r="P605" s="52" t="str">
        <f t="shared" si="78"/>
        <v/>
      </c>
      <c r="Q605" s="53" t="str">
        <f t="shared" si="79"/>
        <v/>
      </c>
      <c r="R605" s="54" t="str">
        <f t="shared" si="80"/>
        <v/>
      </c>
      <c r="S605" s="53" t="str">
        <f t="shared" si="81"/>
        <v/>
      </c>
    </row>
    <row r="606" spans="10:19" x14ac:dyDescent="0.15">
      <c r="J606" s="38">
        <v>597</v>
      </c>
      <c r="K606" s="40"/>
      <c r="L606" s="34">
        <f t="shared" si="75"/>
        <v>7.9207450933072813E-4</v>
      </c>
      <c r="M606" s="35">
        <f t="shared" si="76"/>
        <v>3.9679988245093356E-7</v>
      </c>
      <c r="N606" s="44">
        <f t="shared" si="74"/>
        <v>1.7975554231624831E-5</v>
      </c>
      <c r="O606" s="45" t="e">
        <f t="shared" si="77"/>
        <v>#VALUE!</v>
      </c>
      <c r="P606" s="52" t="str">
        <f t="shared" si="78"/>
        <v/>
      </c>
      <c r="Q606" s="53" t="str">
        <f t="shared" si="79"/>
        <v/>
      </c>
      <c r="R606" s="54" t="str">
        <f t="shared" si="80"/>
        <v/>
      </c>
      <c r="S606" s="53" t="str">
        <f t="shared" si="81"/>
        <v/>
      </c>
    </row>
    <row r="607" spans="10:19" x14ac:dyDescent="0.15">
      <c r="J607" s="38">
        <v>598</v>
      </c>
      <c r="K607" s="40"/>
      <c r="L607" s="34">
        <f t="shared" si="75"/>
        <v>7.9247051436472711E-4</v>
      </c>
      <c r="M607" s="35">
        <f t="shared" si="76"/>
        <v>3.9521125292432343E-7</v>
      </c>
      <c r="N607" s="44">
        <f t="shared" si="74"/>
        <v>1.7903466662577607E-5</v>
      </c>
      <c r="O607" s="45" t="e">
        <f t="shared" si="77"/>
        <v>#VALUE!</v>
      </c>
      <c r="P607" s="52" t="str">
        <f t="shared" si="78"/>
        <v/>
      </c>
      <c r="Q607" s="53" t="str">
        <f t="shared" si="79"/>
        <v/>
      </c>
      <c r="R607" s="54" t="str">
        <f t="shared" si="80"/>
        <v/>
      </c>
      <c r="S607" s="53" t="str">
        <f t="shared" si="81"/>
        <v/>
      </c>
    </row>
    <row r="608" spans="10:19" x14ac:dyDescent="0.15">
      <c r="J608" s="38">
        <v>599</v>
      </c>
      <c r="K608" s="40"/>
      <c r="L608" s="34">
        <f t="shared" si="75"/>
        <v>7.9286493396560603E-4</v>
      </c>
      <c r="M608" s="35">
        <f t="shared" si="76"/>
        <v>3.9362901049293391E-7</v>
      </c>
      <c r="N608" s="44">
        <f t="shared" si="74"/>
        <v>1.7831659920521494E-5</v>
      </c>
      <c r="O608" s="45" t="e">
        <f t="shared" si="77"/>
        <v>#VALUE!</v>
      </c>
      <c r="P608" s="52" t="str">
        <f t="shared" si="78"/>
        <v/>
      </c>
      <c r="Q608" s="53" t="str">
        <f t="shared" si="79"/>
        <v/>
      </c>
      <c r="R608" s="54" t="str">
        <f t="shared" si="80"/>
        <v/>
      </c>
      <c r="S608" s="53" t="str">
        <f t="shared" si="81"/>
        <v/>
      </c>
    </row>
    <row r="609" spans="10:19" x14ac:dyDescent="0.15">
      <c r="J609" s="38">
        <v>600</v>
      </c>
      <c r="K609" s="40"/>
      <c r="L609" s="34">
        <f t="shared" si="75"/>
        <v>7.9325777450334439E-4</v>
      </c>
      <c r="M609" s="35">
        <f t="shared" si="76"/>
        <v>3.9205312096345197E-7</v>
      </c>
      <c r="N609" s="44">
        <f t="shared" si="74"/>
        <v>1.7760132548173845E-5</v>
      </c>
      <c r="O609" s="45" t="e">
        <f t="shared" si="77"/>
        <v>#VALUE!</v>
      </c>
      <c r="P609" s="52" t="str">
        <f t="shared" si="78"/>
        <v/>
      </c>
      <c r="Q609" s="53" t="str">
        <f t="shared" si="79"/>
        <v/>
      </c>
      <c r="R609" s="54" t="str">
        <f t="shared" si="80"/>
        <v/>
      </c>
      <c r="S609" s="53" t="str">
        <f t="shared" si="81"/>
        <v/>
      </c>
    </row>
    <row r="610" spans="10:19" x14ac:dyDescent="0.15">
      <c r="J610" s="38">
        <v>601</v>
      </c>
      <c r="K610" s="40"/>
      <c r="L610" s="34">
        <f t="shared" si="75"/>
        <v>7.9364904231384275E-4</v>
      </c>
      <c r="M610" s="35">
        <f t="shared" si="76"/>
        <v>3.9048355037107571E-7</v>
      </c>
      <c r="N610" s="44">
        <f t="shared" si="74"/>
        <v>1.7688883097694767E-5</v>
      </c>
      <c r="O610" s="45" t="e">
        <f t="shared" si="77"/>
        <v>#VALUE!</v>
      </c>
      <c r="P610" s="52" t="str">
        <f t="shared" si="78"/>
        <v/>
      </c>
      <c r="Q610" s="53" t="str">
        <f t="shared" si="79"/>
        <v/>
      </c>
      <c r="R610" s="54" t="str">
        <f t="shared" si="80"/>
        <v/>
      </c>
      <c r="S610" s="53" t="str">
        <f t="shared" si="81"/>
        <v/>
      </c>
    </row>
    <row r="611" spans="10:19" x14ac:dyDescent="0.15">
      <c r="J611" s="38">
        <v>602</v>
      </c>
      <c r="K611" s="40"/>
      <c r="L611" s="34">
        <f t="shared" si="75"/>
        <v>7.9403874369915039E-4</v>
      </c>
      <c r="M611" s="35">
        <f t="shared" si="76"/>
        <v>3.8892026497768484E-7</v>
      </c>
      <c r="N611" s="44">
        <f t="shared" si="74"/>
        <v>1.7617910130615665E-5</v>
      </c>
      <c r="O611" s="45" t="e">
        <f t="shared" si="77"/>
        <v>#VALUE!</v>
      </c>
      <c r="P611" s="52" t="str">
        <f t="shared" si="78"/>
        <v/>
      </c>
      <c r="Q611" s="53" t="str">
        <f t="shared" si="79"/>
        <v/>
      </c>
      <c r="R611" s="54" t="str">
        <f t="shared" si="80"/>
        <v/>
      </c>
      <c r="S611" s="53" t="str">
        <f t="shared" si="81"/>
        <v/>
      </c>
    </row>
    <row r="612" spans="10:19" x14ac:dyDescent="0.15">
      <c r="J612" s="38">
        <v>603</v>
      </c>
      <c r="K612" s="40"/>
      <c r="L612" s="34">
        <f t="shared" si="75"/>
        <v>7.944268849276909E-4</v>
      </c>
      <c r="M612" s="35">
        <f t="shared" si="76"/>
        <v>3.8736323127002729E-7</v>
      </c>
      <c r="N612" s="44">
        <f t="shared" si="74"/>
        <v>1.7547212217765198E-5</v>
      </c>
      <c r="O612" s="45" t="e">
        <f t="shared" si="77"/>
        <v>#VALUE!</v>
      </c>
      <c r="P612" s="52" t="str">
        <f t="shared" si="78"/>
        <v/>
      </c>
      <c r="Q612" s="53" t="str">
        <f t="shared" si="79"/>
        <v/>
      </c>
      <c r="R612" s="54" t="str">
        <f t="shared" si="80"/>
        <v/>
      </c>
      <c r="S612" s="53" t="str">
        <f t="shared" si="81"/>
        <v/>
      </c>
    </row>
    <row r="613" spans="10:19" x14ac:dyDescent="0.15">
      <c r="J613" s="38">
        <v>604</v>
      </c>
      <c r="K613" s="40"/>
      <c r="L613" s="34">
        <f t="shared" si="75"/>
        <v>7.9481347223448644E-4</v>
      </c>
      <c r="M613" s="35">
        <f t="shared" si="76"/>
        <v>3.8581241595792333E-7</v>
      </c>
      <c r="N613" s="44">
        <f t="shared" si="74"/>
        <v>1.7476787939197497E-5</v>
      </c>
      <c r="O613" s="45" t="e">
        <f t="shared" si="77"/>
        <v>#VALUE!</v>
      </c>
      <c r="P613" s="52" t="str">
        <f t="shared" si="78"/>
        <v/>
      </c>
      <c r="Q613" s="53" t="str">
        <f t="shared" si="79"/>
        <v/>
      </c>
      <c r="R613" s="54" t="str">
        <f t="shared" si="80"/>
        <v/>
      </c>
      <c r="S613" s="53" t="str">
        <f t="shared" si="81"/>
        <v/>
      </c>
    </row>
    <row r="614" spans="10:19" x14ac:dyDescent="0.15">
      <c r="J614" s="38">
        <v>605</v>
      </c>
      <c r="K614" s="40"/>
      <c r="L614" s="34">
        <f t="shared" si="75"/>
        <v>7.9519851182137976E-4</v>
      </c>
      <c r="M614" s="35">
        <f t="shared" si="76"/>
        <v>3.8426778597248615E-7</v>
      </c>
      <c r="N614" s="44">
        <f t="shared" si="74"/>
        <v>1.74066358841217E-5</v>
      </c>
      <c r="O614" s="45" t="e">
        <f t="shared" si="77"/>
        <v>#VALUE!</v>
      </c>
      <c r="P614" s="52" t="str">
        <f t="shared" si="78"/>
        <v/>
      </c>
      <c r="Q614" s="53" t="str">
        <f t="shared" si="79"/>
        <v/>
      </c>
      <c r="R614" s="54" t="str">
        <f t="shared" si="80"/>
        <v/>
      </c>
      <c r="S614" s="53" t="str">
        <f t="shared" si="81"/>
        <v/>
      </c>
    </row>
    <row r="615" spans="10:19" x14ac:dyDescent="0.15">
      <c r="J615" s="38">
        <v>606</v>
      </c>
      <c r="K615" s="40"/>
      <c r="L615" s="34">
        <f t="shared" si="75"/>
        <v>7.9558200985725485E-4</v>
      </c>
      <c r="M615" s="35">
        <f t="shared" si="76"/>
        <v>3.8272930846435883E-7</v>
      </c>
      <c r="N615" s="44">
        <f t="shared" si="74"/>
        <v>1.7336754650829522E-5</v>
      </c>
      <c r="O615" s="45" t="e">
        <f t="shared" si="77"/>
        <v>#VALUE!</v>
      </c>
      <c r="P615" s="52" t="str">
        <f t="shared" si="78"/>
        <v/>
      </c>
      <c r="Q615" s="53" t="str">
        <f t="shared" si="79"/>
        <v/>
      </c>
      <c r="R615" s="54" t="str">
        <f t="shared" si="80"/>
        <v/>
      </c>
      <c r="S615" s="53" t="str">
        <f t="shared" si="81"/>
        <v/>
      </c>
    </row>
    <row r="616" spans="10:19" x14ac:dyDescent="0.15">
      <c r="J616" s="38">
        <v>607</v>
      </c>
      <c r="K616" s="40"/>
      <c r="L616" s="34">
        <f t="shared" si="75"/>
        <v>7.9596397247825483E-4</v>
      </c>
      <c r="M616" s="35">
        <f t="shared" si="76"/>
        <v>3.8119695080196751E-7</v>
      </c>
      <c r="N616" s="44">
        <f t="shared" si="74"/>
        <v>1.7267142846627169E-5</v>
      </c>
      <c r="O616" s="45" t="e">
        <f t="shared" si="77"/>
        <v>#VALUE!</v>
      </c>
      <c r="P616" s="52" t="str">
        <f t="shared" si="78"/>
        <v/>
      </c>
      <c r="Q616" s="53" t="str">
        <f t="shared" si="79"/>
        <v/>
      </c>
      <c r="R616" s="54" t="str">
        <f t="shared" si="80"/>
        <v/>
      </c>
      <c r="S616" s="53" t="str">
        <f t="shared" si="81"/>
        <v/>
      </c>
    </row>
    <row r="617" spans="10:19" x14ac:dyDescent="0.15">
      <c r="J617" s="38">
        <v>608</v>
      </c>
      <c r="K617" s="40"/>
      <c r="L617" s="34">
        <f t="shared" si="75"/>
        <v>7.9634440578799971E-4</v>
      </c>
      <c r="M617" s="35">
        <f t="shared" si="76"/>
        <v>3.7967068056979175E-7</v>
      </c>
      <c r="N617" s="44">
        <f t="shared" si="74"/>
        <v>1.7197799087764211E-5</v>
      </c>
      <c r="O617" s="45" t="e">
        <f t="shared" si="77"/>
        <v>#VALUE!</v>
      </c>
      <c r="P617" s="52" t="str">
        <f t="shared" si="78"/>
        <v/>
      </c>
      <c r="Q617" s="53" t="str">
        <f t="shared" si="79"/>
        <v/>
      </c>
      <c r="R617" s="54" t="str">
        <f t="shared" si="80"/>
        <v/>
      </c>
      <c r="S617" s="53" t="str">
        <f t="shared" si="81"/>
        <v/>
      </c>
    </row>
    <row r="618" spans="10:19" x14ac:dyDescent="0.15">
      <c r="J618" s="38">
        <v>609</v>
      </c>
      <c r="K618" s="40"/>
      <c r="L618" s="34">
        <f t="shared" si="75"/>
        <v>7.9672331585780155E-4</v>
      </c>
      <c r="M618" s="35">
        <f t="shared" si="76"/>
        <v>3.7815046556665019E-7</v>
      </c>
      <c r="N618" s="44">
        <f t="shared" si="74"/>
        <v>1.7128721999364852E-5</v>
      </c>
      <c r="O618" s="45" t="e">
        <f t="shared" si="77"/>
        <v>#VALUE!</v>
      </c>
      <c r="P618" s="52" t="str">
        <f t="shared" si="78"/>
        <v/>
      </c>
      <c r="Q618" s="53" t="str">
        <f t="shared" si="79"/>
        <v/>
      </c>
      <c r="R618" s="54" t="str">
        <f t="shared" si="80"/>
        <v/>
      </c>
      <c r="S618" s="53" t="str">
        <f t="shared" si="81"/>
        <v/>
      </c>
    </row>
    <row r="619" spans="10:19" x14ac:dyDescent="0.15">
      <c r="J619" s="38">
        <v>610</v>
      </c>
      <c r="K619" s="40"/>
      <c r="L619" s="34">
        <f t="shared" si="75"/>
        <v>7.9710070872687755E-4</v>
      </c>
      <c r="M619" s="35">
        <f t="shared" si="76"/>
        <v>3.7663627380400129E-7</v>
      </c>
      <c r="N619" s="44">
        <f t="shared" si="74"/>
        <v>1.7059910215360807E-5</v>
      </c>
      <c r="O619" s="45" t="e">
        <f t="shared" si="77"/>
        <v>#VALUE!</v>
      </c>
      <c r="P619" s="52" t="str">
        <f t="shared" si="78"/>
        <v/>
      </c>
      <c r="Q619" s="53" t="str">
        <f t="shared" si="79"/>
        <v/>
      </c>
      <c r="R619" s="54" t="str">
        <f t="shared" si="80"/>
        <v/>
      </c>
      <c r="S619" s="53" t="str">
        <f t="shared" si="81"/>
        <v/>
      </c>
    </row>
    <row r="620" spans="10:19" x14ac:dyDescent="0.15">
      <c r="J620" s="38">
        <v>611</v>
      </c>
      <c r="K620" s="40"/>
      <c r="L620" s="34">
        <f t="shared" si="75"/>
        <v>7.9747659040256167E-4</v>
      </c>
      <c r="M620" s="35">
        <f t="shared" si="76"/>
        <v>3.7512807350426116E-7</v>
      </c>
      <c r="N620" s="44">
        <f t="shared" si="74"/>
        <v>1.6991362378422788E-5</v>
      </c>
      <c r="O620" s="45" t="e">
        <f t="shared" si="77"/>
        <v>#VALUE!</v>
      </c>
      <c r="P620" s="52" t="str">
        <f t="shared" si="78"/>
        <v/>
      </c>
      <c r="Q620" s="53" t="str">
        <f t="shared" si="79"/>
        <v/>
      </c>
      <c r="R620" s="54" t="str">
        <f t="shared" si="80"/>
        <v/>
      </c>
      <c r="S620" s="53" t="str">
        <f t="shared" si="81"/>
        <v/>
      </c>
    </row>
    <row r="621" spans="10:19" x14ac:dyDescent="0.15">
      <c r="J621" s="38">
        <v>612</v>
      </c>
      <c r="K621" s="40"/>
      <c r="L621" s="34">
        <f t="shared" si="75"/>
        <v>7.9785096686051549E-4</v>
      </c>
      <c r="M621" s="35">
        <f t="shared" si="76"/>
        <v>3.7362583309913643E-7</v>
      </c>
      <c r="N621" s="44">
        <f t="shared" si="74"/>
        <v>1.6923077139893499E-5</v>
      </c>
      <c r="O621" s="45" t="e">
        <f t="shared" si="77"/>
        <v>#VALUE!</v>
      </c>
      <c r="P621" s="52" t="str">
        <f t="shared" si="78"/>
        <v/>
      </c>
      <c r="Q621" s="53" t="str">
        <f t="shared" si="79"/>
        <v/>
      </c>
      <c r="R621" s="54" t="str">
        <f t="shared" si="80"/>
        <v/>
      </c>
      <c r="S621" s="53" t="str">
        <f t="shared" si="81"/>
        <v/>
      </c>
    </row>
    <row r="622" spans="10:19" x14ac:dyDescent="0.15">
      <c r="J622" s="38">
        <v>613</v>
      </c>
      <c r="K622" s="40"/>
      <c r="L622" s="34">
        <f t="shared" si="75"/>
        <v>7.9822384404493554E-4</v>
      </c>
      <c r="M622" s="35">
        <f t="shared" si="76"/>
        <v>3.7212952122797171E-7</v>
      </c>
      <c r="N622" s="44">
        <f t="shared" si="74"/>
        <v>1.6855053159721823E-5</v>
      </c>
      <c r="O622" s="45" t="e">
        <f t="shared" si="77"/>
        <v>#VALUE!</v>
      </c>
      <c r="P622" s="52" t="str">
        <f t="shared" si="78"/>
        <v/>
      </c>
      <c r="Q622" s="53" t="str">
        <f t="shared" si="79"/>
        <v/>
      </c>
      <c r="R622" s="54" t="str">
        <f t="shared" si="80"/>
        <v/>
      </c>
      <c r="S622" s="53" t="str">
        <f t="shared" si="81"/>
        <v/>
      </c>
    </row>
    <row r="623" spans="10:19" x14ac:dyDescent="0.15">
      <c r="J623" s="38">
        <v>614</v>
      </c>
      <c r="K623" s="40"/>
      <c r="L623" s="34">
        <f t="shared" si="75"/>
        <v>7.9859522786876209E-4</v>
      </c>
      <c r="M623" s="35">
        <f t="shared" si="76"/>
        <v>3.7063910673611348E-7</v>
      </c>
      <c r="N623" s="44">
        <f t="shared" si="74"/>
        <v>1.6787289106395711E-5</v>
      </c>
      <c r="O623" s="45" t="e">
        <f t="shared" si="77"/>
        <v>#VALUE!</v>
      </c>
      <c r="P623" s="52" t="str">
        <f t="shared" si="78"/>
        <v/>
      </c>
      <c r="Q623" s="53" t="str">
        <f t="shared" si="79"/>
        <v/>
      </c>
      <c r="R623" s="54" t="str">
        <f t="shared" si="80"/>
        <v/>
      </c>
      <c r="S623" s="53" t="str">
        <f t="shared" si="81"/>
        <v/>
      </c>
    </row>
    <row r="624" spans="10:19" x14ac:dyDescent="0.15">
      <c r="J624" s="38">
        <v>615</v>
      </c>
      <c r="K624" s="40"/>
      <c r="L624" s="34">
        <f t="shared" si="75"/>
        <v>7.9896512421388202E-4</v>
      </c>
      <c r="M624" s="35">
        <f t="shared" si="76"/>
        <v>3.6915455867328839E-7</v>
      </c>
      <c r="N624" s="44">
        <f t="shared" si="74"/>
        <v>1.6719783656878647E-5</v>
      </c>
      <c r="O624" s="45" t="e">
        <f t="shared" si="77"/>
        <v>#VALUE!</v>
      </c>
      <c r="P624" s="52" t="str">
        <f t="shared" si="78"/>
        <v/>
      </c>
      <c r="Q624" s="53" t="str">
        <f t="shared" si="79"/>
        <v/>
      </c>
      <c r="R624" s="54" t="str">
        <f t="shared" si="80"/>
        <v/>
      </c>
      <c r="S624" s="53" t="str">
        <f t="shared" si="81"/>
        <v/>
      </c>
    </row>
    <row r="625" spans="10:19" x14ac:dyDescent="0.15">
      <c r="J625" s="38">
        <v>616</v>
      </c>
      <c r="K625" s="40"/>
      <c r="L625" s="34">
        <f t="shared" si="75"/>
        <v>7.9933353893133353E-4</v>
      </c>
      <c r="M625" s="35">
        <f t="shared" si="76"/>
        <v>3.6767584629199585E-7</v>
      </c>
      <c r="N625" s="44">
        <f t="shared" si="74"/>
        <v>1.6652535496544164E-5</v>
      </c>
      <c r="O625" s="45" t="e">
        <f t="shared" si="77"/>
        <v>#VALUE!</v>
      </c>
      <c r="P625" s="52" t="str">
        <f t="shared" si="78"/>
        <v/>
      </c>
      <c r="Q625" s="53" t="str">
        <f t="shared" si="79"/>
        <v/>
      </c>
      <c r="R625" s="54" t="str">
        <f t="shared" si="80"/>
        <v/>
      </c>
      <c r="S625" s="53" t="str">
        <f t="shared" si="81"/>
        <v/>
      </c>
    </row>
    <row r="626" spans="10:19" x14ac:dyDescent="0.15">
      <c r="J626" s="38">
        <v>617</v>
      </c>
      <c r="K626" s="40"/>
      <c r="L626" s="34">
        <f t="shared" si="75"/>
        <v>7.9970047784150874E-4</v>
      </c>
      <c r="M626" s="35">
        <f t="shared" si="76"/>
        <v>3.6620293904591644E-7</v>
      </c>
      <c r="N626" s="44">
        <f t="shared" si="74"/>
        <v>1.6585543319110464E-5</v>
      </c>
      <c r="O626" s="45" t="e">
        <f t="shared" si="77"/>
        <v>#VALUE!</v>
      </c>
      <c r="P626" s="52" t="str">
        <f t="shared" si="78"/>
        <v/>
      </c>
      <c r="Q626" s="53" t="str">
        <f t="shared" si="79"/>
        <v/>
      </c>
      <c r="R626" s="54" t="str">
        <f t="shared" si="80"/>
        <v/>
      </c>
      <c r="S626" s="53" t="str">
        <f t="shared" si="81"/>
        <v/>
      </c>
    </row>
    <row r="627" spans="10:19" x14ac:dyDescent="0.15">
      <c r="J627" s="38">
        <v>618</v>
      </c>
      <c r="K627" s="40"/>
      <c r="L627" s="34">
        <f t="shared" si="75"/>
        <v>8.0006594673435268E-4</v>
      </c>
      <c r="M627" s="35">
        <f t="shared" si="76"/>
        <v>3.6473580658833442E-7</v>
      </c>
      <c r="N627" s="44">
        <f t="shared" si="74"/>
        <v>1.6518805826579272E-5</v>
      </c>
      <c r="O627" s="45" t="e">
        <f t="shared" si="77"/>
        <v>#VALUE!</v>
      </c>
      <c r="P627" s="52" t="str">
        <f t="shared" si="78"/>
        <v/>
      </c>
      <c r="Q627" s="53" t="str">
        <f t="shared" si="79"/>
        <v/>
      </c>
      <c r="R627" s="54" t="str">
        <f t="shared" si="80"/>
        <v/>
      </c>
      <c r="S627" s="53" t="str">
        <f t="shared" si="81"/>
        <v/>
      </c>
    </row>
    <row r="628" spans="10:19" x14ac:dyDescent="0.15">
      <c r="J628" s="38">
        <v>619</v>
      </c>
      <c r="K628" s="40"/>
      <c r="L628" s="34">
        <f t="shared" si="75"/>
        <v>8.0042995136956328E-4</v>
      </c>
      <c r="M628" s="35">
        <f t="shared" si="76"/>
        <v>3.6327441877057444E-7</v>
      </c>
      <c r="N628" s="44">
        <f t="shared" si="74"/>
        <v>1.6452321729171541E-5</v>
      </c>
      <c r="O628" s="45" t="e">
        <f t="shared" si="77"/>
        <v>#VALUE!</v>
      </c>
      <c r="P628" s="52" t="str">
        <f t="shared" si="78"/>
        <v/>
      </c>
      <c r="Q628" s="53" t="str">
        <f t="shared" si="79"/>
        <v/>
      </c>
      <c r="R628" s="54" t="str">
        <f t="shared" si="80"/>
        <v/>
      </c>
      <c r="S628" s="53" t="str">
        <f t="shared" si="81"/>
        <v/>
      </c>
    </row>
    <row r="629" spans="10:19" x14ac:dyDescent="0.15">
      <c r="J629" s="38">
        <v>620</v>
      </c>
      <c r="K629" s="40"/>
      <c r="L629" s="34">
        <f t="shared" si="75"/>
        <v>8.0079249747678767E-4</v>
      </c>
      <c r="M629" s="35">
        <f t="shared" si="76"/>
        <v>3.6181874564045235E-7</v>
      </c>
      <c r="N629" s="44">
        <f t="shared" si="74"/>
        <v>1.6386089745265326E-5</v>
      </c>
      <c r="O629" s="45" t="e">
        <f t="shared" si="77"/>
        <v>#VALUE!</v>
      </c>
      <c r="P629" s="52" t="str">
        <f t="shared" si="78"/>
        <v/>
      </c>
      <c r="Q629" s="53" t="str">
        <f t="shared" si="79"/>
        <v/>
      </c>
      <c r="R629" s="54" t="str">
        <f t="shared" si="80"/>
        <v/>
      </c>
      <c r="S629" s="53" t="str">
        <f t="shared" si="81"/>
        <v/>
      </c>
    </row>
    <row r="630" spans="10:19" x14ac:dyDescent="0.15">
      <c r="J630" s="38">
        <v>621</v>
      </c>
      <c r="K630" s="40"/>
      <c r="L630" s="34">
        <f t="shared" si="75"/>
        <v>8.011535907558187E-4</v>
      </c>
      <c r="M630" s="35">
        <f t="shared" si="76"/>
        <v>3.6036875744074113E-7</v>
      </c>
      <c r="N630" s="44">
        <f t="shared" si="74"/>
        <v>1.6320108601333445E-5</v>
      </c>
      <c r="O630" s="45" t="e">
        <f t="shared" si="77"/>
        <v>#VALUE!</v>
      </c>
      <c r="P630" s="52" t="str">
        <f t="shared" si="78"/>
        <v/>
      </c>
      <c r="Q630" s="53" t="str">
        <f t="shared" si="79"/>
        <v/>
      </c>
      <c r="R630" s="54" t="str">
        <f t="shared" si="80"/>
        <v/>
      </c>
      <c r="S630" s="53" t="str">
        <f t="shared" si="81"/>
        <v/>
      </c>
    </row>
    <row r="631" spans="10:19" x14ac:dyDescent="0.15">
      <c r="J631" s="38">
        <v>622</v>
      </c>
      <c r="K631" s="40"/>
      <c r="L631" s="34">
        <f t="shared" si="75"/>
        <v>8.0151323687678924E-4</v>
      </c>
      <c r="M631" s="35">
        <f t="shared" si="76"/>
        <v>3.5892442460764978E-7</v>
      </c>
      <c r="N631" s="44">
        <f t="shared" si="74"/>
        <v>1.6254377031882654E-5</v>
      </c>
      <c r="O631" s="45" t="e">
        <f t="shared" si="77"/>
        <v>#VALUE!</v>
      </c>
      <c r="P631" s="52" t="str">
        <f t="shared" si="78"/>
        <v/>
      </c>
      <c r="Q631" s="53" t="str">
        <f t="shared" si="79"/>
        <v/>
      </c>
      <c r="R631" s="54" t="str">
        <f t="shared" si="80"/>
        <v/>
      </c>
      <c r="S631" s="53" t="str">
        <f t="shared" si="81"/>
        <v/>
      </c>
    </row>
    <row r="632" spans="10:19" x14ac:dyDescent="0.15">
      <c r="J632" s="38">
        <v>623</v>
      </c>
      <c r="K632" s="40"/>
      <c r="L632" s="34">
        <f t="shared" si="75"/>
        <v>8.0187144148036345E-4</v>
      </c>
      <c r="M632" s="35">
        <f t="shared" si="76"/>
        <v>3.5748571776931628E-7</v>
      </c>
      <c r="N632" s="44">
        <f t="shared" si="74"/>
        <v>1.6188893779393258E-5</v>
      </c>
      <c r="O632" s="45" t="e">
        <f t="shared" si="77"/>
        <v>#VALUE!</v>
      </c>
      <c r="P632" s="52" t="str">
        <f t="shared" si="78"/>
        <v/>
      </c>
      <c r="Q632" s="53" t="str">
        <f t="shared" si="79"/>
        <v/>
      </c>
      <c r="R632" s="54" t="str">
        <f t="shared" si="80"/>
        <v/>
      </c>
      <c r="S632" s="53" t="str">
        <f t="shared" si="81"/>
        <v/>
      </c>
    </row>
    <row r="633" spans="10:19" x14ac:dyDescent="0.15">
      <c r="J633" s="38">
        <v>624</v>
      </c>
      <c r="K633" s="40"/>
      <c r="L633" s="34">
        <f t="shared" si="75"/>
        <v>8.0222821017793017E-4</v>
      </c>
      <c r="M633" s="35">
        <f t="shared" si="76"/>
        <v>3.5605260774431453E-7</v>
      </c>
      <c r="N633" s="44">
        <f t="shared" si="74"/>
        <v>1.6123657594257958E-5</v>
      </c>
      <c r="O633" s="45" t="e">
        <f t="shared" si="77"/>
        <v>#VALUE!</v>
      </c>
      <c r="P633" s="52" t="str">
        <f t="shared" si="78"/>
        <v/>
      </c>
      <c r="Q633" s="53" t="str">
        <f t="shared" si="79"/>
        <v/>
      </c>
      <c r="R633" s="54" t="str">
        <f t="shared" si="80"/>
        <v/>
      </c>
      <c r="S633" s="53" t="str">
        <f t="shared" si="81"/>
        <v/>
      </c>
    </row>
    <row r="634" spans="10:19" x14ac:dyDescent="0.15">
      <c r="J634" s="38">
        <v>625</v>
      </c>
      <c r="K634" s="40"/>
      <c r="L634" s="34">
        <f t="shared" si="75"/>
        <v>8.0258354855179041E-4</v>
      </c>
      <c r="M634" s="35">
        <f t="shared" si="76"/>
        <v>3.5462506554017439E-7</v>
      </c>
      <c r="N634" s="44">
        <f t="shared" si="74"/>
        <v>1.6058667234723095E-5</v>
      </c>
      <c r="O634" s="45" t="e">
        <f t="shared" si="77"/>
        <v>#VALUE!</v>
      </c>
      <c r="P634" s="52" t="str">
        <f t="shared" si="78"/>
        <v/>
      </c>
      <c r="Q634" s="53" t="str">
        <f t="shared" si="79"/>
        <v/>
      </c>
      <c r="R634" s="54" t="str">
        <f t="shared" si="80"/>
        <v/>
      </c>
      <c r="S634" s="53" t="str">
        <f t="shared" si="81"/>
        <v/>
      </c>
    </row>
    <row r="635" spans="10:19" x14ac:dyDescent="0.15">
      <c r="J635" s="38">
        <v>626</v>
      </c>
      <c r="K635" s="40"/>
      <c r="L635" s="34">
        <f t="shared" si="75"/>
        <v>8.0293746215534718E-4</v>
      </c>
      <c r="M635" s="35">
        <f t="shared" si="76"/>
        <v>3.5320306235191556E-7</v>
      </c>
      <c r="N635" s="44">
        <f t="shared" si="74"/>
        <v>1.5993921466828684E-5</v>
      </c>
      <c r="O635" s="45" t="e">
        <f t="shared" si="77"/>
        <v>#VALUE!</v>
      </c>
      <c r="P635" s="52" t="str">
        <f t="shared" si="78"/>
        <v/>
      </c>
      <c r="Q635" s="53" t="str">
        <f t="shared" si="79"/>
        <v/>
      </c>
      <c r="R635" s="54" t="str">
        <f t="shared" si="80"/>
        <v/>
      </c>
      <c r="S635" s="53" t="str">
        <f t="shared" si="81"/>
        <v/>
      </c>
    </row>
    <row r="636" spans="10:19" x14ac:dyDescent="0.15">
      <c r="J636" s="38">
        <v>627</v>
      </c>
      <c r="K636" s="40"/>
      <c r="L636" s="34">
        <f t="shared" si="75"/>
        <v>8.032899565132911E-4</v>
      </c>
      <c r="M636" s="35">
        <f t="shared" si="76"/>
        <v>3.5178656956059419E-7</v>
      </c>
      <c r="N636" s="44">
        <f t="shared" si="74"/>
        <v>1.5929419064350417E-5</v>
      </c>
      <c r="O636" s="45" t="e">
        <f t="shared" si="77"/>
        <v>#VALUE!</v>
      </c>
      <c r="P636" s="52" t="str">
        <f t="shared" si="78"/>
        <v/>
      </c>
      <c r="Q636" s="53" t="str">
        <f t="shared" si="79"/>
        <v/>
      </c>
      <c r="R636" s="54" t="str">
        <f t="shared" si="80"/>
        <v/>
      </c>
      <c r="S636" s="53" t="str">
        <f t="shared" si="81"/>
        <v/>
      </c>
    </row>
    <row r="637" spans="10:19" x14ac:dyDescent="0.15">
      <c r="J637" s="38">
        <v>628</v>
      </c>
      <c r="K637" s="40"/>
      <c r="L637" s="34">
        <f t="shared" si="75"/>
        <v>8.0364103712178699E-4</v>
      </c>
      <c r="M637" s="35">
        <f t="shared" si="76"/>
        <v>3.5037555873186338E-7</v>
      </c>
      <c r="N637" s="44">
        <f t="shared" si="74"/>
        <v>1.5865158808740895E-5</v>
      </c>
      <c r="O637" s="45" t="e">
        <f t="shared" si="77"/>
        <v>#VALUE!</v>
      </c>
      <c r="P637" s="52" t="str">
        <f t="shared" si="78"/>
        <v/>
      </c>
      <c r="Q637" s="53" t="str">
        <f t="shared" si="79"/>
        <v/>
      </c>
      <c r="R637" s="54" t="str">
        <f t="shared" si="80"/>
        <v/>
      </c>
      <c r="S637" s="53" t="str">
        <f t="shared" si="81"/>
        <v/>
      </c>
    </row>
    <row r="638" spans="10:19" x14ac:dyDescent="0.15">
      <c r="J638" s="38">
        <v>629</v>
      </c>
      <c r="K638" s="40"/>
      <c r="L638" s="34">
        <f t="shared" si="75"/>
        <v>8.039907094486567E-4</v>
      </c>
      <c r="M638" s="35">
        <f t="shared" si="76"/>
        <v>3.489700016145461E-7</v>
      </c>
      <c r="N638" s="44">
        <f t="shared" si="74"/>
        <v>1.5801139489072386E-5</v>
      </c>
      <c r="O638" s="45" t="e">
        <f t="shared" si="77"/>
        <v>#VALUE!</v>
      </c>
      <c r="P638" s="52" t="str">
        <f t="shared" si="78"/>
        <v/>
      </c>
      <c r="Q638" s="53" t="str">
        <f t="shared" si="79"/>
        <v/>
      </c>
      <c r="R638" s="54" t="str">
        <f t="shared" si="80"/>
        <v/>
      </c>
      <c r="S638" s="53" t="str">
        <f t="shared" si="81"/>
        <v/>
      </c>
    </row>
    <row r="639" spans="10:19" x14ac:dyDescent="0.15">
      <c r="J639" s="38">
        <v>630</v>
      </c>
      <c r="K639" s="40"/>
      <c r="L639" s="34">
        <f t="shared" si="75"/>
        <v>8.0433897893356153E-4</v>
      </c>
      <c r="M639" s="35">
        <f t="shared" si="76"/>
        <v>3.4756987013922039E-7</v>
      </c>
      <c r="N639" s="44">
        <f t="shared" si="74"/>
        <v>1.5737359901980223E-5</v>
      </c>
      <c r="O639" s="45" t="e">
        <f t="shared" si="77"/>
        <v>#VALUE!</v>
      </c>
      <c r="P639" s="52" t="str">
        <f t="shared" si="78"/>
        <v/>
      </c>
      <c r="Q639" s="53" t="str">
        <f t="shared" si="79"/>
        <v/>
      </c>
      <c r="R639" s="54" t="str">
        <f t="shared" si="80"/>
        <v/>
      </c>
      <c r="S639" s="53" t="str">
        <f t="shared" si="81"/>
        <v/>
      </c>
    </row>
    <row r="640" spans="10:19" x14ac:dyDescent="0.15">
      <c r="J640" s="38">
        <v>631</v>
      </c>
      <c r="K640" s="40"/>
      <c r="L640" s="34">
        <f t="shared" si="75"/>
        <v>8.0468585098818397E-4</v>
      </c>
      <c r="M640" s="35">
        <f t="shared" si="76"/>
        <v>3.4617513641681854E-7</v>
      </c>
      <c r="N640" s="44">
        <f t="shared" si="74"/>
        <v>1.5673818851604806E-5</v>
      </c>
      <c r="O640" s="45" t="e">
        <f t="shared" si="77"/>
        <v>#VALUE!</v>
      </c>
      <c r="P640" s="52" t="str">
        <f t="shared" si="78"/>
        <v/>
      </c>
      <c r="Q640" s="53" t="str">
        <f t="shared" si="79"/>
        <v/>
      </c>
      <c r="R640" s="54" t="str">
        <f t="shared" si="80"/>
        <v/>
      </c>
      <c r="S640" s="53" t="str">
        <f t="shared" si="81"/>
        <v/>
      </c>
    </row>
    <row r="641" spans="10:19" x14ac:dyDescent="0.15">
      <c r="J641" s="38">
        <v>632</v>
      </c>
      <c r="K641" s="40"/>
      <c r="L641" s="34">
        <f t="shared" si="75"/>
        <v>8.0503133099640736E-4</v>
      </c>
      <c r="M641" s="35">
        <f t="shared" si="76"/>
        <v>3.4478577273723918E-7</v>
      </c>
      <c r="N641" s="44">
        <f t="shared" si="74"/>
        <v>1.5610515149536738E-5</v>
      </c>
      <c r="O641" s="45" t="e">
        <f t="shared" si="77"/>
        <v>#VALUE!</v>
      </c>
      <c r="P641" s="52" t="str">
        <f t="shared" si="78"/>
        <v/>
      </c>
      <c r="Q641" s="53" t="str">
        <f t="shared" si="79"/>
        <v/>
      </c>
      <c r="R641" s="54" t="str">
        <f t="shared" si="80"/>
        <v/>
      </c>
      <c r="S641" s="53" t="str">
        <f t="shared" si="81"/>
        <v/>
      </c>
    </row>
    <row r="642" spans="10:19" x14ac:dyDescent="0.15">
      <c r="J642" s="38">
        <v>633</v>
      </c>
      <c r="K642" s="40"/>
      <c r="L642" s="34">
        <f t="shared" si="75"/>
        <v>8.0537542431449336E-4</v>
      </c>
      <c r="M642" s="35">
        <f t="shared" si="76"/>
        <v>3.4340175156796891E-7</v>
      </c>
      <c r="N642" s="44">
        <f t="shared" si="74"/>
        <v>1.554744761476034E-5</v>
      </c>
      <c r="O642" s="45" t="e">
        <f t="shared" si="77"/>
        <v>#VALUE!</v>
      </c>
      <c r="P642" s="52" t="str">
        <f t="shared" si="78"/>
        <v/>
      </c>
      <c r="Q642" s="53" t="str">
        <f t="shared" si="79"/>
        <v/>
      </c>
      <c r="R642" s="54" t="str">
        <f t="shared" si="80"/>
        <v/>
      </c>
      <c r="S642" s="53" t="str">
        <f t="shared" si="81"/>
        <v/>
      </c>
    </row>
    <row r="643" spans="10:19" x14ac:dyDescent="0.15">
      <c r="J643" s="38">
        <v>634</v>
      </c>
      <c r="K643" s="40"/>
      <c r="L643" s="34">
        <f t="shared" si="75"/>
        <v>8.0571813627125944E-4</v>
      </c>
      <c r="M643" s="35">
        <f t="shared" si="76"/>
        <v>3.4202304555271962E-7</v>
      </c>
      <c r="N643" s="44">
        <f t="shared" si="74"/>
        <v>1.5484615073599653E-5</v>
      </c>
      <c r="O643" s="45" t="e">
        <f t="shared" si="77"/>
        <v>#VALUE!</v>
      </c>
      <c r="P643" s="52" t="str">
        <f t="shared" si="78"/>
        <v/>
      </c>
      <c r="Q643" s="53" t="str">
        <f t="shared" si="79"/>
        <v/>
      </c>
      <c r="R643" s="54" t="str">
        <f t="shared" si="80"/>
        <v/>
      </c>
      <c r="S643" s="53" t="str">
        <f t="shared" si="81"/>
        <v/>
      </c>
    </row>
    <row r="644" spans="10:19" x14ac:dyDescent="0.15">
      <c r="J644" s="38">
        <v>635</v>
      </c>
      <c r="K644" s="40"/>
      <c r="L644" s="34">
        <f t="shared" si="75"/>
        <v>8.060594721682545E-4</v>
      </c>
      <c r="M644" s="35">
        <f t="shared" si="76"/>
        <v>3.4064962751007683E-7</v>
      </c>
      <c r="N644" s="44">
        <f t="shared" si="74"/>
        <v>1.5422016359662176E-5</v>
      </c>
      <c r="O644" s="45" t="e">
        <f t="shared" si="77"/>
        <v>#VALUE!</v>
      </c>
      <c r="P644" s="52" t="str">
        <f t="shared" si="78"/>
        <v/>
      </c>
      <c r="Q644" s="53" t="str">
        <f t="shared" si="79"/>
        <v/>
      </c>
      <c r="R644" s="54" t="str">
        <f t="shared" si="80"/>
        <v/>
      </c>
      <c r="S644" s="53" t="str">
        <f t="shared" si="81"/>
        <v/>
      </c>
    </row>
    <row r="645" spans="10:19" x14ac:dyDescent="0.15">
      <c r="J645" s="38">
        <v>636</v>
      </c>
      <c r="K645" s="40"/>
      <c r="L645" s="34">
        <f t="shared" si="75"/>
        <v>8.063994372799326E-4</v>
      </c>
      <c r="M645" s="35">
        <f t="shared" si="76"/>
        <v>3.3928147043215895E-7</v>
      </c>
      <c r="N645" s="44">
        <f t="shared" si="74"/>
        <v>1.5359650313786057E-5</v>
      </c>
      <c r="O645" s="45" t="e">
        <f t="shared" si="77"/>
        <v>#VALUE!</v>
      </c>
      <c r="P645" s="52" t="str">
        <f t="shared" si="78"/>
        <v/>
      </c>
      <c r="Q645" s="53" t="str">
        <f t="shared" si="79"/>
        <v/>
      </c>
      <c r="R645" s="54" t="str">
        <f t="shared" si="80"/>
        <v/>
      </c>
      <c r="S645" s="53" t="str">
        <f t="shared" si="81"/>
        <v/>
      </c>
    </row>
    <row r="646" spans="10:19" x14ac:dyDescent="0.15">
      <c r="J646" s="38">
        <v>637</v>
      </c>
      <c r="K646" s="40"/>
      <c r="L646" s="34">
        <f t="shared" si="75"/>
        <v>8.067380368538264E-4</v>
      </c>
      <c r="M646" s="35">
        <f t="shared" si="76"/>
        <v>3.3791854748329092E-7</v>
      </c>
      <c r="N646" s="44">
        <f t="shared" si="74"/>
        <v>1.5297515783985562E-5</v>
      </c>
      <c r="O646" s="45" t="e">
        <f t="shared" si="77"/>
        <v>#VALUE!</v>
      </c>
      <c r="P646" s="52" t="str">
        <f t="shared" si="78"/>
        <v/>
      </c>
      <c r="Q646" s="53" t="str">
        <f t="shared" si="79"/>
        <v/>
      </c>
      <c r="R646" s="54" t="str">
        <f t="shared" si="80"/>
        <v/>
      </c>
      <c r="S646" s="53" t="str">
        <f t="shared" si="81"/>
        <v/>
      </c>
    </row>
    <row r="647" spans="10:19" x14ac:dyDescent="0.15">
      <c r="J647" s="38">
        <v>638</v>
      </c>
      <c r="K647" s="40"/>
      <c r="L647" s="34">
        <f t="shared" si="75"/>
        <v>8.0707527611071858E-4</v>
      </c>
      <c r="M647" s="35">
        <f t="shared" si="76"/>
        <v>3.3656083199868677E-7</v>
      </c>
      <c r="N647" s="44">
        <f t="shared" si="74"/>
        <v>1.5235611625397626E-5</v>
      </c>
      <c r="O647" s="45" t="e">
        <f t="shared" si="77"/>
        <v>#VALUE!</v>
      </c>
      <c r="P647" s="52" t="str">
        <f t="shared" si="78"/>
        <v/>
      </c>
      <c r="Q647" s="53" t="str">
        <f t="shared" si="79"/>
        <v/>
      </c>
      <c r="R647" s="54" t="str">
        <f t="shared" si="80"/>
        <v/>
      </c>
      <c r="S647" s="53" t="str">
        <f t="shared" si="81"/>
        <v/>
      </c>
    </row>
    <row r="648" spans="10:19" x14ac:dyDescent="0.15">
      <c r="J648" s="38">
        <v>639</v>
      </c>
      <c r="K648" s="40"/>
      <c r="L648" s="34">
        <f t="shared" si="75"/>
        <v>8.0741116024481163E-4</v>
      </c>
      <c r="M648" s="35">
        <f t="shared" si="76"/>
        <v>3.3520829748314644E-7</v>
      </c>
      <c r="N648" s="44">
        <f t="shared" si="74"/>
        <v>1.5173936700230021E-5</v>
      </c>
      <c r="O648" s="45" t="e">
        <f t="shared" si="77"/>
        <v>#VALUE!</v>
      </c>
      <c r="P648" s="52" t="str">
        <f t="shared" si="78"/>
        <v/>
      </c>
      <c r="Q648" s="53" t="str">
        <f t="shared" si="79"/>
        <v/>
      </c>
      <c r="R648" s="54" t="str">
        <f t="shared" si="80"/>
        <v/>
      </c>
      <c r="S648" s="53" t="str">
        <f t="shared" si="81"/>
        <v/>
      </c>
    </row>
    <row r="649" spans="10:19" x14ac:dyDescent="0.15">
      <c r="J649" s="38">
        <v>640</v>
      </c>
      <c r="K649" s="40"/>
      <c r="L649" s="34">
        <f t="shared" si="75"/>
        <v>8.077456944238972E-4</v>
      </c>
      <c r="M649" s="35">
        <f t="shared" si="76"/>
        <v>3.3386091760976265E-7</v>
      </c>
      <c r="N649" s="44">
        <f t="shared" ref="N649:N712" si="82">(L699-L649)</f>
        <v>1.5112489877708345E-5</v>
      </c>
      <c r="O649" s="45" t="e">
        <f t="shared" si="77"/>
        <v>#VALUE!</v>
      </c>
      <c r="P649" s="52" t="str">
        <f t="shared" si="78"/>
        <v/>
      </c>
      <c r="Q649" s="53" t="str">
        <f t="shared" si="79"/>
        <v/>
      </c>
      <c r="R649" s="54" t="str">
        <f t="shared" si="80"/>
        <v/>
      </c>
      <c r="S649" s="53" t="str">
        <f t="shared" si="81"/>
        <v/>
      </c>
    </row>
    <row r="650" spans="10:19" x14ac:dyDescent="0.15">
      <c r="J650" s="38">
        <v>641</v>
      </c>
      <c r="K650" s="40"/>
      <c r="L650" s="34">
        <f t="shared" ref="L650:L713" si="83">$F$39*((1-$F$40*J650)/(1+$F$41*J650))*(J650-$F$42)</f>
        <v>8.080788837895235E-4</v>
      </c>
      <c r="M650" s="35">
        <f t="shared" ref="M650:M713" si="84">$F$39*((1-2*$F$40*J650-$F$40*$F$41*(J650^2)+($F$41+$F$40)*$F$42)/(1+$F$41*J650)^2)</f>
        <v>3.3251866621864037E-7</v>
      </c>
      <c r="N650" s="44">
        <f t="shared" si="82"/>
        <v>1.5051270034024196E-5</v>
      </c>
      <c r="O650" s="45" t="e">
        <f t="shared" ref="O650:O713" si="85">IF(N650&lt;=$B$49,1+O649,0)</f>
        <v>#VALUE!</v>
      </c>
      <c r="P650" s="52" t="str">
        <f t="shared" ref="P650:P713" si="86">IF(J650&lt;=$F$42,J650,"")</f>
        <v/>
      </c>
      <c r="Q650" s="53" t="str">
        <f t="shared" ref="Q650:Q713" si="87">IF(J650&lt;=$F$42,L650,"")</f>
        <v/>
      </c>
      <c r="R650" s="54" t="str">
        <f t="shared" ref="R650:R713" si="88">IF(AND(J650&gt;=$F$42,J650&lt;=200),J650,"")</f>
        <v/>
      </c>
      <c r="S650" s="53" t="str">
        <f t="shared" ref="S650:S713" si="89">IF(AND(J650&gt;=$F$42,J650&lt;=200),L650,"")</f>
        <v/>
      </c>
    </row>
    <row r="651" spans="10:19" x14ac:dyDescent="0.15">
      <c r="J651" s="38">
        <v>642</v>
      </c>
      <c r="K651" s="40"/>
      <c r="L651" s="34">
        <f t="shared" si="83"/>
        <v>8.0841073345716194E-4</v>
      </c>
      <c r="M651" s="35">
        <f t="shared" si="84"/>
        <v>3.3118151731562621E-7</v>
      </c>
      <c r="N651" s="44">
        <f t="shared" si="82"/>
        <v>1.499027605228367E-5</v>
      </c>
      <c r="O651" s="45" t="e">
        <f t="shared" si="85"/>
        <v>#VALUE!</v>
      </c>
      <c r="P651" s="52" t="str">
        <f t="shared" si="86"/>
        <v/>
      </c>
      <c r="Q651" s="53" t="str">
        <f t="shared" si="87"/>
        <v/>
      </c>
      <c r="R651" s="54" t="str">
        <f t="shared" si="88"/>
        <v/>
      </c>
      <c r="S651" s="53" t="str">
        <f t="shared" si="89"/>
        <v/>
      </c>
    </row>
    <row r="652" spans="10:19" x14ac:dyDescent="0.15">
      <c r="J652" s="38">
        <v>643</v>
      </c>
      <c r="K652" s="40"/>
      <c r="L652" s="34">
        <f t="shared" si="83"/>
        <v>8.0874124851637239E-4</v>
      </c>
      <c r="M652" s="35">
        <f t="shared" si="84"/>
        <v>3.2984944507105056E-7</v>
      </c>
      <c r="N652" s="44">
        <f t="shared" si="82"/>
        <v>1.4929506822456296E-5</v>
      </c>
      <c r="O652" s="45" t="e">
        <f t="shared" si="85"/>
        <v>#VALUE!</v>
      </c>
      <c r="P652" s="52" t="str">
        <f t="shared" si="86"/>
        <v/>
      </c>
      <c r="Q652" s="53" t="str">
        <f t="shared" si="87"/>
        <v/>
      </c>
      <c r="R652" s="54" t="str">
        <f t="shared" si="88"/>
        <v/>
      </c>
      <c r="S652" s="53" t="str">
        <f t="shared" si="89"/>
        <v/>
      </c>
    </row>
    <row r="653" spans="10:19" x14ac:dyDescent="0.15">
      <c r="J653" s="38">
        <v>644</v>
      </c>
      <c r="K653" s="40"/>
      <c r="L653" s="34">
        <f t="shared" si="83"/>
        <v>8.0907043403096628E-4</v>
      </c>
      <c r="M653" s="35">
        <f t="shared" si="84"/>
        <v>3.2852242381847992E-7</v>
      </c>
      <c r="N653" s="44">
        <f t="shared" si="82"/>
        <v>1.4868961241325056E-5</v>
      </c>
      <c r="O653" s="45" t="e">
        <f t="shared" si="85"/>
        <v>#VALUE!</v>
      </c>
      <c r="P653" s="52" t="str">
        <f t="shared" si="86"/>
        <v/>
      </c>
      <c r="Q653" s="53" t="str">
        <f t="shared" si="87"/>
        <v/>
      </c>
      <c r="R653" s="54" t="str">
        <f t="shared" si="88"/>
        <v/>
      </c>
      <c r="S653" s="53" t="str">
        <f t="shared" si="89"/>
        <v/>
      </c>
    </row>
    <row r="654" spans="10:19" x14ac:dyDescent="0.15">
      <c r="J654" s="38">
        <v>645</v>
      </c>
      <c r="K654" s="40"/>
      <c r="L654" s="34">
        <f t="shared" si="83"/>
        <v>8.0939829503916998E-4</v>
      </c>
      <c r="M654" s="35">
        <f t="shared" si="84"/>
        <v>3.2720042805348048E-7</v>
      </c>
      <c r="N654" s="44">
        <f t="shared" si="82"/>
        <v>1.4808638212435426E-5</v>
      </c>
      <c r="O654" s="45" t="e">
        <f t="shared" si="85"/>
        <v>#VALUE!</v>
      </c>
      <c r="P654" s="52" t="str">
        <f t="shared" si="86"/>
        <v/>
      </c>
      <c r="Q654" s="53" t="str">
        <f t="shared" si="87"/>
        <v/>
      </c>
      <c r="R654" s="54" t="str">
        <f t="shared" si="88"/>
        <v/>
      </c>
      <c r="S654" s="53" t="str">
        <f t="shared" si="89"/>
        <v/>
      </c>
    </row>
    <row r="655" spans="10:19" x14ac:dyDescent="0.15">
      <c r="J655" s="38">
        <v>646</v>
      </c>
      <c r="K655" s="40"/>
      <c r="L655" s="34">
        <f t="shared" si="83"/>
        <v>8.0972483655378604E-4</v>
      </c>
      <c r="M655" s="35">
        <f t="shared" si="84"/>
        <v>3.2588343243239329E-7</v>
      </c>
      <c r="N655" s="44">
        <f t="shared" si="82"/>
        <v>1.4748536646045718E-5</v>
      </c>
      <c r="O655" s="45" t="e">
        <f t="shared" si="85"/>
        <v>#VALUE!</v>
      </c>
      <c r="P655" s="52" t="str">
        <f t="shared" si="86"/>
        <v/>
      </c>
      <c r="Q655" s="53" t="str">
        <f t="shared" si="87"/>
        <v/>
      </c>
      <c r="R655" s="54" t="str">
        <f t="shared" si="88"/>
        <v/>
      </c>
      <c r="S655" s="53" t="str">
        <f t="shared" si="89"/>
        <v/>
      </c>
    </row>
    <row r="656" spans="10:19" x14ac:dyDescent="0.15">
      <c r="J656" s="38">
        <v>647</v>
      </c>
      <c r="K656" s="40"/>
      <c r="L656" s="34">
        <f t="shared" si="83"/>
        <v>8.1005006356235296E-4</v>
      </c>
      <c r="M656" s="35">
        <f t="shared" si="84"/>
        <v>3.2457141177111824E-7</v>
      </c>
      <c r="N656" s="44">
        <f t="shared" si="82"/>
        <v>1.4688655459079271E-5</v>
      </c>
      <c r="O656" s="45" t="e">
        <f t="shared" si="85"/>
        <v>#VALUE!</v>
      </c>
      <c r="P656" s="52" t="str">
        <f t="shared" si="86"/>
        <v/>
      </c>
      <c r="Q656" s="53" t="str">
        <f t="shared" si="87"/>
        <v/>
      </c>
      <c r="R656" s="54" t="str">
        <f t="shared" si="88"/>
        <v/>
      </c>
      <c r="S656" s="53" t="str">
        <f t="shared" si="89"/>
        <v/>
      </c>
    </row>
    <row r="657" spans="10:19" x14ac:dyDescent="0.15">
      <c r="J657" s="38">
        <v>648</v>
      </c>
      <c r="K657" s="40"/>
      <c r="L657" s="34">
        <f t="shared" si="83"/>
        <v>8.1037398102730472E-4</v>
      </c>
      <c r="M657" s="35">
        <f t="shared" si="84"/>
        <v>3.2326434104391169E-7</v>
      </c>
      <c r="N657" s="44">
        <f t="shared" si="82"/>
        <v>1.4628993575073273E-5</v>
      </c>
      <c r="O657" s="45" t="e">
        <f t="shared" si="85"/>
        <v>#VALUE!</v>
      </c>
      <c r="P657" s="52" t="str">
        <f t="shared" si="86"/>
        <v/>
      </c>
      <c r="Q657" s="53" t="str">
        <f t="shared" si="87"/>
        <v/>
      </c>
      <c r="R657" s="54" t="str">
        <f t="shared" si="88"/>
        <v/>
      </c>
      <c r="S657" s="53" t="str">
        <f t="shared" si="89"/>
        <v/>
      </c>
    </row>
    <row r="658" spans="10:19" x14ac:dyDescent="0.15">
      <c r="J658" s="38">
        <v>649</v>
      </c>
      <c r="K658" s="40"/>
      <c r="L658" s="34">
        <f t="shared" si="83"/>
        <v>8.1069659388612752E-4</v>
      </c>
      <c r="M658" s="35">
        <f t="shared" si="84"/>
        <v>3.2196219538219209E-7</v>
      </c>
      <c r="N658" s="44">
        <f t="shared" si="82"/>
        <v>1.4569549924132682E-5</v>
      </c>
      <c r="O658" s="45" t="e">
        <f t="shared" si="85"/>
        <v>#VALUE!</v>
      </c>
      <c r="P658" s="52" t="str">
        <f t="shared" si="86"/>
        <v/>
      </c>
      <c r="Q658" s="53" t="str">
        <f t="shared" si="87"/>
        <v/>
      </c>
      <c r="R658" s="54" t="str">
        <f t="shared" si="88"/>
        <v/>
      </c>
      <c r="S658" s="53" t="str">
        <f t="shared" si="89"/>
        <v/>
      </c>
    </row>
    <row r="659" spans="10:19" x14ac:dyDescent="0.15">
      <c r="J659" s="38">
        <v>650</v>
      </c>
      <c r="K659" s="40"/>
      <c r="L659" s="34">
        <f t="shared" si="83"/>
        <v>8.1101790705151824E-4</v>
      </c>
      <c r="M659" s="35">
        <f t="shared" si="84"/>
        <v>3.2066495007335721E-7</v>
      </c>
      <c r="N659" s="44">
        <f t="shared" si="82"/>
        <v>1.4510323442879381E-5</v>
      </c>
      <c r="O659" s="45" t="e">
        <f t="shared" si="85"/>
        <v>#VALUE!</v>
      </c>
      <c r="P659" s="52" t="str">
        <f t="shared" si="86"/>
        <v/>
      </c>
      <c r="Q659" s="53" t="str">
        <f t="shared" si="87"/>
        <v/>
      </c>
      <c r="R659" s="54" t="str">
        <f t="shared" si="88"/>
        <v/>
      </c>
      <c r="S659" s="53" t="str">
        <f t="shared" si="89"/>
        <v/>
      </c>
    </row>
    <row r="660" spans="10:19" x14ac:dyDescent="0.15">
      <c r="J660" s="38">
        <v>651</v>
      </c>
      <c r="K660" s="40"/>
      <c r="L660" s="34">
        <f t="shared" si="83"/>
        <v>8.1133792541153752E-4</v>
      </c>
      <c r="M660" s="35">
        <f t="shared" si="84"/>
        <v>3.1937258055961203E-7</v>
      </c>
      <c r="N660" s="44">
        <f t="shared" si="82"/>
        <v>1.4451313074407938E-5</v>
      </c>
      <c r="O660" s="45" t="e">
        <f t="shared" si="85"/>
        <v>#VALUE!</v>
      </c>
      <c r="P660" s="52" t="str">
        <f t="shared" si="86"/>
        <v/>
      </c>
      <c r="Q660" s="53" t="str">
        <f t="shared" si="87"/>
        <v/>
      </c>
      <c r="R660" s="54" t="str">
        <f t="shared" si="88"/>
        <v/>
      </c>
      <c r="S660" s="53" t="str">
        <f t="shared" si="89"/>
        <v/>
      </c>
    </row>
    <row r="661" spans="10:19" x14ac:dyDescent="0.15">
      <c r="J661" s="38">
        <v>652</v>
      </c>
      <c r="K661" s="40"/>
      <c r="L661" s="34">
        <f t="shared" si="83"/>
        <v>8.1165665382976605E-4</v>
      </c>
      <c r="M661" s="35">
        <f t="shared" si="84"/>
        <v>3.1808506243680615E-7</v>
      </c>
      <c r="N661" s="44">
        <f t="shared" si="82"/>
        <v>1.4392517768235412E-5</v>
      </c>
      <c r="O661" s="45" t="e">
        <f t="shared" si="85"/>
        <v>#VALUE!</v>
      </c>
      <c r="P661" s="52" t="str">
        <f t="shared" si="86"/>
        <v/>
      </c>
      <c r="Q661" s="53" t="str">
        <f t="shared" si="87"/>
        <v/>
      </c>
      <c r="R661" s="54" t="str">
        <f t="shared" si="88"/>
        <v/>
      </c>
      <c r="S661" s="53" t="str">
        <f t="shared" si="89"/>
        <v/>
      </c>
    </row>
    <row r="662" spans="10:19" x14ac:dyDescent="0.15">
      <c r="J662" s="38">
        <v>653</v>
      </c>
      <c r="K662" s="40"/>
      <c r="L662" s="34">
        <f t="shared" si="83"/>
        <v>8.119740971454561E-4</v>
      </c>
      <c r="M662" s="35">
        <f t="shared" si="84"/>
        <v>3.1680237145328169E-7</v>
      </c>
      <c r="N662" s="44">
        <f t="shared" si="82"/>
        <v>1.4333936480256351E-5</v>
      </c>
      <c r="O662" s="45" t="e">
        <f t="shared" si="85"/>
        <v>#VALUE!</v>
      </c>
      <c r="P662" s="52" t="str">
        <f t="shared" si="86"/>
        <v/>
      </c>
      <c r="Q662" s="53" t="str">
        <f t="shared" si="87"/>
        <v/>
      </c>
      <c r="R662" s="54" t="str">
        <f t="shared" si="88"/>
        <v/>
      </c>
      <c r="S662" s="53" t="str">
        <f t="shared" si="89"/>
        <v/>
      </c>
    </row>
    <row r="663" spans="10:19" x14ac:dyDescent="0.15">
      <c r="J663" s="38">
        <v>654</v>
      </c>
      <c r="K663" s="40"/>
      <c r="L663" s="34">
        <f t="shared" si="83"/>
        <v>8.1229026017368394E-4</v>
      </c>
      <c r="M663" s="35">
        <f t="shared" si="84"/>
        <v>3.1552448350873145E-7</v>
      </c>
      <c r="N663" s="44">
        <f t="shared" si="82"/>
        <v>1.4275568172696508E-5</v>
      </c>
      <c r="O663" s="45" t="e">
        <f t="shared" si="85"/>
        <v>#VALUE!</v>
      </c>
      <c r="P663" s="52" t="str">
        <f t="shared" si="86"/>
        <v/>
      </c>
      <c r="Q663" s="53" t="str">
        <f t="shared" si="87"/>
        <v/>
      </c>
      <c r="R663" s="54" t="str">
        <f t="shared" si="88"/>
        <v/>
      </c>
      <c r="S663" s="53" t="str">
        <f t="shared" si="89"/>
        <v/>
      </c>
    </row>
    <row r="664" spans="10:19" x14ac:dyDescent="0.15">
      <c r="J664" s="38">
        <v>655</v>
      </c>
      <c r="K664" s="40"/>
      <c r="L664" s="34">
        <f t="shared" si="83"/>
        <v>8.1260514770550147E-4</v>
      </c>
      <c r="M664" s="35">
        <f t="shared" si="84"/>
        <v>3.1425137465306675E-7</v>
      </c>
      <c r="N664" s="44">
        <f t="shared" si="82"/>
        <v>1.4217411814064474E-5</v>
      </c>
      <c r="O664" s="45" t="e">
        <f t="shared" si="85"/>
        <v>#VALUE!</v>
      </c>
      <c r="P664" s="52" t="str">
        <f t="shared" si="86"/>
        <v/>
      </c>
      <c r="Q664" s="53" t="str">
        <f t="shared" si="87"/>
        <v/>
      </c>
      <c r="R664" s="54" t="str">
        <f t="shared" si="88"/>
        <v/>
      </c>
      <c r="S664" s="53" t="str">
        <f t="shared" si="89"/>
        <v/>
      </c>
    </row>
    <row r="665" spans="10:19" x14ac:dyDescent="0.15">
      <c r="J665" s="38">
        <v>656</v>
      </c>
      <c r="K665" s="40"/>
      <c r="L665" s="34">
        <f t="shared" si="83"/>
        <v>8.1291876450808437E-4</v>
      </c>
      <c r="M665" s="35">
        <f t="shared" si="84"/>
        <v>3.1298302108529536E-7</v>
      </c>
      <c r="N665" s="44">
        <f t="shared" si="82"/>
        <v>1.4159466379108968E-5</v>
      </c>
      <c r="O665" s="45" t="e">
        <f t="shared" si="85"/>
        <v>#VALUE!</v>
      </c>
      <c r="P665" s="52" t="str">
        <f t="shared" si="86"/>
        <v/>
      </c>
      <c r="Q665" s="53" t="str">
        <f t="shared" si="87"/>
        <v/>
      </c>
      <c r="R665" s="54" t="str">
        <f t="shared" si="88"/>
        <v/>
      </c>
      <c r="S665" s="53" t="str">
        <f t="shared" si="89"/>
        <v/>
      </c>
    </row>
    <row r="666" spans="10:19" x14ac:dyDescent="0.15">
      <c r="J666" s="38">
        <v>657</v>
      </c>
      <c r="K666" s="40"/>
      <c r="L666" s="34">
        <f t="shared" si="83"/>
        <v>8.13231115324882E-4</v>
      </c>
      <c r="M666" s="35">
        <f t="shared" si="84"/>
        <v>3.1171939915240879E-7</v>
      </c>
      <c r="N666" s="44">
        <f t="shared" si="82"/>
        <v>1.4101730848772214E-5</v>
      </c>
      <c r="O666" s="45" t="e">
        <f t="shared" si="85"/>
        <v>#VALUE!</v>
      </c>
      <c r="P666" s="52" t="str">
        <f t="shared" si="86"/>
        <v/>
      </c>
      <c r="Q666" s="53" t="str">
        <f t="shared" si="87"/>
        <v/>
      </c>
      <c r="R666" s="54" t="str">
        <f t="shared" si="88"/>
        <v/>
      </c>
      <c r="S666" s="53" t="str">
        <f t="shared" si="89"/>
        <v/>
      </c>
    </row>
    <row r="667" spans="10:19" x14ac:dyDescent="0.15">
      <c r="J667" s="38">
        <v>658</v>
      </c>
      <c r="K667" s="40"/>
      <c r="L667" s="34">
        <f t="shared" si="83"/>
        <v>8.1354220487576392E-4</v>
      </c>
      <c r="M667" s="35">
        <f t="shared" si="84"/>
        <v>3.1046048534827994E-7</v>
      </c>
      <c r="N667" s="44">
        <f t="shared" si="82"/>
        <v>1.4044204210145054E-5</v>
      </c>
      <c r="O667" s="45" t="e">
        <f t="shared" si="85"/>
        <v>#VALUE!</v>
      </c>
      <c r="P667" s="52" t="str">
        <f t="shared" si="86"/>
        <v/>
      </c>
      <c r="Q667" s="53" t="str">
        <f t="shared" si="87"/>
        <v/>
      </c>
      <c r="R667" s="54" t="str">
        <f t="shared" si="88"/>
        <v/>
      </c>
      <c r="S667" s="53" t="str">
        <f t="shared" si="89"/>
        <v/>
      </c>
    </row>
    <row r="668" spans="10:19" x14ac:dyDescent="0.15">
      <c r="J668" s="38">
        <v>659</v>
      </c>
      <c r="K668" s="40"/>
      <c r="L668" s="34">
        <f t="shared" si="83"/>
        <v>8.138520378571664E-4</v>
      </c>
      <c r="M668" s="35">
        <f t="shared" si="84"/>
        <v>3.0920625631256942E-7</v>
      </c>
      <c r="N668" s="44">
        <f t="shared" si="82"/>
        <v>1.3986885456422496E-5</v>
      </c>
      <c r="O668" s="45" t="e">
        <f t="shared" si="85"/>
        <v>#VALUE!</v>
      </c>
      <c r="P668" s="52" t="str">
        <f t="shared" si="86"/>
        <v/>
      </c>
      <c r="Q668" s="53" t="str">
        <f t="shared" si="87"/>
        <v/>
      </c>
      <c r="R668" s="54" t="str">
        <f t="shared" si="88"/>
        <v/>
      </c>
      <c r="S668" s="53" t="str">
        <f t="shared" si="89"/>
        <v/>
      </c>
    </row>
    <row r="669" spans="10:19" x14ac:dyDescent="0.15">
      <c r="J669" s="38">
        <v>660</v>
      </c>
      <c r="K669" s="40"/>
      <c r="L669" s="34">
        <f t="shared" si="83"/>
        <v>8.1416061894223836E-4</v>
      </c>
      <c r="M669" s="35">
        <f t="shared" si="84"/>
        <v>3.0795668882964285E-7</v>
      </c>
      <c r="N669" s="44">
        <f t="shared" si="82"/>
        <v>1.3929773586859699E-5</v>
      </c>
      <c r="O669" s="45" t="e">
        <f t="shared" si="85"/>
        <v>#VALUE!</v>
      </c>
      <c r="P669" s="52" t="str">
        <f t="shared" si="86"/>
        <v/>
      </c>
      <c r="Q669" s="53" t="str">
        <f t="shared" si="87"/>
        <v/>
      </c>
      <c r="R669" s="54" t="str">
        <f t="shared" si="88"/>
        <v/>
      </c>
      <c r="S669" s="53" t="str">
        <f t="shared" si="89"/>
        <v/>
      </c>
    </row>
    <row r="670" spans="10:19" x14ac:dyDescent="0.15">
      <c r="J670" s="38">
        <v>661</v>
      </c>
      <c r="K670" s="40"/>
      <c r="L670" s="34">
        <f t="shared" si="83"/>
        <v>8.1446795278098446E-4</v>
      </c>
      <c r="M670" s="35">
        <f t="shared" si="84"/>
        <v>3.0671175982749507E-7</v>
      </c>
      <c r="N670" s="44">
        <f t="shared" si="82"/>
        <v>1.3872867606728708E-5</v>
      </c>
      <c r="O670" s="45" t="e">
        <f t="shared" si="85"/>
        <v>#VALUE!</v>
      </c>
      <c r="P670" s="52" t="str">
        <f t="shared" si="86"/>
        <v/>
      </c>
      <c r="Q670" s="53" t="str">
        <f t="shared" si="87"/>
        <v/>
      </c>
      <c r="R670" s="54" t="str">
        <f t="shared" si="88"/>
        <v/>
      </c>
      <c r="S670" s="53" t="str">
        <f t="shared" si="89"/>
        <v/>
      </c>
    </row>
    <row r="671" spans="10:19" x14ac:dyDescent="0.15">
      <c r="J671" s="38">
        <v>662</v>
      </c>
      <c r="K671" s="40"/>
      <c r="L671" s="34">
        <f t="shared" si="83"/>
        <v>8.1477404400040899E-4</v>
      </c>
      <c r="M671" s="35">
        <f t="shared" si="84"/>
        <v>3.0547144637668651E-7</v>
      </c>
      <c r="N671" s="44">
        <f t="shared" si="82"/>
        <v>1.3816166527274437E-5</v>
      </c>
      <c r="O671" s="45" t="e">
        <f t="shared" si="85"/>
        <v>#VALUE!</v>
      </c>
      <c r="P671" s="52" t="str">
        <f t="shared" si="86"/>
        <v/>
      </c>
      <c r="Q671" s="53" t="str">
        <f t="shared" si="87"/>
        <v/>
      </c>
      <c r="R671" s="54" t="str">
        <f t="shared" si="88"/>
        <v/>
      </c>
      <c r="S671" s="53" t="str">
        <f t="shared" si="89"/>
        <v/>
      </c>
    </row>
    <row r="672" spans="10:19" x14ac:dyDescent="0.15">
      <c r="J672" s="38">
        <v>663</v>
      </c>
      <c r="K672" s="40"/>
      <c r="L672" s="34">
        <f t="shared" si="83"/>
        <v>8.1507889720465736E-4</v>
      </c>
      <c r="M672" s="35">
        <f t="shared" si="84"/>
        <v>3.0423572568928644E-7</v>
      </c>
      <c r="N672" s="44">
        <f t="shared" si="82"/>
        <v>1.3759669365671955E-5</v>
      </c>
      <c r="O672" s="45" t="e">
        <f t="shared" si="85"/>
        <v>#VALUE!</v>
      </c>
      <c r="P672" s="52" t="str">
        <f t="shared" si="86"/>
        <v/>
      </c>
      <c r="Q672" s="53" t="str">
        <f t="shared" si="87"/>
        <v/>
      </c>
      <c r="R672" s="54" t="str">
        <f t="shared" si="88"/>
        <v/>
      </c>
      <c r="S672" s="53" t="str">
        <f t="shared" si="89"/>
        <v/>
      </c>
    </row>
    <row r="673" spans="10:19" x14ac:dyDescent="0.15">
      <c r="J673" s="38">
        <v>664</v>
      </c>
      <c r="K673" s="40"/>
      <c r="L673" s="34">
        <f t="shared" si="83"/>
        <v>8.153825169751578E-4</v>
      </c>
      <c r="M673" s="35">
        <f t="shared" si="84"/>
        <v>3.0300457511782691E-7</v>
      </c>
      <c r="N673" s="44">
        <f t="shared" si="82"/>
        <v>1.3703375144983438E-5</v>
      </c>
      <c r="O673" s="45" t="e">
        <f t="shared" si="85"/>
        <v>#VALUE!</v>
      </c>
      <c r="P673" s="52" t="str">
        <f t="shared" si="86"/>
        <v/>
      </c>
      <c r="Q673" s="53" t="str">
        <f t="shared" si="87"/>
        <v/>
      </c>
      <c r="R673" s="54" t="str">
        <f t="shared" si="88"/>
        <v/>
      </c>
      <c r="S673" s="53" t="str">
        <f t="shared" si="89"/>
        <v/>
      </c>
    </row>
    <row r="674" spans="10:19" x14ac:dyDescent="0.15">
      <c r="J674" s="38">
        <v>665</v>
      </c>
      <c r="K674" s="40"/>
      <c r="L674" s="34">
        <f t="shared" si="83"/>
        <v>8.1568490787076067E-4</v>
      </c>
      <c r="M674" s="35">
        <f t="shared" si="84"/>
        <v>3.0177797215426476E-7</v>
      </c>
      <c r="N674" s="44">
        <f t="shared" si="82"/>
        <v>1.3647282894116647E-5</v>
      </c>
      <c r="O674" s="45" t="e">
        <f t="shared" si="85"/>
        <v>#VALUE!</v>
      </c>
      <c r="P674" s="52" t="str">
        <f t="shared" si="86"/>
        <v/>
      </c>
      <c r="Q674" s="53" t="str">
        <f t="shared" si="87"/>
        <v/>
      </c>
      <c r="R674" s="54" t="str">
        <f t="shared" si="88"/>
        <v/>
      </c>
      <c r="S674" s="53" t="str">
        <f t="shared" si="89"/>
        <v/>
      </c>
    </row>
    <row r="675" spans="10:19" x14ac:dyDescent="0.15">
      <c r="J675" s="38">
        <v>666</v>
      </c>
      <c r="K675" s="40"/>
      <c r="L675" s="34">
        <f t="shared" si="83"/>
        <v>8.159860744278777E-4</v>
      </c>
      <c r="M675" s="35">
        <f t="shared" si="84"/>
        <v>3.005558944289528E-7</v>
      </c>
      <c r="N675" s="44">
        <f t="shared" si="82"/>
        <v>1.3591391647782103E-5</v>
      </c>
      <c r="O675" s="45" t="e">
        <f t="shared" si="85"/>
        <v>#VALUE!</v>
      </c>
      <c r="P675" s="52" t="str">
        <f t="shared" si="86"/>
        <v/>
      </c>
      <c r="Q675" s="53" t="str">
        <f t="shared" si="87"/>
        <v/>
      </c>
      <c r="R675" s="54" t="str">
        <f t="shared" si="88"/>
        <v/>
      </c>
      <c r="S675" s="53" t="str">
        <f t="shared" si="89"/>
        <v/>
      </c>
    </row>
    <row r="676" spans="10:19" x14ac:dyDescent="0.15">
      <c r="J676" s="38">
        <v>667</v>
      </c>
      <c r="K676" s="40"/>
      <c r="L676" s="34">
        <f t="shared" si="83"/>
        <v>8.1628602116061921E-4</v>
      </c>
      <c r="M676" s="35">
        <f t="shared" si="84"/>
        <v>2.9933831970962009E-7</v>
      </c>
      <c r="N676" s="44">
        <f t="shared" si="82"/>
        <v>1.3535700446453075E-5</v>
      </c>
      <c r="O676" s="45" t="e">
        <f t="shared" si="85"/>
        <v>#VALUE!</v>
      </c>
      <c r="P676" s="52" t="str">
        <f t="shared" si="86"/>
        <v/>
      </c>
      <c r="Q676" s="53" t="str">
        <f t="shared" si="87"/>
        <v/>
      </c>
      <c r="R676" s="54" t="str">
        <f t="shared" si="88"/>
        <v/>
      </c>
      <c r="S676" s="53" t="str">
        <f t="shared" si="89"/>
        <v/>
      </c>
    </row>
    <row r="677" spans="10:19" x14ac:dyDescent="0.15">
      <c r="J677" s="38">
        <v>668</v>
      </c>
      <c r="K677" s="40"/>
      <c r="L677" s="34">
        <f t="shared" si="83"/>
        <v>8.1658475256093195E-4</v>
      </c>
      <c r="M677" s="35">
        <f t="shared" si="84"/>
        <v>2.9812522590036063E-7</v>
      </c>
      <c r="N677" s="44">
        <f t="shared" si="82"/>
        <v>1.3480208336322003E-5</v>
      </c>
      <c r="O677" s="45" t="e">
        <f t="shared" si="85"/>
        <v>#VALUE!</v>
      </c>
      <c r="P677" s="52" t="str">
        <f t="shared" si="86"/>
        <v/>
      </c>
      <c r="Q677" s="53" t="str">
        <f t="shared" si="87"/>
        <v/>
      </c>
      <c r="R677" s="54" t="str">
        <f t="shared" si="88"/>
        <v/>
      </c>
      <c r="S677" s="53" t="str">
        <f t="shared" si="89"/>
        <v/>
      </c>
    </row>
    <row r="678" spans="10:19" x14ac:dyDescent="0.15">
      <c r="J678" s="38">
        <v>669</v>
      </c>
      <c r="K678" s="40"/>
      <c r="L678" s="34">
        <f t="shared" si="83"/>
        <v>8.1688227309873482E-4</v>
      </c>
      <c r="M678" s="35">
        <f t="shared" si="84"/>
        <v>2.9691659104063123E-7</v>
      </c>
      <c r="N678" s="44">
        <f t="shared" si="82"/>
        <v>1.3424914369261566E-5</v>
      </c>
      <c r="O678" s="45" t="e">
        <f t="shared" si="85"/>
        <v>#VALUE!</v>
      </c>
      <c r="P678" s="52" t="str">
        <f t="shared" si="86"/>
        <v/>
      </c>
      <c r="Q678" s="53" t="str">
        <f t="shared" si="87"/>
        <v/>
      </c>
      <c r="R678" s="54" t="str">
        <f t="shared" si="88"/>
        <v/>
      </c>
      <c r="S678" s="53" t="str">
        <f t="shared" si="89"/>
        <v/>
      </c>
    </row>
    <row r="679" spans="10:19" x14ac:dyDescent="0.15">
      <c r="J679" s="38">
        <v>670</v>
      </c>
      <c r="K679" s="40"/>
      <c r="L679" s="34">
        <f t="shared" si="83"/>
        <v>8.1717858722205299E-4</v>
      </c>
      <c r="M679" s="35">
        <f t="shared" si="84"/>
        <v>2.9571239330425735E-7</v>
      </c>
      <c r="N679" s="44">
        <f t="shared" si="82"/>
        <v>1.336981760278284E-5</v>
      </c>
      <c r="O679" s="45" t="e">
        <f t="shared" si="85"/>
        <v>#VALUE!</v>
      </c>
      <c r="P679" s="52" t="str">
        <f t="shared" si="86"/>
        <v/>
      </c>
      <c r="Q679" s="53" t="str">
        <f t="shared" si="87"/>
        <v/>
      </c>
      <c r="R679" s="54" t="str">
        <f t="shared" si="88"/>
        <v/>
      </c>
      <c r="S679" s="53" t="str">
        <f t="shared" si="89"/>
        <v/>
      </c>
    </row>
    <row r="680" spans="10:19" x14ac:dyDescent="0.15">
      <c r="J680" s="38">
        <v>671</v>
      </c>
      <c r="K680" s="40"/>
      <c r="L680" s="34">
        <f t="shared" si="83"/>
        <v>8.1747369935715214E-4</v>
      </c>
      <c r="M680" s="35">
        <f t="shared" si="84"/>
        <v>2.945126109984475E-7</v>
      </c>
      <c r="N680" s="44">
        <f t="shared" si="82"/>
        <v>1.3314917099996586E-5</v>
      </c>
      <c r="O680" s="45" t="e">
        <f t="shared" si="85"/>
        <v>#VALUE!</v>
      </c>
      <c r="P680" s="52" t="str">
        <f t="shared" si="86"/>
        <v/>
      </c>
      <c r="Q680" s="53" t="str">
        <f t="shared" si="87"/>
        <v/>
      </c>
      <c r="R680" s="54" t="str">
        <f t="shared" si="88"/>
        <v/>
      </c>
      <c r="S680" s="53" t="str">
        <f t="shared" si="89"/>
        <v/>
      </c>
    </row>
    <row r="681" spans="10:19" x14ac:dyDescent="0.15">
      <c r="J681" s="38">
        <v>672</v>
      </c>
      <c r="K681" s="40"/>
      <c r="L681" s="34">
        <f t="shared" si="83"/>
        <v>8.177676139086719E-4</v>
      </c>
      <c r="M681" s="35">
        <f t="shared" si="84"/>
        <v>2.9331722256281688E-7</v>
      </c>
      <c r="N681" s="44">
        <f t="shared" si="82"/>
        <v>1.3260211929572055E-5</v>
      </c>
      <c r="O681" s="45" t="e">
        <f t="shared" si="85"/>
        <v>#VALUE!</v>
      </c>
      <c r="P681" s="52" t="str">
        <f t="shared" si="86"/>
        <v/>
      </c>
      <c r="Q681" s="53" t="str">
        <f t="shared" si="87"/>
        <v/>
      </c>
      <c r="R681" s="54" t="str">
        <f t="shared" si="88"/>
        <v/>
      </c>
      <c r="S681" s="53" t="str">
        <f t="shared" si="89"/>
        <v/>
      </c>
    </row>
    <row r="682" spans="10:19" x14ac:dyDescent="0.15">
      <c r="J682" s="38">
        <v>673</v>
      </c>
      <c r="K682" s="40"/>
      <c r="L682" s="34">
        <f t="shared" si="83"/>
        <v>8.1806033525975671E-4</v>
      </c>
      <c r="M682" s="35">
        <f t="shared" si="84"/>
        <v>2.9212620656841825E-7</v>
      </c>
      <c r="N682" s="44">
        <f t="shared" si="82"/>
        <v>1.3205701165697626E-5</v>
      </c>
      <c r="O682" s="45" t="e">
        <f t="shared" si="85"/>
        <v>#VALUE!</v>
      </c>
      <c r="P682" s="52" t="str">
        <f t="shared" si="86"/>
        <v/>
      </c>
      <c r="Q682" s="53" t="str">
        <f t="shared" si="87"/>
        <v/>
      </c>
      <c r="R682" s="54" t="str">
        <f t="shared" si="88"/>
        <v/>
      </c>
      <c r="S682" s="53" t="str">
        <f t="shared" si="89"/>
        <v/>
      </c>
    </row>
    <row r="683" spans="10:19" x14ac:dyDescent="0.15">
      <c r="J683" s="38">
        <v>674</v>
      </c>
      <c r="K683" s="40"/>
      <c r="L683" s="34">
        <f t="shared" si="83"/>
        <v>8.1835186777218813E-4</v>
      </c>
      <c r="M683" s="35">
        <f t="shared" si="84"/>
        <v>2.9093954171678174E-7</v>
      </c>
      <c r="N683" s="44">
        <f t="shared" si="82"/>
        <v>1.3151383888041672E-5</v>
      </c>
      <c r="O683" s="45" t="e">
        <f t="shared" si="85"/>
        <v>#VALUE!</v>
      </c>
      <c r="P683" s="52" t="str">
        <f t="shared" si="86"/>
        <v/>
      </c>
      <c r="Q683" s="53" t="str">
        <f t="shared" si="87"/>
        <v/>
      </c>
      <c r="R683" s="54" t="str">
        <f t="shared" si="88"/>
        <v/>
      </c>
      <c r="S683" s="53" t="str">
        <f t="shared" si="89"/>
        <v/>
      </c>
    </row>
    <row r="684" spans="10:19" x14ac:dyDescent="0.15">
      <c r="J684" s="38">
        <v>675</v>
      </c>
      <c r="K684" s="40"/>
      <c r="L684" s="34">
        <f t="shared" si="83"/>
        <v>8.1864221578651351E-4</v>
      </c>
      <c r="M684" s="35">
        <f t="shared" si="84"/>
        <v>2.8975720683896289E-7</v>
      </c>
      <c r="N684" s="44">
        <f t="shared" si="82"/>
        <v>1.3097259181714827E-5</v>
      </c>
      <c r="O684" s="45" t="e">
        <f t="shared" si="85"/>
        <v>#VALUE!</v>
      </c>
      <c r="P684" s="52" t="str">
        <f t="shared" si="86"/>
        <v/>
      </c>
      <c r="Q684" s="53" t="str">
        <f t="shared" si="87"/>
        <v/>
      </c>
      <c r="R684" s="54" t="str">
        <f t="shared" si="88"/>
        <v/>
      </c>
      <c r="S684" s="53" t="str">
        <f t="shared" si="89"/>
        <v/>
      </c>
    </row>
    <row r="685" spans="10:19" x14ac:dyDescent="0.15">
      <c r="J685" s="38">
        <v>676</v>
      </c>
      <c r="K685" s="40"/>
      <c r="L685" s="34">
        <f t="shared" si="83"/>
        <v>8.1893138362217587E-4</v>
      </c>
      <c r="M685" s="35">
        <f t="shared" si="84"/>
        <v>2.8857918089459808E-7</v>
      </c>
      <c r="N685" s="44">
        <f t="shared" si="82"/>
        <v>1.3043326137229328E-5</v>
      </c>
      <c r="O685" s="45" t="e">
        <f t="shared" si="85"/>
        <v>#VALUE!</v>
      </c>
      <c r="P685" s="52" t="str">
        <f t="shared" si="86"/>
        <v/>
      </c>
      <c r="Q685" s="53" t="str">
        <f t="shared" si="87"/>
        <v/>
      </c>
      <c r="R685" s="54" t="str">
        <f t="shared" si="88"/>
        <v/>
      </c>
      <c r="S685" s="53" t="str">
        <f t="shared" si="89"/>
        <v/>
      </c>
    </row>
    <row r="686" spans="10:19" x14ac:dyDescent="0.15">
      <c r="J686" s="38">
        <v>677</v>
      </c>
      <c r="K686" s="40"/>
      <c r="L686" s="34">
        <f t="shared" si="83"/>
        <v>8.1921937557764152E-4</v>
      </c>
      <c r="M686" s="35">
        <f t="shared" si="84"/>
        <v>2.8740544297096873E-7</v>
      </c>
      <c r="N686" s="44">
        <f t="shared" si="82"/>
        <v>1.2989583850462586E-5</v>
      </c>
      <c r="O686" s="45" t="e">
        <f t="shared" si="85"/>
        <v>#VALUE!</v>
      </c>
      <c r="P686" s="52" t="str">
        <f t="shared" si="86"/>
        <v/>
      </c>
      <c r="Q686" s="53" t="str">
        <f t="shared" si="87"/>
        <v/>
      </c>
      <c r="R686" s="54" t="str">
        <f t="shared" si="88"/>
        <v/>
      </c>
      <c r="S686" s="53" t="str">
        <f t="shared" si="89"/>
        <v/>
      </c>
    </row>
    <row r="687" spans="10:19" x14ac:dyDescent="0.15">
      <c r="J687" s="38">
        <v>678</v>
      </c>
      <c r="K687" s="40"/>
      <c r="L687" s="34">
        <f t="shared" si="83"/>
        <v>8.1950619593052789E-4</v>
      </c>
      <c r="M687" s="35">
        <f t="shared" si="84"/>
        <v>2.862359722820732E-7</v>
      </c>
      <c r="N687" s="44">
        <f t="shared" si="82"/>
        <v>1.2936031422617939E-5</v>
      </c>
      <c r="O687" s="45" t="e">
        <f t="shared" si="85"/>
        <v>#VALUE!</v>
      </c>
      <c r="P687" s="52" t="str">
        <f t="shared" si="86"/>
        <v/>
      </c>
      <c r="Q687" s="53" t="str">
        <f t="shared" si="87"/>
        <v/>
      </c>
      <c r="R687" s="54" t="str">
        <f t="shared" si="88"/>
        <v/>
      </c>
      <c r="S687" s="53" t="str">
        <f t="shared" si="89"/>
        <v/>
      </c>
    </row>
    <row r="688" spans="10:19" x14ac:dyDescent="0.15">
      <c r="J688" s="38">
        <v>679</v>
      </c>
      <c r="K688" s="40"/>
      <c r="L688" s="34">
        <f t="shared" si="83"/>
        <v>8.1979184893772909E-4</v>
      </c>
      <c r="M688" s="35">
        <f t="shared" si="84"/>
        <v>2.8507074816770682E-7</v>
      </c>
      <c r="N688" s="44">
        <f t="shared" si="82"/>
        <v>1.2882667960187897E-5</v>
      </c>
      <c r="O688" s="45" t="e">
        <f t="shared" si="85"/>
        <v>#VALUE!</v>
      </c>
      <c r="P688" s="52" t="str">
        <f t="shared" si="86"/>
        <v/>
      </c>
      <c r="Q688" s="53" t="str">
        <f t="shared" si="87"/>
        <v/>
      </c>
      <c r="R688" s="54" t="str">
        <f t="shared" si="88"/>
        <v/>
      </c>
      <c r="S688" s="53" t="str">
        <f t="shared" si="89"/>
        <v/>
      </c>
    </row>
    <row r="689" spans="10:19" x14ac:dyDescent="0.15">
      <c r="J689" s="38">
        <v>680</v>
      </c>
      <c r="K689" s="40"/>
      <c r="L689" s="34">
        <f t="shared" si="83"/>
        <v>8.2007633883554175E-4</v>
      </c>
      <c r="M689" s="35">
        <f t="shared" si="84"/>
        <v>2.8390975009254846E-7</v>
      </c>
      <c r="N689" s="44">
        <f t="shared" si="82"/>
        <v>1.2829492574916736E-5</v>
      </c>
      <c r="O689" s="45" t="e">
        <f t="shared" si="85"/>
        <v>#VALUE!</v>
      </c>
      <c r="P689" s="52" t="str">
        <f t="shared" si="86"/>
        <v/>
      </c>
      <c r="Q689" s="53" t="str">
        <f t="shared" si="87"/>
        <v/>
      </c>
      <c r="R689" s="54" t="str">
        <f t="shared" si="88"/>
        <v/>
      </c>
      <c r="S689" s="53" t="str">
        <f t="shared" si="89"/>
        <v/>
      </c>
    </row>
    <row r="690" spans="10:19" x14ac:dyDescent="0.15">
      <c r="J690" s="38">
        <v>681</v>
      </c>
      <c r="K690" s="40"/>
      <c r="L690" s="34">
        <f t="shared" si="83"/>
        <v>8.2035966983978878E-4</v>
      </c>
      <c r="M690" s="35">
        <f t="shared" si="84"/>
        <v>2.8275295764525683E-7</v>
      </c>
      <c r="N690" s="44">
        <f t="shared" si="82"/>
        <v>1.2776504383762988E-5</v>
      </c>
      <c r="O690" s="45" t="e">
        <f t="shared" si="85"/>
        <v>#VALUE!</v>
      </c>
      <c r="P690" s="52" t="str">
        <f t="shared" si="86"/>
        <v/>
      </c>
      <c r="Q690" s="53" t="str">
        <f t="shared" si="87"/>
        <v/>
      </c>
      <c r="R690" s="54" t="str">
        <f t="shared" si="88"/>
        <v/>
      </c>
      <c r="S690" s="53" t="str">
        <f t="shared" si="89"/>
        <v/>
      </c>
    </row>
    <row r="691" spans="10:19" x14ac:dyDescent="0.15">
      <c r="J691" s="38">
        <v>682</v>
      </c>
      <c r="K691" s="40"/>
      <c r="L691" s="34">
        <f t="shared" si="83"/>
        <v>8.206418461459441E-4</v>
      </c>
      <c r="M691" s="35">
        <f t="shared" si="84"/>
        <v>2.8160035053757262E-7</v>
      </c>
      <c r="N691" s="44">
        <f t="shared" si="82"/>
        <v>1.2723702508862897E-5</v>
      </c>
      <c r="O691" s="45" t="e">
        <f t="shared" si="85"/>
        <v>#VALUE!</v>
      </c>
      <c r="P691" s="52" t="str">
        <f t="shared" si="86"/>
        <v/>
      </c>
      <c r="Q691" s="53" t="str">
        <f t="shared" si="87"/>
        <v/>
      </c>
      <c r="R691" s="54" t="str">
        <f t="shared" si="88"/>
        <v/>
      </c>
      <c r="S691" s="53" t="str">
        <f t="shared" si="89"/>
        <v/>
      </c>
    </row>
    <row r="692" spans="10:19" x14ac:dyDescent="0.15">
      <c r="J692" s="38">
        <v>683</v>
      </c>
      <c r="K692" s="40"/>
      <c r="L692" s="34">
        <f t="shared" si="83"/>
        <v>8.209228719292537E-4</v>
      </c>
      <c r="M692" s="35">
        <f t="shared" si="84"/>
        <v>2.8045190860342954E-7</v>
      </c>
      <c r="N692" s="44">
        <f t="shared" si="82"/>
        <v>1.2671086077495081E-5</v>
      </c>
      <c r="O692" s="45" t="e">
        <f t="shared" si="85"/>
        <v>#VALUE!</v>
      </c>
      <c r="P692" s="52" t="str">
        <f t="shared" si="86"/>
        <v/>
      </c>
      <c r="Q692" s="53" t="str">
        <f t="shared" si="87"/>
        <v/>
      </c>
      <c r="R692" s="54" t="str">
        <f t="shared" si="88"/>
        <v/>
      </c>
      <c r="S692" s="53" t="str">
        <f t="shared" si="89"/>
        <v/>
      </c>
    </row>
    <row r="693" spans="10:19" x14ac:dyDescent="0.15">
      <c r="J693" s="38">
        <v>684</v>
      </c>
      <c r="K693" s="40"/>
      <c r="L693" s="34">
        <f t="shared" si="83"/>
        <v>8.2120275134485909E-4</v>
      </c>
      <c r="M693" s="35">
        <f t="shared" si="84"/>
        <v>2.7930761179807153E-7</v>
      </c>
      <c r="N693" s="44">
        <f t="shared" si="82"/>
        <v>1.2618654222042039E-5</v>
      </c>
      <c r="O693" s="45" t="e">
        <f t="shared" si="85"/>
        <v>#VALUE!</v>
      </c>
      <c r="P693" s="52" t="str">
        <f t="shared" si="86"/>
        <v/>
      </c>
      <c r="Q693" s="53" t="str">
        <f t="shared" si="87"/>
        <v/>
      </c>
      <c r="R693" s="54" t="str">
        <f t="shared" si="88"/>
        <v/>
      </c>
      <c r="S693" s="53" t="str">
        <f t="shared" si="89"/>
        <v/>
      </c>
    </row>
    <row r="694" spans="10:19" x14ac:dyDescent="0.15">
      <c r="J694" s="38">
        <v>685</v>
      </c>
      <c r="K694" s="40"/>
      <c r="L694" s="34">
        <f t="shared" si="83"/>
        <v>8.2148148852791668E-4</v>
      </c>
      <c r="M694" s="35">
        <f t="shared" si="84"/>
        <v>2.7816744019717883E-7</v>
      </c>
      <c r="N694" s="44">
        <f t="shared" si="82"/>
        <v>1.2566406079956975E-5</v>
      </c>
      <c r="O694" s="45" t="e">
        <f t="shared" si="85"/>
        <v>#VALUE!</v>
      </c>
      <c r="P694" s="52" t="str">
        <f t="shared" si="86"/>
        <v/>
      </c>
      <c r="Q694" s="53" t="str">
        <f t="shared" si="87"/>
        <v/>
      </c>
      <c r="R694" s="54" t="str">
        <f t="shared" si="88"/>
        <v/>
      </c>
      <c r="S694" s="53" t="str">
        <f t="shared" si="89"/>
        <v/>
      </c>
    </row>
    <row r="695" spans="10:19" x14ac:dyDescent="0.15">
      <c r="J695" s="38">
        <v>686</v>
      </c>
      <c r="K695" s="40"/>
      <c r="L695" s="34">
        <f t="shared" si="83"/>
        <v>8.2175908759371866E-4</v>
      </c>
      <c r="M695" s="35">
        <f t="shared" si="84"/>
        <v>2.7703137399600015E-7</v>
      </c>
      <c r="N695" s="44">
        <f t="shared" si="82"/>
        <v>1.2514340793726934E-5</v>
      </c>
      <c r="O695" s="45" t="e">
        <f t="shared" si="85"/>
        <v>#VALUE!</v>
      </c>
      <c r="P695" s="52" t="str">
        <f t="shared" si="86"/>
        <v/>
      </c>
      <c r="Q695" s="53" t="str">
        <f t="shared" si="87"/>
        <v/>
      </c>
      <c r="R695" s="54" t="str">
        <f t="shared" si="88"/>
        <v/>
      </c>
      <c r="S695" s="53" t="str">
        <f t="shared" si="89"/>
        <v/>
      </c>
    </row>
    <row r="696" spans="10:19" x14ac:dyDescent="0.15">
      <c r="J696" s="38">
        <v>687</v>
      </c>
      <c r="K696" s="40"/>
      <c r="L696" s="34">
        <f t="shared" si="83"/>
        <v>8.2203555263781196E-4</v>
      </c>
      <c r="M696" s="35">
        <f t="shared" si="84"/>
        <v>2.7589939350849288E-7</v>
      </c>
      <c r="N696" s="44">
        <f t="shared" si="82"/>
        <v>1.2462457510837134E-5</v>
      </c>
      <c r="O696" s="45" t="e">
        <f t="shared" si="85"/>
        <v>#VALUE!</v>
      </c>
      <c r="P696" s="52" t="str">
        <f t="shared" si="86"/>
        <v/>
      </c>
      <c r="Q696" s="53" t="str">
        <f t="shared" si="87"/>
        <v/>
      </c>
      <c r="R696" s="54" t="str">
        <f t="shared" si="88"/>
        <v/>
      </c>
      <c r="S696" s="53" t="str">
        <f t="shared" si="89"/>
        <v/>
      </c>
    </row>
    <row r="697" spans="10:19" x14ac:dyDescent="0.15">
      <c r="J697" s="38">
        <v>688</v>
      </c>
      <c r="K697" s="40"/>
      <c r="L697" s="34">
        <f t="shared" si="83"/>
        <v>8.223108877361162E-4</v>
      </c>
      <c r="M697" s="35">
        <f t="shared" si="84"/>
        <v>2.7477147916647033E-7</v>
      </c>
      <c r="N697" s="44">
        <f t="shared" si="82"/>
        <v>1.2410755383737682E-5</v>
      </c>
      <c r="O697" s="45" t="e">
        <f t="shared" si="85"/>
        <v>#VALUE!</v>
      </c>
      <c r="P697" s="52" t="str">
        <f t="shared" si="86"/>
        <v/>
      </c>
      <c r="Q697" s="53" t="str">
        <f t="shared" si="87"/>
        <v/>
      </c>
      <c r="R697" s="54" t="str">
        <f t="shared" si="88"/>
        <v/>
      </c>
      <c r="S697" s="53" t="str">
        <f t="shared" si="89"/>
        <v/>
      </c>
    </row>
    <row r="698" spans="10:19" x14ac:dyDescent="0.15">
      <c r="J698" s="38">
        <v>689</v>
      </c>
      <c r="K698" s="40"/>
      <c r="L698" s="34">
        <f t="shared" si="83"/>
        <v>8.2258509694504165E-4</v>
      </c>
      <c r="M698" s="35">
        <f t="shared" si="84"/>
        <v>2.7364761151875568E-7</v>
      </c>
      <c r="N698" s="44">
        <f t="shared" si="82"/>
        <v>1.2359233569807248E-5</v>
      </c>
      <c r="O698" s="45" t="e">
        <f t="shared" si="85"/>
        <v>#VALUE!</v>
      </c>
      <c r="P698" s="52" t="str">
        <f t="shared" si="86"/>
        <v/>
      </c>
      <c r="Q698" s="53" t="str">
        <f t="shared" si="87"/>
        <v/>
      </c>
      <c r="R698" s="54" t="str">
        <f t="shared" si="88"/>
        <v/>
      </c>
      <c r="S698" s="53" t="str">
        <f t="shared" si="89"/>
        <v/>
      </c>
    </row>
    <row r="699" spans="10:19" x14ac:dyDescent="0.15">
      <c r="J699" s="38">
        <v>690</v>
      </c>
      <c r="K699" s="40"/>
      <c r="L699" s="34">
        <f t="shared" si="83"/>
        <v>8.2285818430160554E-4</v>
      </c>
      <c r="M699" s="35">
        <f t="shared" si="84"/>
        <v>2.7252777123034408E-7</v>
      </c>
      <c r="N699" s="44">
        <f t="shared" si="82"/>
        <v>1.2307891231319134E-5</v>
      </c>
      <c r="O699" s="45" t="e">
        <f t="shared" si="85"/>
        <v>#VALUE!</v>
      </c>
      <c r="P699" s="52" t="str">
        <f t="shared" si="86"/>
        <v/>
      </c>
      <c r="Q699" s="53" t="str">
        <f t="shared" si="87"/>
        <v/>
      </c>
      <c r="R699" s="54" t="str">
        <f t="shared" si="88"/>
        <v/>
      </c>
      <c r="S699" s="53" t="str">
        <f t="shared" si="89"/>
        <v/>
      </c>
    </row>
    <row r="700" spans="10:19" x14ac:dyDescent="0.15">
      <c r="J700" s="38">
        <v>691</v>
      </c>
      <c r="K700" s="40"/>
      <c r="L700" s="34">
        <f t="shared" si="83"/>
        <v>8.2313015382354769E-4</v>
      </c>
      <c r="M700" s="35">
        <f t="shared" si="84"/>
        <v>2.7141193908157024E-7</v>
      </c>
      <c r="N700" s="44">
        <f t="shared" si="82"/>
        <v>1.2256727535407881E-5</v>
      </c>
      <c r="O700" s="45" t="e">
        <f t="shared" si="85"/>
        <v>#VALUE!</v>
      </c>
      <c r="P700" s="52" t="str">
        <f t="shared" si="86"/>
        <v/>
      </c>
      <c r="Q700" s="53" t="str">
        <f t="shared" si="87"/>
        <v/>
      </c>
      <c r="R700" s="54" t="str">
        <f t="shared" si="88"/>
        <v/>
      </c>
      <c r="S700" s="53" t="str">
        <f t="shared" si="89"/>
        <v/>
      </c>
    </row>
    <row r="701" spans="10:19" x14ac:dyDescent="0.15">
      <c r="J701" s="38">
        <v>692</v>
      </c>
      <c r="K701" s="40"/>
      <c r="L701" s="34">
        <f t="shared" si="83"/>
        <v>8.2340100950944561E-4</v>
      </c>
      <c r="M701" s="35">
        <f t="shared" si="84"/>
        <v>2.7030009596728421E-7</v>
      </c>
      <c r="N701" s="44">
        <f t="shared" si="82"/>
        <v>1.2205741654035002E-5</v>
      </c>
      <c r="O701" s="45" t="e">
        <f t="shared" si="85"/>
        <v>#VALUE!</v>
      </c>
      <c r="P701" s="52" t="str">
        <f t="shared" si="86"/>
        <v/>
      </c>
      <c r="Q701" s="53" t="str">
        <f t="shared" si="87"/>
        <v/>
      </c>
      <c r="R701" s="54" t="str">
        <f t="shared" si="88"/>
        <v/>
      </c>
      <c r="S701" s="53" t="str">
        <f t="shared" si="89"/>
        <v/>
      </c>
    </row>
    <row r="702" spans="10:19" x14ac:dyDescent="0.15">
      <c r="J702" s="38">
        <v>693</v>
      </c>
      <c r="K702" s="40"/>
      <c r="L702" s="34">
        <f t="shared" si="83"/>
        <v>8.2367075533882868E-4</v>
      </c>
      <c r="M702" s="35">
        <f t="shared" si="84"/>
        <v>2.691922228960336E-7</v>
      </c>
      <c r="N702" s="44">
        <f t="shared" si="82"/>
        <v>1.2154932763954948E-5</v>
      </c>
      <c r="O702" s="45" t="e">
        <f t="shared" si="85"/>
        <v>#VALUE!</v>
      </c>
      <c r="P702" s="52" t="str">
        <f t="shared" si="86"/>
        <v/>
      </c>
      <c r="Q702" s="53" t="str">
        <f t="shared" si="87"/>
        <v/>
      </c>
      <c r="R702" s="54" t="str">
        <f t="shared" si="88"/>
        <v/>
      </c>
      <c r="S702" s="53" t="str">
        <f t="shared" si="89"/>
        <v/>
      </c>
    </row>
    <row r="703" spans="10:19" x14ac:dyDescent="0.15">
      <c r="J703" s="38">
        <v>694</v>
      </c>
      <c r="K703" s="40"/>
      <c r="L703" s="34">
        <f t="shared" si="83"/>
        <v>8.2393939527229134E-4</v>
      </c>
      <c r="M703" s="35">
        <f t="shared" si="84"/>
        <v>2.6808830098925257E-7</v>
      </c>
      <c r="N703" s="44">
        <f t="shared" si="82"/>
        <v>1.2104300046682898E-5</v>
      </c>
      <c r="O703" s="45" t="e">
        <f t="shared" si="85"/>
        <v>#VALUE!</v>
      </c>
      <c r="P703" s="52" t="str">
        <f t="shared" si="86"/>
        <v/>
      </c>
      <c r="Q703" s="53" t="str">
        <f t="shared" si="87"/>
        <v/>
      </c>
      <c r="R703" s="54" t="str">
        <f t="shared" si="88"/>
        <v/>
      </c>
      <c r="S703" s="53" t="str">
        <f t="shared" si="89"/>
        <v/>
      </c>
    </row>
    <row r="704" spans="10:19" x14ac:dyDescent="0.15">
      <c r="J704" s="38">
        <v>695</v>
      </c>
      <c r="K704" s="40"/>
      <c r="L704" s="34">
        <f t="shared" si="83"/>
        <v>8.2420693325160541E-4</v>
      </c>
      <c r="M704" s="35">
        <f t="shared" si="84"/>
        <v>2.6698831148045736E-7</v>
      </c>
      <c r="N704" s="44">
        <f t="shared" si="82"/>
        <v>1.2053842688460612E-5</v>
      </c>
      <c r="O704" s="45" t="e">
        <f t="shared" si="85"/>
        <v>#VALUE!</v>
      </c>
      <c r="P704" s="52" t="str">
        <f t="shared" si="86"/>
        <v/>
      </c>
      <c r="Q704" s="53" t="str">
        <f t="shared" si="87"/>
        <v/>
      </c>
      <c r="R704" s="54" t="str">
        <f t="shared" si="88"/>
        <v/>
      </c>
      <c r="S704" s="53" t="str">
        <f t="shared" si="89"/>
        <v/>
      </c>
    </row>
    <row r="705" spans="10:19" x14ac:dyDescent="0.15">
      <c r="J705" s="38">
        <v>696</v>
      </c>
      <c r="K705" s="40"/>
      <c r="L705" s="34">
        <f t="shared" si="83"/>
        <v>8.2447337319983176E-4</v>
      </c>
      <c r="M705" s="35">
        <f t="shared" si="84"/>
        <v>2.6589223571444875E-7</v>
      </c>
      <c r="N705" s="44">
        <f t="shared" si="82"/>
        <v>1.2003559880224769E-5</v>
      </c>
      <c r="O705" s="45" t="e">
        <f t="shared" si="85"/>
        <v>#VALUE!</v>
      </c>
      <c r="P705" s="52" t="str">
        <f t="shared" si="86"/>
        <v/>
      </c>
      <c r="Q705" s="53" t="str">
        <f t="shared" si="87"/>
        <v/>
      </c>
      <c r="R705" s="54" t="str">
        <f t="shared" si="88"/>
        <v/>
      </c>
      <c r="S705" s="53" t="str">
        <f t="shared" si="89"/>
        <v/>
      </c>
    </row>
    <row r="706" spans="10:19" x14ac:dyDescent="0.15">
      <c r="J706" s="38">
        <v>697</v>
      </c>
      <c r="K706" s="40"/>
      <c r="L706" s="34">
        <f t="shared" si="83"/>
        <v>8.2473871902143223E-4</v>
      </c>
      <c r="M706" s="35">
        <f t="shared" si="84"/>
        <v>2.6480005514652164E-7</v>
      </c>
      <c r="N706" s="44">
        <f t="shared" si="82"/>
        <v>1.195345081757347E-5</v>
      </c>
      <c r="O706" s="45" t="e">
        <f t="shared" si="85"/>
        <v>#VALUE!</v>
      </c>
      <c r="P706" s="52" t="str">
        <f t="shared" si="86"/>
        <v/>
      </c>
      <c r="Q706" s="53" t="str">
        <f t="shared" si="87"/>
        <v/>
      </c>
      <c r="R706" s="54" t="str">
        <f t="shared" si="88"/>
        <v/>
      </c>
      <c r="S706" s="53" t="str">
        <f t="shared" si="89"/>
        <v/>
      </c>
    </row>
    <row r="707" spans="10:19" x14ac:dyDescent="0.15">
      <c r="J707" s="38">
        <v>698</v>
      </c>
      <c r="K707" s="40"/>
      <c r="L707" s="34">
        <f t="shared" si="83"/>
        <v>8.2500297460237799E-4</v>
      </c>
      <c r="M707" s="35">
        <f t="shared" si="84"/>
        <v>2.6371175134167967E-7</v>
      </c>
      <c r="N707" s="44">
        <f t="shared" si="82"/>
        <v>1.1903514700734572E-5</v>
      </c>
      <c r="O707" s="45" t="e">
        <f t="shared" si="85"/>
        <v>#VALUE!</v>
      </c>
      <c r="P707" s="52" t="str">
        <f t="shared" si="86"/>
        <v/>
      </c>
      <c r="Q707" s="53" t="str">
        <f t="shared" si="87"/>
        <v/>
      </c>
      <c r="R707" s="54" t="str">
        <f t="shared" si="88"/>
        <v/>
      </c>
      <c r="S707" s="53" t="str">
        <f t="shared" si="89"/>
        <v/>
      </c>
    </row>
    <row r="708" spans="10:19" x14ac:dyDescent="0.15">
      <c r="J708" s="38">
        <v>699</v>
      </c>
      <c r="K708" s="40"/>
      <c r="L708" s="34">
        <f t="shared" si="83"/>
        <v>8.2526614381026021E-4</v>
      </c>
      <c r="M708" s="35">
        <f t="shared" si="84"/>
        <v>2.6262730597385838E-7</v>
      </c>
      <c r="N708" s="44">
        <f t="shared" si="82"/>
        <v>1.1853750734534254E-5</v>
      </c>
      <c r="O708" s="45" t="e">
        <f t="shared" si="85"/>
        <v>#VALUE!</v>
      </c>
      <c r="P708" s="52" t="str">
        <f t="shared" si="86"/>
        <v/>
      </c>
      <c r="Q708" s="53" t="str">
        <f t="shared" si="87"/>
        <v/>
      </c>
      <c r="R708" s="54" t="str">
        <f t="shared" si="88"/>
        <v/>
      </c>
      <c r="S708" s="53" t="str">
        <f t="shared" si="89"/>
        <v/>
      </c>
    </row>
    <row r="709" spans="10:19" x14ac:dyDescent="0.15">
      <c r="J709" s="38">
        <v>700</v>
      </c>
      <c r="K709" s="40"/>
      <c r="L709" s="34">
        <f t="shared" si="83"/>
        <v>8.2552823049439762E-4</v>
      </c>
      <c r="M709" s="35">
        <f t="shared" si="84"/>
        <v>2.6154670082515282E-7</v>
      </c>
      <c r="N709" s="44">
        <f t="shared" si="82"/>
        <v>1.1804158128364377E-5</v>
      </c>
      <c r="O709" s="45" t="e">
        <f t="shared" si="85"/>
        <v>#VALUE!</v>
      </c>
      <c r="P709" s="52" t="str">
        <f t="shared" si="86"/>
        <v/>
      </c>
      <c r="Q709" s="53" t="str">
        <f t="shared" si="87"/>
        <v/>
      </c>
      <c r="R709" s="54" t="str">
        <f t="shared" si="88"/>
        <v/>
      </c>
      <c r="S709" s="53" t="str">
        <f t="shared" si="89"/>
        <v/>
      </c>
    </row>
    <row r="710" spans="10:19" x14ac:dyDescent="0.15">
      <c r="J710" s="38">
        <v>701</v>
      </c>
      <c r="K710" s="40"/>
      <c r="L710" s="34">
        <f t="shared" si="83"/>
        <v>8.2578923848594546E-4</v>
      </c>
      <c r="M710" s="35">
        <f t="shared" si="84"/>
        <v>2.6046991778505287E-7</v>
      </c>
      <c r="N710" s="44">
        <f t="shared" si="82"/>
        <v>1.1754736096151477E-5</v>
      </c>
      <c r="O710" s="45" t="e">
        <f t="shared" si="85"/>
        <v>#VALUE!</v>
      </c>
      <c r="P710" s="52" t="str">
        <f t="shared" si="86"/>
        <v/>
      </c>
      <c r="Q710" s="53" t="str">
        <f t="shared" si="87"/>
        <v/>
      </c>
      <c r="R710" s="54" t="str">
        <f t="shared" si="88"/>
        <v/>
      </c>
      <c r="S710" s="53" t="str">
        <f t="shared" si="89"/>
        <v/>
      </c>
    </row>
    <row r="711" spans="10:19" x14ac:dyDescent="0.15">
      <c r="J711" s="38">
        <v>702</v>
      </c>
      <c r="K711" s="40"/>
      <c r="L711" s="34">
        <f t="shared" si="83"/>
        <v>8.2604917159800147E-4</v>
      </c>
      <c r="M711" s="35">
        <f t="shared" si="84"/>
        <v>2.5939693884968449E-7</v>
      </c>
      <c r="N711" s="44">
        <f t="shared" si="82"/>
        <v>1.1705483856325649E-5</v>
      </c>
      <c r="O711" s="45" t="e">
        <f t="shared" si="85"/>
        <v>#VALUE!</v>
      </c>
      <c r="P711" s="52" t="str">
        <f t="shared" si="86"/>
        <v/>
      </c>
      <c r="Q711" s="53" t="str">
        <f t="shared" si="87"/>
        <v/>
      </c>
      <c r="R711" s="54" t="str">
        <f t="shared" si="88"/>
        <v/>
      </c>
      <c r="S711" s="53" t="str">
        <f t="shared" si="89"/>
        <v/>
      </c>
    </row>
    <row r="712" spans="10:19" x14ac:dyDescent="0.15">
      <c r="J712" s="38">
        <v>703</v>
      </c>
      <c r="K712" s="40"/>
      <c r="L712" s="34">
        <f t="shared" si="83"/>
        <v>8.2630803362571245E-4</v>
      </c>
      <c r="M712" s="35">
        <f t="shared" si="84"/>
        <v>2.5832774612105698E-7</v>
      </c>
      <c r="N712" s="44">
        <f t="shared" si="82"/>
        <v>1.1656400631789433E-5</v>
      </c>
      <c r="O712" s="45" t="e">
        <f t="shared" si="85"/>
        <v>#VALUE!</v>
      </c>
      <c r="P712" s="52" t="str">
        <f t="shared" si="86"/>
        <v/>
      </c>
      <c r="Q712" s="53" t="str">
        <f t="shared" si="87"/>
        <v/>
      </c>
      <c r="R712" s="54" t="str">
        <f t="shared" si="88"/>
        <v/>
      </c>
      <c r="S712" s="53" t="str">
        <f t="shared" si="89"/>
        <v/>
      </c>
    </row>
    <row r="713" spans="10:19" x14ac:dyDescent="0.15">
      <c r="J713" s="38">
        <v>704</v>
      </c>
      <c r="K713" s="40"/>
      <c r="L713" s="34">
        <f t="shared" si="83"/>
        <v>8.2656582834638045E-4</v>
      </c>
      <c r="M713" s="35">
        <f t="shared" si="84"/>
        <v>2.5726232180631641E-7</v>
      </c>
      <c r="N713" s="44">
        <f t="shared" ref="N713:N776" si="90">(L763-L713)</f>
        <v>1.1607485649887017E-5</v>
      </c>
      <c r="O713" s="45" t="e">
        <f t="shared" si="85"/>
        <v>#VALUE!</v>
      </c>
      <c r="P713" s="52" t="str">
        <f t="shared" si="86"/>
        <v/>
      </c>
      <c r="Q713" s="53" t="str">
        <f t="shared" si="87"/>
        <v/>
      </c>
      <c r="R713" s="54" t="str">
        <f t="shared" si="88"/>
        <v/>
      </c>
      <c r="S713" s="53" t="str">
        <f t="shared" si="89"/>
        <v/>
      </c>
    </row>
    <row r="714" spans="10:19" x14ac:dyDescent="0.15">
      <c r="J714" s="38">
        <v>705</v>
      </c>
      <c r="K714" s="40"/>
      <c r="L714" s="34">
        <f t="shared" ref="L714:L777" si="91">$F$39*((1-$F$40*J714)/(1+$F$41*J714))*(J714-$F$42)</f>
        <v>8.2682255951956594E-4</v>
      </c>
      <c r="M714" s="35">
        <f t="shared" ref="M714:M777" si="92">$F$39*((1-2*$F$40*J714-$F$40*$F$41*(J714^2)+($F$41+$F$40)*$F$42)/(1+$F$41*J714)^2)</f>
        <v>2.5620064821700582E-7</v>
      </c>
      <c r="N714" s="44">
        <f t="shared" si="90"/>
        <v>1.1558738142374535E-5</v>
      </c>
      <c r="O714" s="45" t="e">
        <f t="shared" ref="O714:O777" si="93">IF(N714&lt;=$B$49,1+O713,0)</f>
        <v>#VALUE!</v>
      </c>
      <c r="P714" s="52" t="str">
        <f t="shared" ref="P714:P777" si="94">IF(J714&lt;=$F$42,J714,"")</f>
        <v/>
      </c>
      <c r="Q714" s="53" t="str">
        <f t="shared" ref="Q714:Q777" si="95">IF(J714&lt;=$F$42,L714,"")</f>
        <v/>
      </c>
      <c r="R714" s="54" t="str">
        <f t="shared" ref="R714:R777" si="96">IF(AND(J714&gt;=$F$42,J714&lt;=200),J714,"")</f>
        <v/>
      </c>
      <c r="S714" s="53" t="str">
        <f t="shared" ref="S714:S777" si="97">IF(AND(J714&gt;=$F$42,J714&lt;=200),L714,"")</f>
        <v/>
      </c>
    </row>
    <row r="715" spans="10:19" x14ac:dyDescent="0.15">
      <c r="J715" s="38">
        <v>706</v>
      </c>
      <c r="K715" s="40"/>
      <c r="L715" s="34">
        <f t="shared" si="91"/>
        <v>8.2707823088719334E-4</v>
      </c>
      <c r="M715" s="35">
        <f t="shared" si="92"/>
        <v>2.5514270776833064E-7</v>
      </c>
      <c r="N715" s="44">
        <f t="shared" si="90"/>
        <v>1.1510157345389488E-5</v>
      </c>
      <c r="O715" s="45" t="e">
        <f t="shared" si="93"/>
        <v>#VALUE!</v>
      </c>
      <c r="P715" s="52" t="str">
        <f t="shared" si="94"/>
        <v/>
      </c>
      <c r="Q715" s="53" t="str">
        <f t="shared" si="95"/>
        <v/>
      </c>
      <c r="R715" s="54" t="str">
        <f t="shared" si="96"/>
        <v/>
      </c>
      <c r="S715" s="53" t="str">
        <f t="shared" si="97"/>
        <v/>
      </c>
    </row>
    <row r="716" spans="10:19" x14ac:dyDescent="0.15">
      <c r="J716" s="38">
        <v>707</v>
      </c>
      <c r="K716" s="40"/>
      <c r="L716" s="34">
        <f t="shared" si="91"/>
        <v>8.2733284617365422E-4</v>
      </c>
      <c r="M716" s="35">
        <f t="shared" si="92"/>
        <v>2.5408848297843091E-7</v>
      </c>
      <c r="N716" s="44">
        <f t="shared" si="90"/>
        <v>1.1461742499418873E-5</v>
      </c>
      <c r="O716" s="45" t="e">
        <f t="shared" si="93"/>
        <v>#VALUE!</v>
      </c>
      <c r="P716" s="52" t="str">
        <f t="shared" si="94"/>
        <v/>
      </c>
      <c r="Q716" s="53" t="str">
        <f t="shared" si="95"/>
        <v/>
      </c>
      <c r="R716" s="54" t="str">
        <f t="shared" si="96"/>
        <v/>
      </c>
      <c r="S716" s="53" t="str">
        <f t="shared" si="97"/>
        <v/>
      </c>
    </row>
    <row r="717" spans="10:19" x14ac:dyDescent="0.15">
      <c r="J717" s="38">
        <v>708</v>
      </c>
      <c r="K717" s="40"/>
      <c r="L717" s="34">
        <f t="shared" si="91"/>
        <v>8.2758640908590897E-4</v>
      </c>
      <c r="M717" s="35">
        <f t="shared" si="92"/>
        <v>2.5303795646765874E-7</v>
      </c>
      <c r="N717" s="44">
        <f t="shared" si="90"/>
        <v>1.1413492849273593E-5</v>
      </c>
      <c r="O717" s="45" t="e">
        <f t="shared" si="93"/>
        <v>#VALUE!</v>
      </c>
      <c r="P717" s="52" t="str">
        <f t="shared" si="94"/>
        <v/>
      </c>
      <c r="Q717" s="53" t="str">
        <f t="shared" si="95"/>
        <v/>
      </c>
      <c r="R717" s="54" t="str">
        <f t="shared" si="96"/>
        <v/>
      </c>
      <c r="S717" s="53" t="str">
        <f t="shared" si="97"/>
        <v/>
      </c>
    </row>
    <row r="718" spans="10:19" x14ac:dyDescent="0.15">
      <c r="J718" s="38">
        <v>709</v>
      </c>
      <c r="K718" s="40"/>
      <c r="L718" s="34">
        <f t="shared" si="91"/>
        <v>8.278389233135889E-4</v>
      </c>
      <c r="M718" s="35">
        <f t="shared" si="92"/>
        <v>2.5199111095786215E-7</v>
      </c>
      <c r="N718" s="44">
        <f t="shared" si="90"/>
        <v>1.1365407644055281E-5</v>
      </c>
      <c r="O718" s="45" t="e">
        <f t="shared" si="93"/>
        <v>#VALUE!</v>
      </c>
      <c r="P718" s="52" t="str">
        <f t="shared" si="94"/>
        <v/>
      </c>
      <c r="Q718" s="53" t="str">
        <f t="shared" si="95"/>
        <v/>
      </c>
      <c r="R718" s="54" t="str">
        <f t="shared" si="96"/>
        <v/>
      </c>
      <c r="S718" s="53" t="str">
        <f t="shared" si="97"/>
        <v/>
      </c>
    </row>
    <row r="719" spans="10:19" x14ac:dyDescent="0.15">
      <c r="J719" s="38">
        <v>710</v>
      </c>
      <c r="K719" s="40"/>
      <c r="L719" s="34">
        <f t="shared" si="91"/>
        <v>8.2809039252909806E-4</v>
      </c>
      <c r="M719" s="35">
        <f t="shared" si="92"/>
        <v>2.509479292716745E-7</v>
      </c>
      <c r="N719" s="44">
        <f t="shared" si="90"/>
        <v>1.1317486137128545E-5</v>
      </c>
      <c r="O719" s="45" t="e">
        <f t="shared" si="93"/>
        <v>#VALUE!</v>
      </c>
      <c r="P719" s="52" t="str">
        <f t="shared" si="94"/>
        <v/>
      </c>
      <c r="Q719" s="53" t="str">
        <f t="shared" si="95"/>
        <v/>
      </c>
      <c r="R719" s="54" t="str">
        <f t="shared" si="96"/>
        <v/>
      </c>
      <c r="S719" s="53" t="str">
        <f t="shared" si="97"/>
        <v/>
      </c>
    </row>
    <row r="720" spans="10:19" x14ac:dyDescent="0.15">
      <c r="J720" s="38">
        <v>711</v>
      </c>
      <c r="K720" s="40"/>
      <c r="L720" s="34">
        <f t="shared" si="91"/>
        <v>8.2834082038771317E-4</v>
      </c>
      <c r="M720" s="35">
        <f t="shared" si="92"/>
        <v>2.4990839433181027E-7</v>
      </c>
      <c r="N720" s="44">
        <f t="shared" si="90"/>
        <v>1.1269727586092127E-5</v>
      </c>
      <c r="O720" s="45" t="e">
        <f t="shared" si="93"/>
        <v>#VALUE!</v>
      </c>
      <c r="P720" s="52" t="str">
        <f t="shared" si="94"/>
        <v/>
      </c>
      <c r="Q720" s="53" t="str">
        <f t="shared" si="95"/>
        <v/>
      </c>
      <c r="R720" s="54" t="str">
        <f t="shared" si="96"/>
        <v/>
      </c>
      <c r="S720" s="53" t="str">
        <f t="shared" si="97"/>
        <v/>
      </c>
    </row>
    <row r="721" spans="10:19" x14ac:dyDescent="0.15">
      <c r="J721" s="38">
        <v>712</v>
      </c>
      <c r="K721" s="40"/>
      <c r="L721" s="34">
        <f t="shared" si="91"/>
        <v>8.2859021052768343E-4</v>
      </c>
      <c r="M721" s="35">
        <f t="shared" si="92"/>
        <v>2.4887248916036568E-7</v>
      </c>
      <c r="N721" s="44">
        <f t="shared" si="90"/>
        <v>1.1222131252748872E-5</v>
      </c>
      <c r="O721" s="45" t="e">
        <f t="shared" si="93"/>
        <v>#VALUE!</v>
      </c>
      <c r="P721" s="52" t="str">
        <f t="shared" si="94"/>
        <v/>
      </c>
      <c r="Q721" s="53" t="str">
        <f t="shared" si="95"/>
        <v/>
      </c>
      <c r="R721" s="54" t="str">
        <f t="shared" si="96"/>
        <v/>
      </c>
      <c r="S721" s="53" t="str">
        <f t="shared" si="97"/>
        <v/>
      </c>
    </row>
    <row r="722" spans="10:19" x14ac:dyDescent="0.15">
      <c r="J722" s="38">
        <v>713</v>
      </c>
      <c r="K722" s="40"/>
      <c r="L722" s="34">
        <f t="shared" si="91"/>
        <v>8.2883856657032932E-4</v>
      </c>
      <c r="M722" s="35">
        <f t="shared" si="92"/>
        <v>2.4784019687812567E-7</v>
      </c>
      <c r="N722" s="44">
        <f t="shared" si="90"/>
        <v>1.117469640307938E-5</v>
      </c>
      <c r="O722" s="45" t="e">
        <f t="shared" si="93"/>
        <v>#VALUE!</v>
      </c>
      <c r="P722" s="52" t="str">
        <f t="shared" si="94"/>
        <v/>
      </c>
      <c r="Q722" s="53" t="str">
        <f t="shared" si="95"/>
        <v/>
      </c>
      <c r="R722" s="54" t="str">
        <f t="shared" si="96"/>
        <v/>
      </c>
      <c r="S722" s="53" t="str">
        <f t="shared" si="97"/>
        <v/>
      </c>
    </row>
    <row r="723" spans="10:19" x14ac:dyDescent="0.15">
      <c r="J723" s="38">
        <v>714</v>
      </c>
      <c r="K723" s="40"/>
      <c r="L723" s="34">
        <f t="shared" si="91"/>
        <v>8.2908589212014124E-4</v>
      </c>
      <c r="M723" s="35">
        <f t="shared" si="92"/>
        <v>2.4681150070387608E-7</v>
      </c>
      <c r="N723" s="44">
        <f t="shared" si="90"/>
        <v>1.1127422307211435E-5</v>
      </c>
      <c r="O723" s="45" t="e">
        <f t="shared" si="93"/>
        <v>#VALUE!</v>
      </c>
      <c r="P723" s="52" t="str">
        <f t="shared" si="94"/>
        <v/>
      </c>
      <c r="Q723" s="53" t="str">
        <f t="shared" si="95"/>
        <v/>
      </c>
      <c r="R723" s="54" t="str">
        <f t="shared" si="96"/>
        <v/>
      </c>
      <c r="S723" s="53" t="str">
        <f t="shared" si="97"/>
        <v/>
      </c>
    </row>
    <row r="724" spans="10:19" x14ac:dyDescent="0.15">
      <c r="J724" s="38">
        <v>715</v>
      </c>
      <c r="K724" s="40"/>
      <c r="L724" s="34">
        <f t="shared" si="91"/>
        <v>8.2933219076487732E-4</v>
      </c>
      <c r="M724" s="35">
        <f t="shared" si="92"/>
        <v>2.4578638395372208E-7</v>
      </c>
      <c r="N724" s="44">
        <f t="shared" si="90"/>
        <v>1.108030823939322E-5</v>
      </c>
      <c r="O724" s="45" t="e">
        <f t="shared" si="93"/>
        <v>#VALUE!</v>
      </c>
      <c r="P724" s="52" t="str">
        <f t="shared" si="94"/>
        <v/>
      </c>
      <c r="Q724" s="53" t="str">
        <f t="shared" si="95"/>
        <v/>
      </c>
      <c r="R724" s="54" t="str">
        <f t="shared" si="96"/>
        <v/>
      </c>
      <c r="S724" s="53" t="str">
        <f t="shared" si="97"/>
        <v/>
      </c>
    </row>
    <row r="725" spans="10:19" x14ac:dyDescent="0.15">
      <c r="J725" s="38">
        <v>716</v>
      </c>
      <c r="K725" s="40"/>
      <c r="L725" s="34">
        <f t="shared" si="91"/>
        <v>8.295774660756598E-4</v>
      </c>
      <c r="M725" s="35">
        <f t="shared" si="92"/>
        <v>2.4476483004041139E-7</v>
      </c>
      <c r="N725" s="44">
        <f t="shared" si="90"/>
        <v>1.1033353477964917E-5</v>
      </c>
      <c r="O725" s="45" t="e">
        <f t="shared" si="93"/>
        <v>#VALUE!</v>
      </c>
      <c r="P725" s="52" t="str">
        <f t="shared" si="94"/>
        <v/>
      </c>
      <c r="Q725" s="53" t="str">
        <f t="shared" si="95"/>
        <v/>
      </c>
      <c r="R725" s="54" t="str">
        <f t="shared" si="96"/>
        <v/>
      </c>
      <c r="S725" s="53" t="str">
        <f t="shared" si="97"/>
        <v/>
      </c>
    </row>
    <row r="726" spans="10:19" x14ac:dyDescent="0.15">
      <c r="J726" s="38">
        <v>717</v>
      </c>
      <c r="K726" s="40"/>
      <c r="L726" s="34">
        <f t="shared" si="91"/>
        <v>8.2982172160707228E-4</v>
      </c>
      <c r="M726" s="35">
        <f t="shared" si="92"/>
        <v>2.437468224726635E-7</v>
      </c>
      <c r="N726" s="44">
        <f t="shared" si="90"/>
        <v>1.0986557305331162E-5</v>
      </c>
      <c r="O726" s="45" t="e">
        <f t="shared" si="93"/>
        <v>#VALUE!</v>
      </c>
      <c r="P726" s="52" t="str">
        <f t="shared" si="94"/>
        <v/>
      </c>
      <c r="Q726" s="53" t="str">
        <f t="shared" si="95"/>
        <v/>
      </c>
      <c r="R726" s="54" t="str">
        <f t="shared" si="96"/>
        <v/>
      </c>
      <c r="S726" s="53" t="str">
        <f t="shared" si="97"/>
        <v/>
      </c>
    </row>
    <row r="727" spans="10:19" x14ac:dyDescent="0.15">
      <c r="J727" s="38">
        <v>718</v>
      </c>
      <c r="K727" s="40"/>
      <c r="L727" s="34">
        <f t="shared" si="91"/>
        <v>8.3006496089725395E-4</v>
      </c>
      <c r="M727" s="35">
        <f t="shared" si="92"/>
        <v>2.4273234485450366E-7</v>
      </c>
      <c r="N727" s="44">
        <f t="shared" si="90"/>
        <v>1.0939919007933838E-5</v>
      </c>
      <c r="O727" s="45" t="e">
        <f t="shared" si="93"/>
        <v>#VALUE!</v>
      </c>
      <c r="P727" s="52" t="str">
        <f t="shared" si="94"/>
        <v/>
      </c>
      <c r="Q727" s="53" t="str">
        <f t="shared" si="95"/>
        <v/>
      </c>
      <c r="R727" s="54" t="str">
        <f t="shared" si="96"/>
        <v/>
      </c>
      <c r="S727" s="53" t="str">
        <f t="shared" si="97"/>
        <v/>
      </c>
    </row>
    <row r="728" spans="10:19" x14ac:dyDescent="0.15">
      <c r="J728" s="38">
        <v>719</v>
      </c>
      <c r="K728" s="40"/>
      <c r="L728" s="34">
        <f t="shared" si="91"/>
        <v>8.3030718746799639E-4</v>
      </c>
      <c r="M728" s="35">
        <f t="shared" si="92"/>
        <v>2.417213808846032E-7</v>
      </c>
      <c r="N728" s="44">
        <f t="shared" si="90"/>
        <v>1.0893437876224096E-5</v>
      </c>
      <c r="O728" s="45" t="e">
        <f t="shared" si="93"/>
        <v>#VALUE!</v>
      </c>
      <c r="P728" s="52" t="str">
        <f t="shared" si="94"/>
        <v/>
      </c>
      <c r="Q728" s="53" t="str">
        <f t="shared" si="95"/>
        <v/>
      </c>
      <c r="R728" s="54" t="str">
        <f t="shared" si="96"/>
        <v/>
      </c>
      <c r="S728" s="53" t="str">
        <f t="shared" si="97"/>
        <v/>
      </c>
    </row>
    <row r="729" spans="10:19" x14ac:dyDescent="0.15">
      <c r="J729" s="38">
        <v>720</v>
      </c>
      <c r="K729" s="40"/>
      <c r="L729" s="34">
        <f t="shared" si="91"/>
        <v>8.3054840482483583E-4</v>
      </c>
      <c r="M729" s="35">
        <f t="shared" si="92"/>
        <v>2.407139143556244E-7</v>
      </c>
      <c r="N729" s="44">
        <f t="shared" si="90"/>
        <v>1.0847113204636555E-5</v>
      </c>
      <c r="O729" s="45" t="e">
        <f t="shared" si="93"/>
        <v>#VALUE!</v>
      </c>
      <c r="P729" s="52" t="str">
        <f t="shared" si="94"/>
        <v/>
      </c>
      <c r="Q729" s="53" t="str">
        <f t="shared" si="95"/>
        <v/>
      </c>
      <c r="R729" s="54" t="str">
        <f t="shared" si="96"/>
        <v/>
      </c>
      <c r="S729" s="53" t="str">
        <f t="shared" si="97"/>
        <v/>
      </c>
    </row>
    <row r="730" spans="10:19" x14ac:dyDescent="0.15">
      <c r="J730" s="38">
        <v>721</v>
      </c>
      <c r="K730" s="40"/>
      <c r="L730" s="34">
        <f t="shared" si="91"/>
        <v>8.3078861645714873E-4</v>
      </c>
      <c r="M730" s="35">
        <f t="shared" si="92"/>
        <v>2.3970992915357107E-7</v>
      </c>
      <c r="N730" s="44">
        <f t="shared" si="90"/>
        <v>1.0800944291561223E-5</v>
      </c>
      <c r="O730" s="45" t="e">
        <f t="shared" si="93"/>
        <v>#VALUE!</v>
      </c>
      <c r="P730" s="52" t="str">
        <f t="shared" si="94"/>
        <v/>
      </c>
      <c r="Q730" s="53" t="str">
        <f t="shared" si="95"/>
        <v/>
      </c>
      <c r="R730" s="54" t="str">
        <f t="shared" si="96"/>
        <v/>
      </c>
      <c r="S730" s="53" t="str">
        <f t="shared" si="97"/>
        <v/>
      </c>
    </row>
    <row r="731" spans="10:19" x14ac:dyDescent="0.15">
      <c r="J731" s="38">
        <v>722</v>
      </c>
      <c r="K731" s="40"/>
      <c r="L731" s="34">
        <f t="shared" si="91"/>
        <v>8.3102782583824395E-4</v>
      </c>
      <c r="M731" s="35">
        <f t="shared" si="92"/>
        <v>2.3870940925714403E-7</v>
      </c>
      <c r="N731" s="44">
        <f t="shared" si="90"/>
        <v>1.0754930439317687E-5</v>
      </c>
      <c r="O731" s="45" t="e">
        <f t="shared" si="93"/>
        <v>#VALUE!</v>
      </c>
      <c r="P731" s="52" t="str">
        <f t="shared" si="94"/>
        <v/>
      </c>
      <c r="Q731" s="53" t="str">
        <f t="shared" si="95"/>
        <v/>
      </c>
      <c r="R731" s="54" t="str">
        <f t="shared" si="96"/>
        <v/>
      </c>
      <c r="S731" s="53" t="str">
        <f t="shared" si="97"/>
        <v/>
      </c>
    </row>
    <row r="732" spans="10:19" x14ac:dyDescent="0.15">
      <c r="J732" s="38">
        <v>723</v>
      </c>
      <c r="K732" s="40"/>
      <c r="L732" s="34">
        <f t="shared" si="91"/>
        <v>8.3126603642545433E-4</v>
      </c>
      <c r="M732" s="35">
        <f t="shared" si="92"/>
        <v>2.3771233873710214E-7</v>
      </c>
      <c r="N732" s="44">
        <f t="shared" si="90"/>
        <v>1.0709070954128988E-5</v>
      </c>
      <c r="O732" s="45" t="e">
        <f t="shared" si="93"/>
        <v>#VALUE!</v>
      </c>
      <c r="P732" s="52" t="str">
        <f t="shared" si="94"/>
        <v/>
      </c>
      <c r="Q732" s="53" t="str">
        <f t="shared" si="95"/>
        <v/>
      </c>
      <c r="R732" s="54" t="str">
        <f t="shared" si="96"/>
        <v/>
      </c>
      <c r="S732" s="53" t="str">
        <f t="shared" si="97"/>
        <v/>
      </c>
    </row>
    <row r="733" spans="10:19" x14ac:dyDescent="0.15">
      <c r="J733" s="38">
        <v>724</v>
      </c>
      <c r="K733" s="40"/>
      <c r="L733" s="34">
        <f t="shared" si="91"/>
        <v>8.315032516602298E-4</v>
      </c>
      <c r="M733" s="35">
        <f t="shared" si="92"/>
        <v>2.3671870175562797E-7</v>
      </c>
      <c r="N733" s="44">
        <f t="shared" si="90"/>
        <v>1.0663365146094516E-5</v>
      </c>
      <c r="O733" s="45" t="e">
        <f t="shared" si="93"/>
        <v>#VALUE!</v>
      </c>
      <c r="P733" s="52" t="str">
        <f t="shared" si="94"/>
        <v/>
      </c>
      <c r="Q733" s="53" t="str">
        <f t="shared" si="95"/>
        <v/>
      </c>
      <c r="R733" s="54" t="str">
        <f t="shared" si="96"/>
        <v/>
      </c>
      <c r="S733" s="53" t="str">
        <f t="shared" si="97"/>
        <v/>
      </c>
    </row>
    <row r="734" spans="10:19" x14ac:dyDescent="0.15">
      <c r="J734" s="38">
        <v>725</v>
      </c>
      <c r="K734" s="40"/>
      <c r="L734" s="34">
        <f t="shared" si="91"/>
        <v>8.3173947496822834E-4</v>
      </c>
      <c r="M734" s="35">
        <f t="shared" si="92"/>
        <v>2.357284825656993E-7</v>
      </c>
      <c r="N734" s="44">
        <f t="shared" si="90"/>
        <v>1.0617812329163879E-5</v>
      </c>
      <c r="O734" s="45" t="e">
        <f t="shared" si="93"/>
        <v>#VALUE!</v>
      </c>
      <c r="P734" s="52" t="str">
        <f t="shared" si="94"/>
        <v/>
      </c>
      <c r="Q734" s="53" t="str">
        <f t="shared" si="95"/>
        <v/>
      </c>
      <c r="R734" s="54" t="str">
        <f t="shared" si="96"/>
        <v/>
      </c>
      <c r="S734" s="53" t="str">
        <f t="shared" si="97"/>
        <v/>
      </c>
    </row>
    <row r="735" spans="10:19" x14ac:dyDescent="0.15">
      <c r="J735" s="38">
        <v>726</v>
      </c>
      <c r="K735" s="40"/>
      <c r="L735" s="34">
        <f t="shared" si="91"/>
        <v>8.3197470975940519E-4</v>
      </c>
      <c r="M735" s="35">
        <f t="shared" si="92"/>
        <v>2.3474166551046491E-7</v>
      </c>
      <c r="N735" s="44">
        <f t="shared" si="90"/>
        <v>1.0572411821113052E-5</v>
      </c>
      <c r="O735" s="45" t="e">
        <f t="shared" si="93"/>
        <v>#VALUE!</v>
      </c>
      <c r="P735" s="52" t="str">
        <f t="shared" si="94"/>
        <v/>
      </c>
      <c r="Q735" s="53" t="str">
        <f t="shared" si="95"/>
        <v/>
      </c>
      <c r="R735" s="54" t="str">
        <f t="shared" si="96"/>
        <v/>
      </c>
      <c r="S735" s="53" t="str">
        <f t="shared" si="97"/>
        <v/>
      </c>
    </row>
    <row r="736" spans="10:19" x14ac:dyDescent="0.15">
      <c r="J736" s="38">
        <v>727</v>
      </c>
      <c r="K736" s="40"/>
      <c r="L736" s="34">
        <f t="shared" si="91"/>
        <v>8.322089594281041E-4</v>
      </c>
      <c r="M736" s="35">
        <f t="shared" si="92"/>
        <v>2.3375823502262568E-7</v>
      </c>
      <c r="N736" s="44">
        <f t="shared" si="90"/>
        <v>1.0527162943516511E-5</v>
      </c>
      <c r="O736" s="45" t="e">
        <f t="shared" si="93"/>
        <v>#VALUE!</v>
      </c>
      <c r="P736" s="52" t="str">
        <f t="shared" si="94"/>
        <v/>
      </c>
      <c r="Q736" s="53" t="str">
        <f t="shared" si="95"/>
        <v/>
      </c>
      <c r="R736" s="54" t="str">
        <f t="shared" si="96"/>
        <v/>
      </c>
      <c r="S736" s="53" t="str">
        <f t="shared" si="97"/>
        <v/>
      </c>
    </row>
    <row r="737" spans="10:19" x14ac:dyDescent="0.15">
      <c r="J737" s="38">
        <v>728</v>
      </c>
      <c r="K737" s="40"/>
      <c r="L737" s="34">
        <f t="shared" si="91"/>
        <v>8.3244222735314583E-4</v>
      </c>
      <c r="M737" s="35">
        <f t="shared" si="92"/>
        <v>2.3277817562382078E-7</v>
      </c>
      <c r="N737" s="44">
        <f t="shared" si="90"/>
        <v>1.0482065021723383E-5</v>
      </c>
      <c r="O737" s="45" t="e">
        <f t="shared" si="93"/>
        <v>#VALUE!</v>
      </c>
      <c r="P737" s="52" t="str">
        <f t="shared" si="94"/>
        <v/>
      </c>
      <c r="Q737" s="53" t="str">
        <f t="shared" si="95"/>
        <v/>
      </c>
      <c r="R737" s="54" t="str">
        <f t="shared" si="96"/>
        <v/>
      </c>
      <c r="S737" s="53" t="str">
        <f t="shared" si="97"/>
        <v/>
      </c>
    </row>
    <row r="738" spans="10:19" x14ac:dyDescent="0.15">
      <c r="J738" s="38">
        <v>729</v>
      </c>
      <c r="K738" s="40"/>
      <c r="L738" s="34">
        <f t="shared" si="91"/>
        <v>8.3267451689791698E-4</v>
      </c>
      <c r="M738" s="35">
        <f t="shared" si="92"/>
        <v>2.3180147192401841E-7</v>
      </c>
      <c r="N738" s="44">
        <f t="shared" si="90"/>
        <v>1.0437117384831857E-5</v>
      </c>
      <c r="O738" s="45" t="e">
        <f t="shared" si="93"/>
        <v>#VALUE!</v>
      </c>
      <c r="P738" s="52" t="str">
        <f t="shared" si="94"/>
        <v/>
      </c>
      <c r="Q738" s="53" t="str">
        <f t="shared" si="95"/>
        <v/>
      </c>
      <c r="R738" s="54" t="str">
        <f t="shared" si="96"/>
        <v/>
      </c>
      <c r="S738" s="53" t="str">
        <f t="shared" si="97"/>
        <v/>
      </c>
    </row>
    <row r="739" spans="10:19" x14ac:dyDescent="0.15">
      <c r="J739" s="38">
        <v>730</v>
      </c>
      <c r="K739" s="40"/>
      <c r="L739" s="34">
        <f t="shared" si="91"/>
        <v>8.3290583141045849E-4</v>
      </c>
      <c r="M739" s="35">
        <f t="shared" si="92"/>
        <v>2.3082810862091224E-7</v>
      </c>
      <c r="N739" s="44">
        <f t="shared" si="90"/>
        <v>1.0392319365663382E-5</v>
      </c>
      <c r="O739" s="45" t="e">
        <f t="shared" si="93"/>
        <v>#VALUE!</v>
      </c>
      <c r="P739" s="52" t="str">
        <f t="shared" si="94"/>
        <v/>
      </c>
      <c r="Q739" s="53" t="str">
        <f t="shared" si="95"/>
        <v/>
      </c>
      <c r="R739" s="54" t="str">
        <f t="shared" si="96"/>
        <v/>
      </c>
      <c r="S739" s="53" t="str">
        <f t="shared" si="97"/>
        <v/>
      </c>
    </row>
    <row r="740" spans="10:19" x14ac:dyDescent="0.15">
      <c r="J740" s="38">
        <v>731</v>
      </c>
      <c r="K740" s="40"/>
      <c r="L740" s="34">
        <f t="shared" si="91"/>
        <v>8.3313617422355176E-4</v>
      </c>
      <c r="M740" s="35">
        <f t="shared" si="92"/>
        <v>2.2985807049932098E-7</v>
      </c>
      <c r="N740" s="44">
        <f t="shared" si="90"/>
        <v>1.0347670300739353E-5</v>
      </c>
      <c r="O740" s="45" t="e">
        <f t="shared" si="93"/>
        <v>#VALUE!</v>
      </c>
      <c r="P740" s="52" t="str">
        <f t="shared" si="94"/>
        <v/>
      </c>
      <c r="Q740" s="53" t="str">
        <f t="shared" si="95"/>
        <v/>
      </c>
      <c r="R740" s="54" t="str">
        <f t="shared" si="96"/>
        <v/>
      </c>
      <c r="S740" s="53" t="str">
        <f t="shared" si="97"/>
        <v/>
      </c>
    </row>
    <row r="741" spans="10:19" x14ac:dyDescent="0.15">
      <c r="J741" s="38">
        <v>732</v>
      </c>
      <c r="K741" s="40"/>
      <c r="L741" s="34">
        <f t="shared" si="91"/>
        <v>8.33365548654807E-4</v>
      </c>
      <c r="M741" s="35">
        <f t="shared" si="92"/>
        <v>2.2889134243059479E-7</v>
      </c>
      <c r="N741" s="44">
        <f t="shared" si="90"/>
        <v>1.030316953025542E-5</v>
      </c>
      <c r="O741" s="45" t="e">
        <f t="shared" si="93"/>
        <v>#VALUE!</v>
      </c>
      <c r="P741" s="52" t="str">
        <f t="shared" si="94"/>
        <v/>
      </c>
      <c r="Q741" s="53" t="str">
        <f t="shared" si="95"/>
        <v/>
      </c>
      <c r="R741" s="54" t="str">
        <f t="shared" si="96"/>
        <v/>
      </c>
      <c r="S741" s="53" t="str">
        <f t="shared" si="97"/>
        <v/>
      </c>
    </row>
    <row r="742" spans="10:19" x14ac:dyDescent="0.15">
      <c r="J742" s="38">
        <v>733</v>
      </c>
      <c r="K742" s="40"/>
      <c r="L742" s="34">
        <f t="shared" si="91"/>
        <v>8.3359395800674879E-4</v>
      </c>
      <c r="M742" s="35">
        <f t="shared" si="92"/>
        <v>2.279279093720248E-7</v>
      </c>
      <c r="N742" s="44">
        <f t="shared" si="90"/>
        <v>1.0258816398057416E-5</v>
      </c>
      <c r="O742" s="45" t="e">
        <f t="shared" si="93"/>
        <v>#VALUE!</v>
      </c>
      <c r="P742" s="52" t="str">
        <f t="shared" si="94"/>
        <v/>
      </c>
      <c r="Q742" s="53" t="str">
        <f t="shared" si="95"/>
        <v/>
      </c>
      <c r="R742" s="54" t="str">
        <f t="shared" si="96"/>
        <v/>
      </c>
      <c r="S742" s="53" t="str">
        <f t="shared" si="97"/>
        <v/>
      </c>
    </row>
    <row r="743" spans="10:19" x14ac:dyDescent="0.15">
      <c r="J743" s="38">
        <v>734</v>
      </c>
      <c r="K743" s="40"/>
      <c r="L743" s="34">
        <f t="shared" si="91"/>
        <v>8.3382140556690113E-4</v>
      </c>
      <c r="M743" s="35">
        <f t="shared" si="92"/>
        <v>2.2696775636625814E-7</v>
      </c>
      <c r="N743" s="44">
        <f t="shared" si="90"/>
        <v>1.0214610251617069E-5</v>
      </c>
      <c r="O743" s="45" t="e">
        <f t="shared" si="93"/>
        <v>#VALUE!</v>
      </c>
      <c r="P743" s="52" t="str">
        <f t="shared" si="94"/>
        <v/>
      </c>
      <c r="Q743" s="53" t="str">
        <f t="shared" si="95"/>
        <v/>
      </c>
      <c r="R743" s="54" t="str">
        <f t="shared" si="96"/>
        <v/>
      </c>
      <c r="S743" s="53" t="str">
        <f t="shared" si="97"/>
        <v/>
      </c>
    </row>
    <row r="744" spans="10:19" x14ac:dyDescent="0.15">
      <c r="J744" s="38">
        <v>735</v>
      </c>
      <c r="K744" s="40"/>
      <c r="L744" s="34">
        <f t="shared" si="91"/>
        <v>8.3404789460787365E-4</v>
      </c>
      <c r="M744" s="35">
        <f t="shared" si="92"/>
        <v>2.2601086854071751E-7</v>
      </c>
      <c r="N744" s="44">
        <f t="shared" si="90"/>
        <v>1.0170550442008806E-5</v>
      </c>
      <c r="O744" s="45" t="e">
        <f t="shared" si="93"/>
        <v>#VALUE!</v>
      </c>
      <c r="P744" s="52" t="str">
        <f t="shared" si="94"/>
        <v/>
      </c>
      <c r="Q744" s="53" t="str">
        <f t="shared" si="95"/>
        <v/>
      </c>
      <c r="R744" s="54" t="str">
        <f t="shared" si="96"/>
        <v/>
      </c>
      <c r="S744" s="53" t="str">
        <f t="shared" si="97"/>
        <v/>
      </c>
    </row>
    <row r="745" spans="10:19" x14ac:dyDescent="0.15">
      <c r="J745" s="38">
        <v>736</v>
      </c>
      <c r="K745" s="40"/>
      <c r="L745" s="34">
        <f t="shared" si="91"/>
        <v>8.3427342838744559E-4</v>
      </c>
      <c r="M745" s="35">
        <f t="shared" si="92"/>
        <v>2.2505723110702509E-7</v>
      </c>
      <c r="N745" s="44">
        <f t="shared" si="90"/>
        <v>1.0126636323884051E-5</v>
      </c>
      <c r="O745" s="45" t="e">
        <f t="shared" si="93"/>
        <v>#VALUE!</v>
      </c>
      <c r="P745" s="52" t="str">
        <f t="shared" si="94"/>
        <v/>
      </c>
      <c r="Q745" s="53" t="str">
        <f t="shared" si="95"/>
        <v/>
      </c>
      <c r="R745" s="54" t="str">
        <f t="shared" si="96"/>
        <v/>
      </c>
      <c r="S745" s="53" t="str">
        <f t="shared" si="97"/>
        <v/>
      </c>
    </row>
    <row r="746" spans="10:19" x14ac:dyDescent="0.15">
      <c r="J746" s="38">
        <v>737</v>
      </c>
      <c r="K746" s="40"/>
      <c r="L746" s="34">
        <f t="shared" si="91"/>
        <v>8.344980101486491E-4</v>
      </c>
      <c r="M746" s="35">
        <f t="shared" si="92"/>
        <v>2.2410682936043105E-7</v>
      </c>
      <c r="N746" s="44">
        <f t="shared" si="90"/>
        <v>1.0082867255449654E-5</v>
      </c>
      <c r="O746" s="45" t="e">
        <f t="shared" si="93"/>
        <v>#VALUE!</v>
      </c>
      <c r="P746" s="52" t="str">
        <f t="shared" si="94"/>
        <v/>
      </c>
      <c r="Q746" s="53" t="str">
        <f t="shared" si="95"/>
        <v/>
      </c>
      <c r="R746" s="54" t="str">
        <f t="shared" si="96"/>
        <v/>
      </c>
      <c r="S746" s="53" t="str">
        <f t="shared" si="97"/>
        <v/>
      </c>
    </row>
    <row r="747" spans="10:19" x14ac:dyDescent="0.15">
      <c r="J747" s="38">
        <v>738</v>
      </c>
      <c r="K747" s="40"/>
      <c r="L747" s="34">
        <f t="shared" si="91"/>
        <v>8.3472164311985389E-4</v>
      </c>
      <c r="M747" s="35">
        <f t="shared" si="92"/>
        <v>2.2315964867924693E-7</v>
      </c>
      <c r="N747" s="44">
        <f t="shared" si="90"/>
        <v>1.0039242598442843E-5</v>
      </c>
      <c r="O747" s="45" t="e">
        <f t="shared" si="93"/>
        <v>#VALUE!</v>
      </c>
      <c r="P747" s="52" t="str">
        <f t="shared" si="94"/>
        <v/>
      </c>
      <c r="Q747" s="53" t="str">
        <f t="shared" si="95"/>
        <v/>
      </c>
      <c r="R747" s="54" t="str">
        <f t="shared" si="96"/>
        <v/>
      </c>
      <c r="S747" s="53" t="str">
        <f t="shared" si="97"/>
        <v/>
      </c>
    </row>
    <row r="748" spans="10:19" x14ac:dyDescent="0.15">
      <c r="J748" s="38">
        <v>739</v>
      </c>
      <c r="K748" s="40"/>
      <c r="L748" s="34">
        <f t="shared" si="91"/>
        <v>8.349443305148489E-4</v>
      </c>
      <c r="M748" s="35">
        <f t="shared" si="92"/>
        <v>2.2221567452428326E-7</v>
      </c>
      <c r="N748" s="44">
        <f t="shared" si="90"/>
        <v>9.9957617181083494E-6</v>
      </c>
      <c r="O748" s="45" t="e">
        <f t="shared" si="93"/>
        <v>#VALUE!</v>
      </c>
      <c r="P748" s="52" t="str">
        <f t="shared" si="94"/>
        <v/>
      </c>
      <c r="Q748" s="53" t="str">
        <f t="shared" si="95"/>
        <v/>
      </c>
      <c r="R748" s="54" t="str">
        <f t="shared" si="96"/>
        <v/>
      </c>
      <c r="S748" s="53" t="str">
        <f t="shared" si="97"/>
        <v/>
      </c>
    </row>
    <row r="749" spans="10:19" x14ac:dyDescent="0.15">
      <c r="J749" s="38">
        <v>740</v>
      </c>
      <c r="K749" s="40"/>
      <c r="L749" s="34">
        <f t="shared" si="91"/>
        <v>8.3516607553292467E-4</v>
      </c>
      <c r="M749" s="35">
        <f t="shared" si="92"/>
        <v>2.2127489243829151E-7</v>
      </c>
      <c r="N749" s="44">
        <f t="shared" si="90"/>
        <v>9.9524239831768301E-6</v>
      </c>
      <c r="O749" s="45" t="e">
        <f t="shared" si="93"/>
        <v>#VALUE!</v>
      </c>
      <c r="P749" s="52" t="str">
        <f t="shared" si="94"/>
        <v/>
      </c>
      <c r="Q749" s="53" t="str">
        <f t="shared" si="95"/>
        <v/>
      </c>
      <c r="R749" s="54" t="str">
        <f t="shared" si="96"/>
        <v/>
      </c>
      <c r="S749" s="53" t="str">
        <f t="shared" si="97"/>
        <v/>
      </c>
    </row>
    <row r="750" spans="10:19" x14ac:dyDescent="0.15">
      <c r="J750" s="38">
        <v>741</v>
      </c>
      <c r="K750" s="40"/>
      <c r="L750" s="34">
        <f t="shared" si="91"/>
        <v>8.3538688135895557E-4</v>
      </c>
      <c r="M750" s="35">
        <f t="shared" si="92"/>
        <v>2.2033728804541042E-7</v>
      </c>
      <c r="N750" s="44">
        <f t="shared" si="90"/>
        <v>9.909228765839391E-6</v>
      </c>
      <c r="O750" s="45" t="e">
        <f t="shared" si="93"/>
        <v>#VALUE!</v>
      </c>
      <c r="P750" s="52" t="str">
        <f t="shared" si="94"/>
        <v/>
      </c>
      <c r="Q750" s="53" t="str">
        <f t="shared" si="95"/>
        <v/>
      </c>
      <c r="R750" s="54" t="str">
        <f t="shared" si="96"/>
        <v/>
      </c>
      <c r="S750" s="53" t="str">
        <f t="shared" si="97"/>
        <v/>
      </c>
    </row>
    <row r="751" spans="10:19" x14ac:dyDescent="0.15">
      <c r="J751" s="38">
        <v>742</v>
      </c>
      <c r="K751" s="40"/>
      <c r="L751" s="34">
        <f t="shared" si="91"/>
        <v>8.3560675116348061E-4</v>
      </c>
      <c r="M751" s="35">
        <f t="shared" si="92"/>
        <v>2.1940284705061702E-7</v>
      </c>
      <c r="N751" s="44">
        <f t="shared" si="90"/>
        <v>9.8661754417260104E-6</v>
      </c>
      <c r="O751" s="45" t="e">
        <f t="shared" si="93"/>
        <v>#VALUE!</v>
      </c>
      <c r="P751" s="52" t="str">
        <f t="shared" si="94"/>
        <v/>
      </c>
      <c r="Q751" s="53" t="str">
        <f t="shared" si="95"/>
        <v/>
      </c>
      <c r="R751" s="54" t="str">
        <f t="shared" si="96"/>
        <v/>
      </c>
      <c r="S751" s="53" t="str">
        <f t="shared" si="97"/>
        <v/>
      </c>
    </row>
    <row r="752" spans="10:19" x14ac:dyDescent="0.15">
      <c r="J752" s="38">
        <v>743</v>
      </c>
      <c r="K752" s="40"/>
      <c r="L752" s="34">
        <f t="shared" si="91"/>
        <v>8.3582568810278363E-4</v>
      </c>
      <c r="M752" s="35">
        <f t="shared" si="92"/>
        <v>2.1847155523918162E-7</v>
      </c>
      <c r="N752" s="44">
        <f t="shared" si="90"/>
        <v>9.8232633898835296E-6</v>
      </c>
      <c r="O752" s="45" t="e">
        <f t="shared" si="93"/>
        <v>#VALUE!</v>
      </c>
      <c r="P752" s="52" t="str">
        <f t="shared" si="94"/>
        <v/>
      </c>
      <c r="Q752" s="53" t="str">
        <f t="shared" si="95"/>
        <v/>
      </c>
      <c r="R752" s="54" t="str">
        <f t="shared" si="96"/>
        <v/>
      </c>
      <c r="S752" s="53" t="str">
        <f t="shared" si="97"/>
        <v/>
      </c>
    </row>
    <row r="753" spans="10:19" x14ac:dyDescent="0.15">
      <c r="J753" s="38">
        <v>744</v>
      </c>
      <c r="K753" s="40"/>
      <c r="L753" s="34">
        <f t="shared" si="91"/>
        <v>8.3604369531897424E-4</v>
      </c>
      <c r="M753" s="35">
        <f t="shared" si="92"/>
        <v>2.1754339847612751E-7</v>
      </c>
      <c r="N753" s="44">
        <f t="shared" si="90"/>
        <v>9.7804919927523427E-6</v>
      </c>
      <c r="O753" s="45" t="e">
        <f t="shared" si="93"/>
        <v>#VALUE!</v>
      </c>
      <c r="P753" s="52" t="str">
        <f t="shared" si="94"/>
        <v/>
      </c>
      <c r="Q753" s="53" t="str">
        <f t="shared" si="95"/>
        <v/>
      </c>
      <c r="R753" s="54" t="str">
        <f t="shared" si="96"/>
        <v/>
      </c>
      <c r="S753" s="53" t="str">
        <f t="shared" si="97"/>
        <v/>
      </c>
    </row>
    <row r="754" spans="10:19" x14ac:dyDescent="0.15">
      <c r="J754" s="38">
        <v>745</v>
      </c>
      <c r="K754" s="40"/>
      <c r="L754" s="34">
        <f t="shared" si="91"/>
        <v>8.3626077594006602E-4</v>
      </c>
      <c r="M754" s="35">
        <f t="shared" si="92"/>
        <v>2.1661836270569415E-7</v>
      </c>
      <c r="N754" s="44">
        <f t="shared" si="90"/>
        <v>9.7378606361448209E-6</v>
      </c>
      <c r="O754" s="45" t="e">
        <f t="shared" si="93"/>
        <v>#VALUE!</v>
      </c>
      <c r="P754" s="52" t="str">
        <f t="shared" si="94"/>
        <v/>
      </c>
      <c r="Q754" s="53" t="str">
        <f t="shared" si="95"/>
        <v/>
      </c>
      <c r="R754" s="54" t="str">
        <f t="shared" si="96"/>
        <v/>
      </c>
      <c r="S754" s="53" t="str">
        <f t="shared" si="97"/>
        <v/>
      </c>
    </row>
    <row r="755" spans="10:19" x14ac:dyDescent="0.15">
      <c r="J755" s="38">
        <v>746</v>
      </c>
      <c r="K755" s="40"/>
      <c r="L755" s="34">
        <f t="shared" si="91"/>
        <v>8.3647693308005653E-4</v>
      </c>
      <c r="M755" s="35">
        <f t="shared" si="92"/>
        <v>2.1569643395080548E-7</v>
      </c>
      <c r="N755" s="44">
        <f t="shared" si="90"/>
        <v>9.6953687092227615E-6</v>
      </c>
      <c r="O755" s="45" t="e">
        <f t="shared" si="93"/>
        <v>#VALUE!</v>
      </c>
      <c r="P755" s="52" t="str">
        <f t="shared" si="94"/>
        <v/>
      </c>
      <c r="Q755" s="53" t="str">
        <f t="shared" si="95"/>
        <v/>
      </c>
      <c r="R755" s="54" t="str">
        <f t="shared" si="96"/>
        <v/>
      </c>
      <c r="S755" s="53" t="str">
        <f t="shared" si="97"/>
        <v/>
      </c>
    </row>
    <row r="756" spans="10:19" x14ac:dyDescent="0.15">
      <c r="J756" s="38">
        <v>747</v>
      </c>
      <c r="K756" s="40"/>
      <c r="L756" s="34">
        <f t="shared" si="91"/>
        <v>8.366921698390057E-4</v>
      </c>
      <c r="M756" s="35">
        <f t="shared" si="92"/>
        <v>2.1477759831254149E-7</v>
      </c>
      <c r="N756" s="44">
        <f t="shared" si="90"/>
        <v>9.6530156044753778E-6</v>
      </c>
      <c r="O756" s="45" t="e">
        <f t="shared" si="93"/>
        <v>#VALUE!</v>
      </c>
      <c r="P756" s="52" t="str">
        <f t="shared" si="94"/>
        <v/>
      </c>
      <c r="Q756" s="53" t="str">
        <f t="shared" si="95"/>
        <v/>
      </c>
      <c r="R756" s="54" t="str">
        <f t="shared" si="96"/>
        <v/>
      </c>
      <c r="S756" s="53" t="str">
        <f t="shared" si="97"/>
        <v/>
      </c>
    </row>
    <row r="757" spans="10:19" x14ac:dyDescent="0.15">
      <c r="J757" s="38">
        <v>748</v>
      </c>
      <c r="K757" s="40"/>
      <c r="L757" s="34">
        <f t="shared" si="91"/>
        <v>8.3690648930311257E-4</v>
      </c>
      <c r="M757" s="35">
        <f t="shared" si="92"/>
        <v>2.1386184196961478E-7</v>
      </c>
      <c r="N757" s="44">
        <f t="shared" si="90"/>
        <v>9.6108007176981579E-6</v>
      </c>
      <c r="O757" s="45" t="e">
        <f t="shared" si="93"/>
        <v>#VALUE!</v>
      </c>
      <c r="P757" s="52" t="str">
        <f t="shared" si="94"/>
        <v/>
      </c>
      <c r="Q757" s="53" t="str">
        <f t="shared" si="95"/>
        <v/>
      </c>
      <c r="R757" s="54" t="str">
        <f t="shared" si="96"/>
        <v/>
      </c>
      <c r="S757" s="53" t="str">
        <f t="shared" si="97"/>
        <v/>
      </c>
    </row>
    <row r="758" spans="10:19" x14ac:dyDescent="0.15">
      <c r="J758" s="38">
        <v>749</v>
      </c>
      <c r="K758" s="40"/>
      <c r="L758" s="34">
        <f t="shared" si="91"/>
        <v>8.3711989454479446E-4</v>
      </c>
      <c r="M758" s="35">
        <f t="shared" si="92"/>
        <v>2.1294915117785058E-7</v>
      </c>
      <c r="N758" s="44">
        <f t="shared" si="90"/>
        <v>9.5687234479708552E-6</v>
      </c>
      <c r="O758" s="45" t="e">
        <f t="shared" si="93"/>
        <v>#VALUE!</v>
      </c>
      <c r="P758" s="52" t="str">
        <f t="shared" si="94"/>
        <v/>
      </c>
      <c r="Q758" s="53" t="str">
        <f t="shared" si="95"/>
        <v/>
      </c>
      <c r="R758" s="54" t="str">
        <f t="shared" si="96"/>
        <v/>
      </c>
      <c r="S758" s="53" t="str">
        <f t="shared" si="97"/>
        <v/>
      </c>
    </row>
    <row r="759" spans="10:19" x14ac:dyDescent="0.15">
      <c r="J759" s="38">
        <v>750</v>
      </c>
      <c r="K759" s="40"/>
      <c r="L759" s="34">
        <f t="shared" si="91"/>
        <v>8.3733238862276199E-4</v>
      </c>
      <c r="M759" s="35">
        <f t="shared" si="92"/>
        <v>2.1203951226967114E-7</v>
      </c>
      <c r="N759" s="44">
        <f t="shared" si="90"/>
        <v>9.5267831976364546E-6</v>
      </c>
      <c r="O759" s="45" t="e">
        <f t="shared" si="93"/>
        <v>#VALUE!</v>
      </c>
      <c r="P759" s="52" t="str">
        <f t="shared" si="94"/>
        <v/>
      </c>
      <c r="Q759" s="53" t="str">
        <f t="shared" si="95"/>
        <v/>
      </c>
      <c r="R759" s="54" t="str">
        <f t="shared" si="96"/>
        <v/>
      </c>
      <c r="S759" s="53" t="str">
        <f t="shared" si="97"/>
        <v/>
      </c>
    </row>
    <row r="760" spans="10:19" x14ac:dyDescent="0.15">
      <c r="J760" s="38">
        <v>751</v>
      </c>
      <c r="K760" s="40"/>
      <c r="L760" s="34">
        <f t="shared" si="91"/>
        <v>8.3754397458209694E-4</v>
      </c>
      <c r="M760" s="35">
        <f t="shared" si="92"/>
        <v>2.1113291165358387E-7</v>
      </c>
      <c r="N760" s="44">
        <f t="shared" si="90"/>
        <v>9.4849793722792718E-6</v>
      </c>
      <c r="O760" s="45" t="e">
        <f t="shared" si="93"/>
        <v>#VALUE!</v>
      </c>
      <c r="P760" s="52" t="str">
        <f t="shared" si="94"/>
        <v/>
      </c>
      <c r="Q760" s="53" t="str">
        <f t="shared" si="95"/>
        <v/>
      </c>
      <c r="R760" s="54" t="str">
        <f t="shared" si="96"/>
        <v/>
      </c>
      <c r="S760" s="53" t="str">
        <f t="shared" si="97"/>
        <v/>
      </c>
    </row>
    <row r="761" spans="10:19" x14ac:dyDescent="0.15">
      <c r="J761" s="38">
        <v>752</v>
      </c>
      <c r="K761" s="40"/>
      <c r="L761" s="34">
        <f t="shared" si="91"/>
        <v>8.3775465545432711E-4</v>
      </c>
      <c r="M761" s="35">
        <f t="shared" si="92"/>
        <v>2.1022933581367387E-7</v>
      </c>
      <c r="N761" s="44">
        <f t="shared" si="90"/>
        <v>9.4433113807044621E-6</v>
      </c>
      <c r="O761" s="45" t="e">
        <f t="shared" si="93"/>
        <v>#VALUE!</v>
      </c>
      <c r="P761" s="52" t="str">
        <f t="shared" si="94"/>
        <v/>
      </c>
      <c r="Q761" s="53" t="str">
        <f t="shared" si="95"/>
        <v/>
      </c>
      <c r="R761" s="54" t="str">
        <f t="shared" si="96"/>
        <v/>
      </c>
      <c r="S761" s="53" t="str">
        <f t="shared" si="97"/>
        <v/>
      </c>
    </row>
    <row r="762" spans="10:19" x14ac:dyDescent="0.15">
      <c r="J762" s="38">
        <v>753</v>
      </c>
      <c r="K762" s="40"/>
      <c r="L762" s="34">
        <f t="shared" si="91"/>
        <v>8.3796443425750188E-4</v>
      </c>
      <c r="M762" s="35">
        <f t="shared" si="92"/>
        <v>2.0932877130910021E-7</v>
      </c>
      <c r="N762" s="44">
        <f t="shared" si="90"/>
        <v>9.4017786349167697E-6</v>
      </c>
      <c r="O762" s="45" t="e">
        <f t="shared" si="93"/>
        <v>#VALUE!</v>
      </c>
      <c r="P762" s="52" t="str">
        <f t="shared" si="94"/>
        <v/>
      </c>
      <c r="Q762" s="53" t="str">
        <f t="shared" si="95"/>
        <v/>
      </c>
      <c r="R762" s="54" t="str">
        <f t="shared" si="96"/>
        <v/>
      </c>
      <c r="S762" s="53" t="str">
        <f t="shared" si="97"/>
        <v/>
      </c>
    </row>
    <row r="763" spans="10:19" x14ac:dyDescent="0.15">
      <c r="J763" s="38">
        <v>754</v>
      </c>
      <c r="K763" s="40"/>
      <c r="L763" s="34">
        <f t="shared" si="91"/>
        <v>8.3817331399626746E-4</v>
      </c>
      <c r="M763" s="35">
        <f t="shared" si="92"/>
        <v>2.0843120477359566E-7</v>
      </c>
      <c r="N763" s="44">
        <f t="shared" si="90"/>
        <v>9.360380550099928E-6</v>
      </c>
      <c r="O763" s="45" t="e">
        <f t="shared" si="93"/>
        <v>#VALUE!</v>
      </c>
      <c r="P763" s="52" t="str">
        <f t="shared" si="94"/>
        <v/>
      </c>
      <c r="Q763" s="53" t="str">
        <f t="shared" si="95"/>
        <v/>
      </c>
      <c r="R763" s="54" t="str">
        <f t="shared" si="96"/>
        <v/>
      </c>
      <c r="S763" s="53" t="str">
        <f t="shared" si="97"/>
        <v/>
      </c>
    </row>
    <row r="764" spans="10:19" x14ac:dyDescent="0.15">
      <c r="J764" s="38">
        <v>755</v>
      </c>
      <c r="K764" s="40"/>
      <c r="L764" s="34">
        <f t="shared" si="91"/>
        <v>8.3838129766194047E-4</v>
      </c>
      <c r="M764" s="35">
        <f t="shared" si="92"/>
        <v>2.0753662291497126E-7</v>
      </c>
      <c r="N764" s="44">
        <f t="shared" si="90"/>
        <v>9.3191165445967103E-6</v>
      </c>
      <c r="O764" s="45" t="e">
        <f t="shared" si="93"/>
        <v>#VALUE!</v>
      </c>
      <c r="P764" s="52" t="str">
        <f t="shared" si="94"/>
        <v/>
      </c>
      <c r="Q764" s="53" t="str">
        <f t="shared" si="95"/>
        <v/>
      </c>
      <c r="R764" s="54" t="str">
        <f t="shared" si="96"/>
        <v/>
      </c>
      <c r="S764" s="53" t="str">
        <f t="shared" si="97"/>
        <v/>
      </c>
    </row>
    <row r="765" spans="10:19" x14ac:dyDescent="0.15">
      <c r="J765" s="38">
        <v>756</v>
      </c>
      <c r="K765" s="40"/>
      <c r="L765" s="34">
        <f t="shared" si="91"/>
        <v>8.3858838823258283E-4</v>
      </c>
      <c r="M765" s="35">
        <f t="shared" si="92"/>
        <v>2.0664501251462384E-7</v>
      </c>
      <c r="N765" s="44">
        <f t="shared" si="90"/>
        <v>9.2779860398863783E-6</v>
      </c>
      <c r="O765" s="45" t="e">
        <f t="shared" si="93"/>
        <v>#VALUE!</v>
      </c>
      <c r="P765" s="52" t="str">
        <f t="shared" si="94"/>
        <v/>
      </c>
      <c r="Q765" s="53" t="str">
        <f t="shared" si="95"/>
        <v/>
      </c>
      <c r="R765" s="54" t="str">
        <f t="shared" si="96"/>
        <v/>
      </c>
      <c r="S765" s="53" t="str">
        <f t="shared" si="97"/>
        <v/>
      </c>
    </row>
    <row r="766" spans="10:19" x14ac:dyDescent="0.15">
      <c r="J766" s="38">
        <v>757</v>
      </c>
      <c r="K766" s="40"/>
      <c r="L766" s="34">
        <f t="shared" si="91"/>
        <v>8.3879458867307309E-4</v>
      </c>
      <c r="M766" s="35">
        <f t="shared" si="92"/>
        <v>2.057563604270479E-7</v>
      </c>
      <c r="N766" s="44">
        <f t="shared" si="90"/>
        <v>9.2369884605674434E-6</v>
      </c>
      <c r="O766" s="45" t="e">
        <f t="shared" si="93"/>
        <v>#VALUE!</v>
      </c>
      <c r="P766" s="52" t="str">
        <f t="shared" si="94"/>
        <v/>
      </c>
      <c r="Q766" s="53" t="str">
        <f t="shared" si="95"/>
        <v/>
      </c>
      <c r="R766" s="54" t="str">
        <f t="shared" si="96"/>
        <v/>
      </c>
      <c r="S766" s="53" t="str">
        <f t="shared" si="97"/>
        <v/>
      </c>
    </row>
    <row r="767" spans="10:19" x14ac:dyDescent="0.15">
      <c r="J767" s="38">
        <v>758</v>
      </c>
      <c r="K767" s="40"/>
      <c r="L767" s="34">
        <f t="shared" si="91"/>
        <v>8.3899990193518257E-4</v>
      </c>
      <c r="M767" s="35">
        <f t="shared" si="92"/>
        <v>2.0487065357935102E-7</v>
      </c>
      <c r="N767" s="44">
        <f t="shared" si="90"/>
        <v>9.196123234334031E-6</v>
      </c>
      <c r="O767" s="45" t="e">
        <f t="shared" si="93"/>
        <v>#VALUE!</v>
      </c>
      <c r="P767" s="52" t="str">
        <f t="shared" si="94"/>
        <v/>
      </c>
      <c r="Q767" s="53" t="str">
        <f t="shared" si="95"/>
        <v/>
      </c>
      <c r="R767" s="54" t="str">
        <f t="shared" si="96"/>
        <v/>
      </c>
      <c r="S767" s="53" t="str">
        <f t="shared" si="97"/>
        <v/>
      </c>
    </row>
    <row r="768" spans="10:19" x14ac:dyDescent="0.15">
      <c r="J768" s="38">
        <v>759</v>
      </c>
      <c r="K768" s="40"/>
      <c r="L768" s="34">
        <f t="shared" si="91"/>
        <v>8.3920433095764418E-4</v>
      </c>
      <c r="M768" s="35">
        <f t="shared" si="92"/>
        <v>2.039878789707731E-7</v>
      </c>
      <c r="N768" s="44">
        <f t="shared" si="90"/>
        <v>9.1553897919596176E-6</v>
      </c>
      <c r="O768" s="45" t="e">
        <f t="shared" si="93"/>
        <v>#VALUE!</v>
      </c>
      <c r="P768" s="52" t="str">
        <f t="shared" si="94"/>
        <v/>
      </c>
      <c r="Q768" s="53" t="str">
        <f t="shared" si="95"/>
        <v/>
      </c>
      <c r="R768" s="54" t="str">
        <f t="shared" si="96"/>
        <v/>
      </c>
      <c r="S768" s="53" t="str">
        <f t="shared" si="97"/>
        <v/>
      </c>
    </row>
    <row r="769" spans="10:19" x14ac:dyDescent="0.15">
      <c r="J769" s="38">
        <v>760</v>
      </c>
      <c r="K769" s="40"/>
      <c r="L769" s="34">
        <f t="shared" si="91"/>
        <v>8.3940787866622661E-4</v>
      </c>
      <c r="M769" s="35">
        <f t="shared" si="92"/>
        <v>2.0310802367220926E-7</v>
      </c>
      <c r="N769" s="44">
        <f t="shared" si="90"/>
        <v>9.1147875672742623E-6</v>
      </c>
      <c r="O769" s="45" t="e">
        <f t="shared" si="93"/>
        <v>#VALUE!</v>
      </c>
      <c r="P769" s="52" t="str">
        <f t="shared" si="94"/>
        <v/>
      </c>
      <c r="Q769" s="53" t="str">
        <f t="shared" si="95"/>
        <v/>
      </c>
      <c r="R769" s="54" t="str">
        <f t="shared" si="96"/>
        <v/>
      </c>
      <c r="S769" s="53" t="str">
        <f t="shared" si="97"/>
        <v/>
      </c>
    </row>
    <row r="770" spans="10:19" x14ac:dyDescent="0.15">
      <c r="J770" s="38">
        <v>761</v>
      </c>
      <c r="K770" s="40"/>
      <c r="L770" s="34">
        <f t="shared" si="91"/>
        <v>8.3961054797380529E-4</v>
      </c>
      <c r="M770" s="35">
        <f t="shared" si="92"/>
        <v>2.0223107482573627E-7</v>
      </c>
      <c r="N770" s="44">
        <f t="shared" si="90"/>
        <v>9.0743159971454169E-6</v>
      </c>
      <c r="O770" s="45" t="e">
        <f t="shared" si="93"/>
        <v>#VALUE!</v>
      </c>
      <c r="P770" s="52" t="str">
        <f t="shared" si="94"/>
        <v/>
      </c>
      <c r="Q770" s="53" t="str">
        <f t="shared" si="95"/>
        <v/>
      </c>
      <c r="R770" s="54" t="str">
        <f t="shared" si="96"/>
        <v/>
      </c>
      <c r="S770" s="53" t="str">
        <f t="shared" si="97"/>
        <v/>
      </c>
    </row>
    <row r="771" spans="10:19" x14ac:dyDescent="0.15">
      <c r="J771" s="38">
        <v>762</v>
      </c>
      <c r="K771" s="40"/>
      <c r="L771" s="34">
        <f t="shared" si="91"/>
        <v>8.398123417804323E-4</v>
      </c>
      <c r="M771" s="35">
        <f t="shared" si="92"/>
        <v>2.013570196441431E-7</v>
      </c>
      <c r="N771" s="44">
        <f t="shared" si="90"/>
        <v>9.0339745214609033E-6</v>
      </c>
      <c r="O771" s="45" t="e">
        <f t="shared" si="93"/>
        <v>#VALUE!</v>
      </c>
      <c r="P771" s="52" t="str">
        <f t="shared" si="94"/>
        <v/>
      </c>
      <c r="Q771" s="53" t="str">
        <f t="shared" si="95"/>
        <v/>
      </c>
      <c r="R771" s="54" t="str">
        <f t="shared" si="96"/>
        <v/>
      </c>
      <c r="S771" s="53" t="str">
        <f t="shared" si="97"/>
        <v/>
      </c>
    </row>
    <row r="772" spans="10:19" x14ac:dyDescent="0.15">
      <c r="J772" s="38">
        <v>763</v>
      </c>
      <c r="K772" s="40"/>
      <c r="L772" s="34">
        <f t="shared" si="91"/>
        <v>8.400132629734087E-4</v>
      </c>
      <c r="M772" s="35">
        <f t="shared" si="92"/>
        <v>2.0048584541046466E-7</v>
      </c>
      <c r="N772" s="44">
        <f t="shared" si="90"/>
        <v>8.9937625831054951E-6</v>
      </c>
      <c r="O772" s="45" t="e">
        <f t="shared" si="93"/>
        <v>#VALUE!</v>
      </c>
      <c r="P772" s="52" t="str">
        <f t="shared" si="94"/>
        <v/>
      </c>
      <c r="Q772" s="53" t="str">
        <f t="shared" si="95"/>
        <v/>
      </c>
      <c r="R772" s="54" t="str">
        <f t="shared" si="96"/>
        <v/>
      </c>
      <c r="S772" s="53" t="str">
        <f t="shared" si="97"/>
        <v/>
      </c>
    </row>
    <row r="773" spans="10:19" x14ac:dyDescent="0.15">
      <c r="J773" s="38">
        <v>764</v>
      </c>
      <c r="K773" s="40"/>
      <c r="L773" s="34">
        <f t="shared" si="91"/>
        <v>8.4021331442735267E-4</v>
      </c>
      <c r="M773" s="35">
        <f t="shared" si="92"/>
        <v>1.9961753947751914E-7</v>
      </c>
      <c r="N773" s="44">
        <f t="shared" si="90"/>
        <v>8.9536796279445462E-6</v>
      </c>
      <c r="O773" s="45" t="e">
        <f t="shared" si="93"/>
        <v>#VALUE!</v>
      </c>
      <c r="P773" s="52" t="str">
        <f t="shared" si="94"/>
        <v/>
      </c>
      <c r="Q773" s="53" t="str">
        <f t="shared" si="95"/>
        <v/>
      </c>
      <c r="R773" s="54" t="str">
        <f t="shared" si="96"/>
        <v/>
      </c>
      <c r="S773" s="53" t="str">
        <f t="shared" si="97"/>
        <v/>
      </c>
    </row>
    <row r="774" spans="10:19" x14ac:dyDescent="0.15">
      <c r="J774" s="38">
        <v>765</v>
      </c>
      <c r="K774" s="40"/>
      <c r="L774" s="34">
        <f t="shared" si="91"/>
        <v>8.4041249900427054E-4</v>
      </c>
      <c r="M774" s="35">
        <f t="shared" si="92"/>
        <v>1.9875208926744902E-7</v>
      </c>
      <c r="N774" s="44">
        <f t="shared" si="90"/>
        <v>8.9137251048041497E-6</v>
      </c>
      <c r="O774" s="45" t="e">
        <f t="shared" si="93"/>
        <v>#VALUE!</v>
      </c>
      <c r="P774" s="52" t="str">
        <f t="shared" si="94"/>
        <v/>
      </c>
      <c r="Q774" s="53" t="str">
        <f t="shared" si="95"/>
        <v/>
      </c>
      <c r="R774" s="54" t="str">
        <f t="shared" si="96"/>
        <v/>
      </c>
      <c r="S774" s="53" t="str">
        <f t="shared" si="97"/>
        <v/>
      </c>
    </row>
    <row r="775" spans="10:19" x14ac:dyDescent="0.15">
      <c r="J775" s="38">
        <v>766</v>
      </c>
      <c r="K775" s="40"/>
      <c r="L775" s="34">
        <f t="shared" si="91"/>
        <v>8.4061081955362472E-4</v>
      </c>
      <c r="M775" s="35">
        <f t="shared" si="92"/>
        <v>1.9788948227126578E-7</v>
      </c>
      <c r="N775" s="44">
        <f t="shared" si="90"/>
        <v>8.8738984654518393E-6</v>
      </c>
      <c r="O775" s="45" t="e">
        <f t="shared" si="93"/>
        <v>#VALUE!</v>
      </c>
      <c r="P775" s="52" t="str">
        <f t="shared" si="94"/>
        <v/>
      </c>
      <c r="Q775" s="53" t="str">
        <f t="shared" si="95"/>
        <v/>
      </c>
      <c r="R775" s="54" t="str">
        <f t="shared" si="96"/>
        <v/>
      </c>
      <c r="S775" s="53" t="str">
        <f t="shared" si="97"/>
        <v/>
      </c>
    </row>
    <row r="776" spans="10:19" x14ac:dyDescent="0.15">
      <c r="J776" s="38">
        <v>767</v>
      </c>
      <c r="K776" s="40"/>
      <c r="L776" s="34">
        <f t="shared" si="91"/>
        <v>8.4080827891240344E-4</v>
      </c>
      <c r="M776" s="35">
        <f t="shared" si="92"/>
        <v>1.9702970604839748E-7</v>
      </c>
      <c r="N776" s="44">
        <f t="shared" si="90"/>
        <v>8.8341991645778323E-6</v>
      </c>
      <c r="O776" s="45" t="e">
        <f t="shared" si="93"/>
        <v>#VALUE!</v>
      </c>
      <c r="P776" s="52" t="str">
        <f t="shared" si="94"/>
        <v/>
      </c>
      <c r="Q776" s="53" t="str">
        <f t="shared" si="95"/>
        <v/>
      </c>
      <c r="R776" s="54" t="str">
        <f t="shared" si="96"/>
        <v/>
      </c>
      <c r="S776" s="53" t="str">
        <f t="shared" si="97"/>
        <v/>
      </c>
    </row>
    <row r="777" spans="10:19" x14ac:dyDescent="0.15">
      <c r="J777" s="38">
        <v>768</v>
      </c>
      <c r="K777" s="40"/>
      <c r="L777" s="34">
        <f t="shared" si="91"/>
        <v>8.4100487990518779E-4</v>
      </c>
      <c r="M777" s="35">
        <f t="shared" si="92"/>
        <v>1.9617274822624086E-7</v>
      </c>
      <c r="N777" s="44">
        <f t="shared" ref="N777:N840" si="98">(L827-L777)</f>
        <v>8.7946266597769239E-6</v>
      </c>
      <c r="O777" s="45" t="e">
        <f t="shared" si="93"/>
        <v>#VALUE!</v>
      </c>
      <c r="P777" s="52" t="str">
        <f t="shared" si="94"/>
        <v/>
      </c>
      <c r="Q777" s="53" t="str">
        <f t="shared" si="95"/>
        <v/>
      </c>
      <c r="R777" s="54" t="str">
        <f t="shared" si="96"/>
        <v/>
      </c>
      <c r="S777" s="53" t="str">
        <f t="shared" si="97"/>
        <v/>
      </c>
    </row>
    <row r="778" spans="10:19" x14ac:dyDescent="0.15">
      <c r="J778" s="38">
        <v>769</v>
      </c>
      <c r="K778" s="40"/>
      <c r="L778" s="34">
        <f t="shared" ref="L778:L841" si="99">$F$39*((1-$F$40*J778)/(1+$F$41*J778))*(J778-$F$42)</f>
        <v>8.4120062534422048E-4</v>
      </c>
      <c r="M778" s="35">
        <f t="shared" ref="M778:M841" si="100">$F$39*((1-2*$F$40*J778-$F$40*$F$41*(J778^2)+($F$41+$F$40)*$F$42)/(1+$F$41*J778)^2)</f>
        <v>1.9531859649971537E-7</v>
      </c>
      <c r="N778" s="44">
        <f t="shared" si="98"/>
        <v>8.7551804115292963E-6</v>
      </c>
      <c r="O778" s="45" t="e">
        <f t="shared" ref="O778:O841" si="101">IF(N778&lt;=$B$49,1+O777,0)</f>
        <v>#VALUE!</v>
      </c>
      <c r="P778" s="52" t="str">
        <f t="shared" ref="P778:P841" si="102">IF(J778&lt;=$F$42,J778,"")</f>
        <v/>
      </c>
      <c r="Q778" s="53" t="str">
        <f t="shared" ref="Q778:Q841" si="103">IF(J778&lt;=$F$42,L778,"")</f>
        <v/>
      </c>
      <c r="R778" s="54" t="str">
        <f t="shared" ref="R778:R841" si="104">IF(AND(J778&gt;=$F$42,J778&lt;=200),J778,"")</f>
        <v/>
      </c>
      <c r="S778" s="53" t="str">
        <f t="shared" ref="S778:S841" si="105">IF(AND(J778&gt;=$F$42,J778&lt;=200),L778,"")</f>
        <v/>
      </c>
    </row>
    <row r="779" spans="10:19" x14ac:dyDescent="0.15">
      <c r="J779" s="38">
        <v>770</v>
      </c>
      <c r="K779" s="40"/>
      <c r="L779" s="34">
        <f t="shared" si="99"/>
        <v>8.4139551802947239E-4</v>
      </c>
      <c r="M779" s="35">
        <f t="shared" si="100"/>
        <v>1.9446723863082224E-7</v>
      </c>
      <c r="N779" s="44">
        <f t="shared" si="98"/>
        <v>8.7158598831826297E-6</v>
      </c>
      <c r="O779" s="45" t="e">
        <f t="shared" si="101"/>
        <v>#VALUE!</v>
      </c>
      <c r="P779" s="52" t="str">
        <f t="shared" si="102"/>
        <v/>
      </c>
      <c r="Q779" s="53" t="str">
        <f t="shared" si="103"/>
        <v/>
      </c>
      <c r="R779" s="54" t="str">
        <f t="shared" si="104"/>
        <v/>
      </c>
      <c r="S779" s="53" t="str">
        <f t="shared" si="105"/>
        <v/>
      </c>
    </row>
    <row r="780" spans="10:19" x14ac:dyDescent="0.15">
      <c r="J780" s="38">
        <v>771</v>
      </c>
      <c r="K780" s="40"/>
      <c r="L780" s="34">
        <f t="shared" si="99"/>
        <v>8.4158956074870995E-4</v>
      </c>
      <c r="M780" s="35">
        <f t="shared" si="100"/>
        <v>1.9361866244820547E-7</v>
      </c>
      <c r="N780" s="44">
        <f t="shared" si="98"/>
        <v>8.6766645409331287E-6</v>
      </c>
      <c r="O780" s="45" t="e">
        <f t="shared" si="101"/>
        <v>#VALUE!</v>
      </c>
      <c r="P780" s="52" t="str">
        <f t="shared" si="102"/>
        <v/>
      </c>
      <c r="Q780" s="53" t="str">
        <f t="shared" si="103"/>
        <v/>
      </c>
      <c r="R780" s="54" t="str">
        <f t="shared" si="104"/>
        <v/>
      </c>
      <c r="S780" s="53" t="str">
        <f t="shared" si="105"/>
        <v/>
      </c>
    </row>
    <row r="781" spans="10:19" x14ac:dyDescent="0.15">
      <c r="J781" s="38">
        <v>772</v>
      </c>
      <c r="K781" s="40"/>
      <c r="L781" s="34">
        <f t="shared" si="99"/>
        <v>8.4178275627756164E-4</v>
      </c>
      <c r="M781" s="35">
        <f t="shared" si="100"/>
        <v>1.9277285584671754E-7</v>
      </c>
      <c r="N781" s="44">
        <f t="shared" si="98"/>
        <v>8.6375938538078498E-6</v>
      </c>
      <c r="O781" s="45" t="e">
        <f t="shared" si="101"/>
        <v>#VALUE!</v>
      </c>
      <c r="P781" s="52" t="str">
        <f t="shared" si="102"/>
        <v/>
      </c>
      <c r="Q781" s="53" t="str">
        <f t="shared" si="103"/>
        <v/>
      </c>
      <c r="R781" s="54" t="str">
        <f t="shared" si="104"/>
        <v/>
      </c>
      <c r="S781" s="53" t="str">
        <f t="shared" si="105"/>
        <v/>
      </c>
    </row>
    <row r="782" spans="10:19" x14ac:dyDescent="0.15">
      <c r="J782" s="38">
        <v>773</v>
      </c>
      <c r="K782" s="40"/>
      <c r="L782" s="34">
        <f t="shared" si="99"/>
        <v>8.4197510737958332E-4</v>
      </c>
      <c r="M782" s="35">
        <f t="shared" si="100"/>
        <v>1.9192980678698695E-7</v>
      </c>
      <c r="N782" s="44">
        <f t="shared" si="98"/>
        <v>8.5986472936465949E-6</v>
      </c>
      <c r="O782" s="45" t="e">
        <f t="shared" si="101"/>
        <v>#VALUE!</v>
      </c>
      <c r="P782" s="52" t="str">
        <f t="shared" si="102"/>
        <v/>
      </c>
      <c r="Q782" s="53" t="str">
        <f t="shared" si="103"/>
        <v/>
      </c>
      <c r="R782" s="54" t="str">
        <f t="shared" si="104"/>
        <v/>
      </c>
      <c r="S782" s="53" t="str">
        <f t="shared" si="105"/>
        <v/>
      </c>
    </row>
    <row r="783" spans="10:19" x14ac:dyDescent="0.15">
      <c r="J783" s="38">
        <v>774</v>
      </c>
      <c r="K783" s="40"/>
      <c r="L783" s="34">
        <f t="shared" si="99"/>
        <v>8.4216661680632432E-4</v>
      </c>
      <c r="M783" s="35">
        <f t="shared" si="100"/>
        <v>1.9108950329499021E-7</v>
      </c>
      <c r="N783" s="44">
        <f t="shared" si="98"/>
        <v>8.559824335084348E-6</v>
      </c>
      <c r="O783" s="45" t="e">
        <f t="shared" si="101"/>
        <v>#VALUE!</v>
      </c>
      <c r="P783" s="52" t="str">
        <f t="shared" si="102"/>
        <v/>
      </c>
      <c r="Q783" s="53" t="str">
        <f t="shared" si="103"/>
        <v/>
      </c>
      <c r="R783" s="54" t="str">
        <f t="shared" si="104"/>
        <v/>
      </c>
      <c r="S783" s="53" t="str">
        <f t="shared" si="105"/>
        <v/>
      </c>
    </row>
    <row r="784" spans="10:19" x14ac:dyDescent="0.15">
      <c r="J784" s="38">
        <v>775</v>
      </c>
      <c r="K784" s="40"/>
      <c r="L784" s="34">
        <f t="shared" si="99"/>
        <v>8.4235728729739221E-4</v>
      </c>
      <c r="M784" s="35">
        <f t="shared" si="100"/>
        <v>1.9025193346162649E-7</v>
      </c>
      <c r="N784" s="44">
        <f t="shared" si="98"/>
        <v>8.5211244555332766E-6</v>
      </c>
      <c r="O784" s="45" t="e">
        <f t="shared" si="101"/>
        <v>#VALUE!</v>
      </c>
      <c r="P784" s="52" t="str">
        <f t="shared" si="102"/>
        <v/>
      </c>
      <c r="Q784" s="53" t="str">
        <f t="shared" si="103"/>
        <v/>
      </c>
      <c r="R784" s="54" t="str">
        <f t="shared" si="104"/>
        <v/>
      </c>
      <c r="S784" s="53" t="str">
        <f t="shared" si="105"/>
        <v/>
      </c>
    </row>
    <row r="785" spans="10:19" x14ac:dyDescent="0.15">
      <c r="J785" s="38">
        <v>776</v>
      </c>
      <c r="K785" s="40"/>
      <c r="L785" s="34">
        <f t="shared" si="99"/>
        <v>8.4254712158051825E-4</v>
      </c>
      <c r="M785" s="35">
        <f t="shared" si="100"/>
        <v>1.8941708544229601E-7</v>
      </c>
      <c r="N785" s="44">
        <f t="shared" si="98"/>
        <v>8.4825471351651681E-6</v>
      </c>
      <c r="O785" s="45" t="e">
        <f t="shared" si="101"/>
        <v>#VALUE!</v>
      </c>
      <c r="P785" s="52" t="str">
        <f t="shared" si="102"/>
        <v/>
      </c>
      <c r="Q785" s="53" t="str">
        <f t="shared" si="103"/>
        <v/>
      </c>
      <c r="R785" s="54" t="str">
        <f t="shared" si="104"/>
        <v/>
      </c>
      <c r="S785" s="53" t="str">
        <f t="shared" si="105"/>
        <v/>
      </c>
    </row>
    <row r="786" spans="10:19" x14ac:dyDescent="0.15">
      <c r="J786" s="38">
        <v>777</v>
      </c>
      <c r="K786" s="40"/>
      <c r="L786" s="34">
        <f t="shared" si="99"/>
        <v>8.4273612237162061E-4</v>
      </c>
      <c r="M786" s="35">
        <f t="shared" si="100"/>
        <v>1.8858494745648081E-7</v>
      </c>
      <c r="N786" s="44">
        <f t="shared" si="98"/>
        <v>8.4440918568937573E-6</v>
      </c>
      <c r="O786" s="45" t="e">
        <f t="shared" si="101"/>
        <v>#VALUE!</v>
      </c>
      <c r="P786" s="52" t="str">
        <f t="shared" si="102"/>
        <v/>
      </c>
      <c r="Q786" s="53" t="str">
        <f t="shared" si="103"/>
        <v/>
      </c>
      <c r="R786" s="54" t="str">
        <f t="shared" si="104"/>
        <v/>
      </c>
      <c r="S786" s="53" t="str">
        <f t="shared" si="105"/>
        <v/>
      </c>
    </row>
    <row r="787" spans="10:19" x14ac:dyDescent="0.15">
      <c r="J787" s="38">
        <v>778</v>
      </c>
      <c r="K787" s="40"/>
      <c r="L787" s="34">
        <f t="shared" si="99"/>
        <v>8.4292429237486921E-4</v>
      </c>
      <c r="M787" s="35">
        <f t="shared" si="100"/>
        <v>1.8775550778732945E-7</v>
      </c>
      <c r="N787" s="44">
        <f t="shared" si="98"/>
        <v>8.405758106357704E-6</v>
      </c>
      <c r="O787" s="45" t="e">
        <f t="shared" si="101"/>
        <v>#VALUE!</v>
      </c>
      <c r="P787" s="52" t="str">
        <f t="shared" si="102"/>
        <v/>
      </c>
      <c r="Q787" s="53" t="str">
        <f t="shared" si="103"/>
        <v/>
      </c>
      <c r="R787" s="54" t="str">
        <f t="shared" si="104"/>
        <v/>
      </c>
      <c r="S787" s="53" t="str">
        <f t="shared" si="105"/>
        <v/>
      </c>
    </row>
    <row r="788" spans="10:19" x14ac:dyDescent="0.15">
      <c r="J788" s="38">
        <v>779</v>
      </c>
      <c r="K788" s="40"/>
      <c r="L788" s="34">
        <f t="shared" si="99"/>
        <v>8.4311163428274884E-4</v>
      </c>
      <c r="M788" s="35">
        <f t="shared" si="100"/>
        <v>1.8692875478124443E-7</v>
      </c>
      <c r="N788" s="44">
        <f t="shared" si="98"/>
        <v>8.3675453719032466E-6</v>
      </c>
      <c r="O788" s="45" t="e">
        <f t="shared" si="101"/>
        <v>#VALUE!</v>
      </c>
      <c r="P788" s="52" t="str">
        <f t="shared" si="102"/>
        <v/>
      </c>
      <c r="Q788" s="53" t="str">
        <f t="shared" si="103"/>
        <v/>
      </c>
      <c r="R788" s="54" t="str">
        <f t="shared" si="104"/>
        <v/>
      </c>
      <c r="S788" s="53" t="str">
        <f t="shared" si="105"/>
        <v/>
      </c>
    </row>
    <row r="789" spans="10:19" x14ac:dyDescent="0.15">
      <c r="J789" s="38">
        <v>780</v>
      </c>
      <c r="K789" s="40"/>
      <c r="L789" s="34">
        <f t="shared" si="99"/>
        <v>8.4329815077612187E-4</v>
      </c>
      <c r="M789" s="35">
        <f t="shared" si="100"/>
        <v>1.8610467684747293E-7</v>
      </c>
      <c r="N789" s="44">
        <f t="shared" si="98"/>
        <v>8.3294531445668538E-6</v>
      </c>
      <c r="O789" s="45" t="e">
        <f t="shared" si="101"/>
        <v>#VALUE!</v>
      </c>
      <c r="P789" s="52" t="str">
        <f t="shared" si="102"/>
        <v/>
      </c>
      <c r="Q789" s="53" t="str">
        <f t="shared" si="103"/>
        <v/>
      </c>
      <c r="R789" s="54" t="str">
        <f t="shared" si="104"/>
        <v/>
      </c>
      <c r="S789" s="53" t="str">
        <f t="shared" si="105"/>
        <v/>
      </c>
    </row>
    <row r="790" spans="10:19" x14ac:dyDescent="0.15">
      <c r="J790" s="38">
        <v>781</v>
      </c>
      <c r="K790" s="40"/>
      <c r="L790" s="34">
        <f t="shared" si="99"/>
        <v>8.4348384452429112E-4</v>
      </c>
      <c r="M790" s="35">
        <f t="shared" si="100"/>
        <v>1.8528326245770066E-7</v>
      </c>
      <c r="N790" s="44">
        <f t="shared" si="98"/>
        <v>8.2914809180588541E-6</v>
      </c>
      <c r="O790" s="45" t="e">
        <f t="shared" si="101"/>
        <v>#VALUE!</v>
      </c>
      <c r="P790" s="52" t="str">
        <f t="shared" si="102"/>
        <v/>
      </c>
      <c r="Q790" s="53" t="str">
        <f t="shared" si="103"/>
        <v/>
      </c>
      <c r="R790" s="54" t="str">
        <f t="shared" si="104"/>
        <v/>
      </c>
      <c r="S790" s="53" t="str">
        <f t="shared" si="105"/>
        <v/>
      </c>
    </row>
    <row r="791" spans="10:19" x14ac:dyDescent="0.15">
      <c r="J791" s="38">
        <v>782</v>
      </c>
      <c r="K791" s="40"/>
      <c r="L791" s="34">
        <f t="shared" si="99"/>
        <v>8.4366871818506242E-4</v>
      </c>
      <c r="M791" s="35">
        <f t="shared" si="100"/>
        <v>1.8446450014564847E-7</v>
      </c>
      <c r="N791" s="44">
        <f t="shared" si="98"/>
        <v>8.2536281887459796E-6</v>
      </c>
      <c r="O791" s="45" t="e">
        <f t="shared" si="101"/>
        <v>#VALUE!</v>
      </c>
      <c r="P791" s="52" t="str">
        <f t="shared" si="102"/>
        <v/>
      </c>
      <c r="Q791" s="53" t="str">
        <f t="shared" si="103"/>
        <v/>
      </c>
      <c r="R791" s="54" t="str">
        <f t="shared" si="104"/>
        <v/>
      </c>
      <c r="S791" s="53" t="str">
        <f t="shared" si="105"/>
        <v/>
      </c>
    </row>
    <row r="792" spans="10:19" x14ac:dyDescent="0.15">
      <c r="J792" s="38">
        <v>783</v>
      </c>
      <c r="K792" s="40"/>
      <c r="L792" s="34">
        <f t="shared" si="99"/>
        <v>8.438527744048062E-4</v>
      </c>
      <c r="M792" s="35">
        <f t="shared" si="100"/>
        <v>1.8364837850667226E-7</v>
      </c>
      <c r="N792" s="44">
        <f t="shared" si="98"/>
        <v>8.2158944556347778E-6</v>
      </c>
      <c r="O792" s="45" t="e">
        <f t="shared" si="101"/>
        <v>#VALUE!</v>
      </c>
      <c r="P792" s="52" t="str">
        <f t="shared" si="102"/>
        <v/>
      </c>
      <c r="Q792" s="53" t="str">
        <f t="shared" si="103"/>
        <v/>
      </c>
      <c r="R792" s="54" t="str">
        <f t="shared" si="104"/>
        <v/>
      </c>
      <c r="S792" s="53" t="str">
        <f t="shared" si="105"/>
        <v/>
      </c>
    </row>
    <row r="793" spans="10:19" x14ac:dyDescent="0.15">
      <c r="J793" s="38">
        <v>784</v>
      </c>
      <c r="K793" s="40"/>
      <c r="L793" s="34">
        <f t="shared" si="99"/>
        <v>8.440360158185182E-4</v>
      </c>
      <c r="M793" s="35">
        <f t="shared" si="100"/>
        <v>1.8283488619736592E-7</v>
      </c>
      <c r="N793" s="44">
        <f t="shared" si="98"/>
        <v>8.1782792203563244E-6</v>
      </c>
      <c r="O793" s="45" t="e">
        <f t="shared" si="101"/>
        <v>#VALUE!</v>
      </c>
      <c r="P793" s="52" t="str">
        <f t="shared" si="102"/>
        <v/>
      </c>
      <c r="Q793" s="53" t="str">
        <f t="shared" si="103"/>
        <v/>
      </c>
      <c r="R793" s="54" t="str">
        <f t="shared" si="104"/>
        <v/>
      </c>
      <c r="S793" s="53" t="str">
        <f t="shared" si="105"/>
        <v/>
      </c>
    </row>
    <row r="794" spans="10:19" x14ac:dyDescent="0.15">
      <c r="J794" s="38">
        <v>785</v>
      </c>
      <c r="K794" s="40"/>
      <c r="L794" s="34">
        <f t="shared" si="99"/>
        <v>8.4421844504988246E-4</v>
      </c>
      <c r="M794" s="35">
        <f t="shared" si="100"/>
        <v>1.8202401193516702E-7</v>
      </c>
      <c r="N794" s="44">
        <f t="shared" si="98"/>
        <v>8.1407819871468163E-6</v>
      </c>
      <c r="O794" s="45" t="e">
        <f t="shared" si="101"/>
        <v>#VALUE!</v>
      </c>
      <c r="P794" s="52" t="str">
        <f t="shared" si="102"/>
        <v/>
      </c>
      <c r="Q794" s="53" t="str">
        <f t="shared" si="103"/>
        <v/>
      </c>
      <c r="R794" s="54" t="str">
        <f t="shared" si="104"/>
        <v/>
      </c>
      <c r="S794" s="53" t="str">
        <f t="shared" si="105"/>
        <v/>
      </c>
    </row>
    <row r="795" spans="10:19" x14ac:dyDescent="0.15">
      <c r="J795" s="38">
        <v>786</v>
      </c>
      <c r="K795" s="40"/>
      <c r="L795" s="34">
        <f t="shared" si="99"/>
        <v>8.4440006471132964E-4</v>
      </c>
      <c r="M795" s="35">
        <f t="shared" si="100"/>
        <v>1.8121574449796596E-7</v>
      </c>
      <c r="N795" s="44">
        <f t="shared" si="98"/>
        <v>8.1034022628344521E-6</v>
      </c>
      <c r="O795" s="45" t="e">
        <f t="shared" si="101"/>
        <v>#VALUE!</v>
      </c>
      <c r="P795" s="52" t="str">
        <f t="shared" si="102"/>
        <v/>
      </c>
      <c r="Q795" s="53" t="str">
        <f t="shared" si="103"/>
        <v/>
      </c>
      <c r="R795" s="54" t="str">
        <f t="shared" si="104"/>
        <v/>
      </c>
      <c r="S795" s="53" t="str">
        <f t="shared" si="105"/>
        <v/>
      </c>
    </row>
    <row r="796" spans="10:19" x14ac:dyDescent="0.15">
      <c r="J796" s="38">
        <v>787</v>
      </c>
      <c r="K796" s="40"/>
      <c r="L796" s="34">
        <f t="shared" si="99"/>
        <v>8.4458087740409875E-4</v>
      </c>
      <c r="M796" s="35">
        <f t="shared" si="100"/>
        <v>1.8041007272371713E-7</v>
      </c>
      <c r="N796" s="44">
        <f t="shared" si="98"/>
        <v>8.0661395568207847E-6</v>
      </c>
      <c r="O796" s="45" t="e">
        <f t="shared" si="101"/>
        <v>#VALUE!</v>
      </c>
      <c r="P796" s="52" t="str">
        <f t="shared" si="102"/>
        <v/>
      </c>
      <c r="Q796" s="53" t="str">
        <f t="shared" si="103"/>
        <v/>
      </c>
      <c r="R796" s="54" t="str">
        <f t="shared" si="104"/>
        <v/>
      </c>
      <c r="S796" s="53" t="str">
        <f t="shared" si="105"/>
        <v/>
      </c>
    </row>
    <row r="797" spans="10:19" x14ac:dyDescent="0.15">
      <c r="J797" s="38">
        <v>788</v>
      </c>
      <c r="K797" s="40"/>
      <c r="L797" s="34">
        <f t="shared" si="99"/>
        <v>8.4476088571829673E-4</v>
      </c>
      <c r="M797" s="35">
        <f t="shared" si="100"/>
        <v>1.7960698551005407E-7</v>
      </c>
      <c r="N797" s="44">
        <f t="shared" si="98"/>
        <v>8.028993381066084E-6</v>
      </c>
      <c r="O797" s="45" t="e">
        <f t="shared" si="101"/>
        <v>#VALUE!</v>
      </c>
      <c r="P797" s="52" t="str">
        <f t="shared" si="102"/>
        <v/>
      </c>
      <c r="Q797" s="53" t="str">
        <f t="shared" si="103"/>
        <v/>
      </c>
      <c r="R797" s="54" t="str">
        <f t="shared" si="104"/>
        <v/>
      </c>
      <c r="S797" s="53" t="str">
        <f t="shared" si="105"/>
        <v/>
      </c>
    </row>
    <row r="798" spans="10:19" x14ac:dyDescent="0.15">
      <c r="J798" s="38">
        <v>789</v>
      </c>
      <c r="K798" s="40"/>
      <c r="L798" s="34">
        <f t="shared" si="99"/>
        <v>8.4494009223295724E-4</v>
      </c>
      <c r="M798" s="35">
        <f t="shared" si="100"/>
        <v>1.7880647181390656E-7</v>
      </c>
      <c r="N798" s="44">
        <f t="shared" si="98"/>
        <v>7.9919632500732906E-6</v>
      </c>
      <c r="O798" s="45" t="e">
        <f t="shared" si="101"/>
        <v>#VALUE!</v>
      </c>
      <c r="P798" s="52" t="str">
        <f t="shared" si="102"/>
        <v/>
      </c>
      <c r="Q798" s="53" t="str">
        <f t="shared" si="103"/>
        <v/>
      </c>
      <c r="R798" s="54" t="str">
        <f t="shared" si="104"/>
        <v/>
      </c>
      <c r="S798" s="53" t="str">
        <f t="shared" si="105"/>
        <v/>
      </c>
    </row>
    <row r="799" spans="10:19" x14ac:dyDescent="0.15">
      <c r="J799" s="38">
        <v>790</v>
      </c>
      <c r="K799" s="40"/>
      <c r="L799" s="34">
        <f t="shared" si="99"/>
        <v>8.451184995161015E-4</v>
      </c>
      <c r="M799" s="35">
        <f t="shared" si="100"/>
        <v>1.780085206511214E-7</v>
      </c>
      <c r="N799" s="44">
        <f t="shared" si="98"/>
        <v>7.9550486808701269E-6</v>
      </c>
      <c r="O799" s="45" t="e">
        <f t="shared" si="101"/>
        <v>#VALUE!</v>
      </c>
      <c r="P799" s="52" t="str">
        <f t="shared" si="102"/>
        <v/>
      </c>
      <c r="Q799" s="53" t="str">
        <f t="shared" si="103"/>
        <v/>
      </c>
      <c r="R799" s="54" t="str">
        <f t="shared" si="104"/>
        <v/>
      </c>
      <c r="S799" s="53" t="str">
        <f t="shared" si="105"/>
        <v/>
      </c>
    </row>
    <row r="800" spans="10:19" x14ac:dyDescent="0.15">
      <c r="J800" s="38">
        <v>791</v>
      </c>
      <c r="K800" s="40"/>
      <c r="L800" s="34">
        <f t="shared" si="99"/>
        <v>8.4529611012479496E-4</v>
      </c>
      <c r="M800" s="35">
        <f t="shared" si="100"/>
        <v>1.772131210960853E-7</v>
      </c>
      <c r="N800" s="44">
        <f t="shared" si="98"/>
        <v>7.9182491929964119E-6</v>
      </c>
      <c r="O800" s="45" t="e">
        <f t="shared" si="101"/>
        <v>#VALUE!</v>
      </c>
      <c r="P800" s="52" t="str">
        <f t="shared" si="102"/>
        <v/>
      </c>
      <c r="Q800" s="53" t="str">
        <f t="shared" si="103"/>
        <v/>
      </c>
      <c r="R800" s="54" t="str">
        <f t="shared" si="104"/>
        <v/>
      </c>
      <c r="S800" s="53" t="str">
        <f t="shared" si="105"/>
        <v/>
      </c>
    </row>
    <row r="801" spans="10:19" x14ac:dyDescent="0.15">
      <c r="J801" s="38">
        <v>792</v>
      </c>
      <c r="K801" s="40"/>
      <c r="L801" s="34">
        <f t="shared" si="99"/>
        <v>8.4547292660520662E-4</v>
      </c>
      <c r="M801" s="35">
        <f t="shared" si="100"/>
        <v>1.7642026228135093E-7</v>
      </c>
      <c r="N801" s="44">
        <f t="shared" si="98"/>
        <v>7.8815643084863881E-6</v>
      </c>
      <c r="O801" s="45" t="e">
        <f t="shared" si="101"/>
        <v>#VALUE!</v>
      </c>
      <c r="P801" s="52" t="str">
        <f t="shared" si="102"/>
        <v/>
      </c>
      <c r="Q801" s="53" t="str">
        <f t="shared" si="103"/>
        <v/>
      </c>
      <c r="R801" s="54" t="str">
        <f t="shared" si="104"/>
        <v/>
      </c>
      <c r="S801" s="53" t="str">
        <f t="shared" si="105"/>
        <v/>
      </c>
    </row>
    <row r="802" spans="10:19" x14ac:dyDescent="0.15">
      <c r="J802" s="38">
        <v>793</v>
      </c>
      <c r="K802" s="40"/>
      <c r="L802" s="34">
        <f t="shared" si="99"/>
        <v>8.4564895149266716E-4</v>
      </c>
      <c r="M802" s="35">
        <f t="shared" si="100"/>
        <v>1.7562993339726601E-7</v>
      </c>
      <c r="N802" s="44">
        <f t="shared" si="98"/>
        <v>7.8449935518538688E-6</v>
      </c>
      <c r="O802" s="45" t="e">
        <f t="shared" si="101"/>
        <v>#VALUE!</v>
      </c>
      <c r="P802" s="52" t="str">
        <f t="shared" si="102"/>
        <v/>
      </c>
      <c r="Q802" s="53" t="str">
        <f t="shared" si="103"/>
        <v/>
      </c>
      <c r="R802" s="54" t="str">
        <f t="shared" si="104"/>
        <v/>
      </c>
      <c r="S802" s="53" t="str">
        <f t="shared" si="105"/>
        <v/>
      </c>
    </row>
    <row r="803" spans="10:19" x14ac:dyDescent="0.15">
      <c r="J803" s="38">
        <v>794</v>
      </c>
      <c r="K803" s="40"/>
      <c r="L803" s="34">
        <f t="shared" si="99"/>
        <v>8.4582418731172658E-4</v>
      </c>
      <c r="M803" s="35">
        <f t="shared" si="100"/>
        <v>1.7484212369160438E-7</v>
      </c>
      <c r="N803" s="44">
        <f t="shared" si="98"/>
        <v>7.8085364500758659E-6</v>
      </c>
      <c r="O803" s="45" t="e">
        <f t="shared" si="101"/>
        <v>#VALUE!</v>
      </c>
      <c r="P803" s="52" t="str">
        <f t="shared" si="102"/>
        <v/>
      </c>
      <c r="Q803" s="53" t="str">
        <f t="shared" si="103"/>
        <v/>
      </c>
      <c r="R803" s="54" t="str">
        <f t="shared" si="104"/>
        <v/>
      </c>
      <c r="S803" s="53" t="str">
        <f t="shared" si="105"/>
        <v/>
      </c>
    </row>
    <row r="804" spans="10:19" x14ac:dyDescent="0.15">
      <c r="J804" s="38">
        <v>795</v>
      </c>
      <c r="K804" s="40"/>
      <c r="L804" s="34">
        <f t="shared" si="99"/>
        <v>8.4599863657621084E-4</v>
      </c>
      <c r="M804" s="35">
        <f t="shared" si="100"/>
        <v>1.7405682246920074E-7</v>
      </c>
      <c r="N804" s="44">
        <f t="shared" si="98"/>
        <v>7.7721925325789296E-6</v>
      </c>
      <c r="O804" s="45" t="e">
        <f t="shared" si="101"/>
        <v>#VALUE!</v>
      </c>
      <c r="P804" s="52" t="str">
        <f t="shared" si="102"/>
        <v/>
      </c>
      <c r="Q804" s="53" t="str">
        <f t="shared" si="103"/>
        <v/>
      </c>
      <c r="R804" s="54" t="str">
        <f t="shared" si="104"/>
        <v/>
      </c>
      <c r="S804" s="53" t="str">
        <f t="shared" si="105"/>
        <v/>
      </c>
    </row>
    <row r="805" spans="10:19" x14ac:dyDescent="0.15">
      <c r="J805" s="38">
        <v>796</v>
      </c>
      <c r="K805" s="40"/>
      <c r="L805" s="34">
        <f t="shared" si="99"/>
        <v>8.4617230178927929E-4</v>
      </c>
      <c r="M805" s="35">
        <f t="shared" si="100"/>
        <v>1.7327401909158741E-7</v>
      </c>
      <c r="N805" s="44">
        <f t="shared" si="98"/>
        <v>7.7359613312227762E-6</v>
      </c>
      <c r="O805" s="45" t="e">
        <f t="shared" si="101"/>
        <v>#VALUE!</v>
      </c>
      <c r="P805" s="52" t="str">
        <f t="shared" si="102"/>
        <v/>
      </c>
      <c r="Q805" s="53" t="str">
        <f t="shared" si="103"/>
        <v/>
      </c>
      <c r="R805" s="54" t="str">
        <f t="shared" si="104"/>
        <v/>
      </c>
      <c r="S805" s="53" t="str">
        <f t="shared" si="105"/>
        <v/>
      </c>
    </row>
    <row r="806" spans="10:19" x14ac:dyDescent="0.15">
      <c r="J806" s="38">
        <v>797</v>
      </c>
      <c r="K806" s="40"/>
      <c r="L806" s="34">
        <f t="shared" si="99"/>
        <v>8.4634518544348108E-4</v>
      </c>
      <c r="M806" s="35">
        <f t="shared" si="100"/>
        <v>1.7249370297663416E-7</v>
      </c>
      <c r="N806" s="44">
        <f t="shared" si="98"/>
        <v>7.6998423802854352E-6</v>
      </c>
      <c r="O806" s="45" t="e">
        <f t="shared" si="101"/>
        <v>#VALUE!</v>
      </c>
      <c r="P806" s="52" t="str">
        <f t="shared" si="102"/>
        <v/>
      </c>
      <c r="Q806" s="53" t="str">
        <f t="shared" si="103"/>
        <v/>
      </c>
      <c r="R806" s="54" t="str">
        <f t="shared" si="104"/>
        <v/>
      </c>
      <c r="S806" s="53" t="str">
        <f t="shared" si="105"/>
        <v/>
      </c>
    </row>
    <row r="807" spans="10:19" x14ac:dyDescent="0.15">
      <c r="J807" s="38">
        <v>798</v>
      </c>
      <c r="K807" s="40"/>
      <c r="L807" s="34">
        <f t="shared" si="99"/>
        <v>8.4651729002081073E-4</v>
      </c>
      <c r="M807" s="35">
        <f t="shared" si="100"/>
        <v>1.7171586359819045E-7</v>
      </c>
      <c r="N807" s="44">
        <f t="shared" si="98"/>
        <v>7.663835216448504E-6</v>
      </c>
      <c r="O807" s="45" t="e">
        <f t="shared" si="101"/>
        <v>#VALUE!</v>
      </c>
      <c r="P807" s="52" t="str">
        <f t="shared" si="102"/>
        <v/>
      </c>
      <c r="Q807" s="53" t="str">
        <f t="shared" si="103"/>
        <v/>
      </c>
      <c r="R807" s="54" t="str">
        <f t="shared" si="104"/>
        <v/>
      </c>
      <c r="S807" s="53" t="str">
        <f t="shared" si="105"/>
        <v/>
      </c>
    </row>
    <row r="808" spans="10:19" x14ac:dyDescent="0.15">
      <c r="J808" s="38">
        <v>799</v>
      </c>
      <c r="K808" s="40"/>
      <c r="L808" s="34">
        <f t="shared" si="99"/>
        <v>8.4668861799276531E-4</v>
      </c>
      <c r="M808" s="35">
        <f t="shared" si="100"/>
        <v>1.7094049048573043E-7</v>
      </c>
      <c r="N808" s="44">
        <f t="shared" si="98"/>
        <v>7.6279393787816435E-6</v>
      </c>
      <c r="O808" s="45" t="e">
        <f t="shared" si="101"/>
        <v>#VALUE!</v>
      </c>
      <c r="P808" s="52" t="str">
        <f t="shared" si="102"/>
        <v/>
      </c>
      <c r="Q808" s="53" t="str">
        <f t="shared" si="103"/>
        <v/>
      </c>
      <c r="R808" s="54" t="str">
        <f t="shared" si="104"/>
        <v/>
      </c>
      <c r="S808" s="53" t="str">
        <f t="shared" si="105"/>
        <v/>
      </c>
    </row>
    <row r="809" spans="10:19" x14ac:dyDescent="0.15">
      <c r="J809" s="38">
        <v>800</v>
      </c>
      <c r="K809" s="75">
        <f>B26</f>
        <v>1.0248142E-3</v>
      </c>
      <c r="L809" s="34">
        <f t="shared" si="99"/>
        <v>8.4685917182039845E-4</v>
      </c>
      <c r="M809" s="35">
        <f t="shared" si="100"/>
        <v>1.7016757322400086E-7</v>
      </c>
      <c r="N809" s="44">
        <f t="shared" si="98"/>
        <v>7.5921544087288089E-6</v>
      </c>
      <c r="O809" s="45" t="e">
        <f t="shared" si="101"/>
        <v>#VALUE!</v>
      </c>
      <c r="P809" s="52" t="str">
        <f t="shared" si="102"/>
        <v/>
      </c>
      <c r="Q809" s="53" t="str">
        <f t="shared" si="103"/>
        <v/>
      </c>
      <c r="R809" s="54" t="str">
        <f t="shared" si="104"/>
        <v/>
      </c>
      <c r="S809" s="53" t="str">
        <f t="shared" si="105"/>
        <v/>
      </c>
    </row>
    <row r="810" spans="10:19" x14ac:dyDescent="0.15">
      <c r="J810" s="38">
        <v>801</v>
      </c>
      <c r="K810" s="40"/>
      <c r="L810" s="34">
        <f t="shared" si="99"/>
        <v>8.4702895395437621E-4</v>
      </c>
      <c r="M810" s="35">
        <f t="shared" si="100"/>
        <v>1.6939710145267104E-7</v>
      </c>
      <c r="N810" s="44">
        <f t="shared" si="98"/>
        <v>7.5564798500926374E-6</v>
      </c>
      <c r="O810" s="45" t="e">
        <f t="shared" si="101"/>
        <v>#VALUE!</v>
      </c>
      <c r="P810" s="52" t="str">
        <f t="shared" si="102"/>
        <v/>
      </c>
      <c r="Q810" s="53" t="str">
        <f t="shared" si="103"/>
        <v/>
      </c>
      <c r="R810" s="54" t="str">
        <f t="shared" si="104"/>
        <v/>
      </c>
      <c r="S810" s="53" t="str">
        <f t="shared" si="105"/>
        <v/>
      </c>
    </row>
    <row r="811" spans="10:19" x14ac:dyDescent="0.15">
      <c r="J811" s="38">
        <v>802</v>
      </c>
      <c r="K811" s="40"/>
      <c r="L811" s="34">
        <f t="shared" si="99"/>
        <v>8.4719796683503158E-4</v>
      </c>
      <c r="M811" s="35">
        <f t="shared" si="100"/>
        <v>1.6862906486598564E-7</v>
      </c>
      <c r="N811" s="44">
        <f t="shared" si="98"/>
        <v>7.5209152490206786E-6</v>
      </c>
      <c r="O811" s="45" t="e">
        <f t="shared" si="101"/>
        <v>#VALUE!</v>
      </c>
      <c r="P811" s="52" t="str">
        <f t="shared" si="102"/>
        <v/>
      </c>
      <c r="Q811" s="53" t="str">
        <f t="shared" si="103"/>
        <v/>
      </c>
      <c r="R811" s="54" t="str">
        <f t="shared" si="104"/>
        <v/>
      </c>
      <c r="S811" s="53" t="str">
        <f t="shared" si="105"/>
        <v/>
      </c>
    </row>
    <row r="812" spans="10:19" x14ac:dyDescent="0.15">
      <c r="J812" s="38">
        <v>803</v>
      </c>
      <c r="K812" s="40"/>
      <c r="L812" s="34">
        <f t="shared" si="99"/>
        <v>8.4736621289241865E-4</v>
      </c>
      <c r="M812" s="35">
        <f t="shared" si="100"/>
        <v>1.6786345321242038E-7</v>
      </c>
      <c r="N812" s="44">
        <f t="shared" si="98"/>
        <v>7.4854601539907578E-6</v>
      </c>
      <c r="O812" s="45" t="e">
        <f t="shared" si="101"/>
        <v>#VALUE!</v>
      </c>
      <c r="P812" s="52" t="str">
        <f t="shared" si="102"/>
        <v/>
      </c>
      <c r="Q812" s="53" t="str">
        <f t="shared" si="103"/>
        <v/>
      </c>
      <c r="R812" s="54" t="str">
        <f t="shared" si="104"/>
        <v/>
      </c>
      <c r="S812" s="53" t="str">
        <f t="shared" si="105"/>
        <v/>
      </c>
    </row>
    <row r="813" spans="10:19" x14ac:dyDescent="0.15">
      <c r="J813" s="38">
        <v>804</v>
      </c>
      <c r="K813" s="40"/>
      <c r="L813" s="34">
        <f t="shared" si="99"/>
        <v>8.4753369454636739E-4</v>
      </c>
      <c r="M813" s="35">
        <f t="shared" si="100"/>
        <v>1.6710025629433956E-7</v>
      </c>
      <c r="N813" s="44">
        <f t="shared" si="98"/>
        <v>7.4501141157956889E-6</v>
      </c>
      <c r="O813" s="45" t="e">
        <f t="shared" si="101"/>
        <v>#VALUE!</v>
      </c>
      <c r="P813" s="52" t="str">
        <f t="shared" si="102"/>
        <v/>
      </c>
      <c r="Q813" s="53" t="str">
        <f t="shared" si="103"/>
        <v/>
      </c>
      <c r="R813" s="54" t="str">
        <f t="shared" si="104"/>
        <v/>
      </c>
      <c r="S813" s="53" t="str">
        <f t="shared" si="105"/>
        <v/>
      </c>
    </row>
    <row r="814" spans="10:19" x14ac:dyDescent="0.15">
      <c r="J814" s="38">
        <v>805</v>
      </c>
      <c r="K814" s="40"/>
      <c r="L814" s="34">
        <f t="shared" si="99"/>
        <v>8.4770041420653718E-4</v>
      </c>
      <c r="M814" s="35">
        <f t="shared" si="100"/>
        <v>1.6633946396765674E-7</v>
      </c>
      <c r="N814" s="44">
        <f t="shared" si="98"/>
        <v>7.4148766875298299E-6</v>
      </c>
      <c r="O814" s="45" t="e">
        <f t="shared" si="101"/>
        <v>#VALUE!</v>
      </c>
      <c r="P814" s="52" t="str">
        <f t="shared" si="102"/>
        <v/>
      </c>
      <c r="Q814" s="53" t="str">
        <f t="shared" si="103"/>
        <v/>
      </c>
      <c r="R814" s="54" t="str">
        <f t="shared" si="104"/>
        <v/>
      </c>
      <c r="S814" s="53" t="str">
        <f t="shared" si="105"/>
        <v/>
      </c>
    </row>
    <row r="815" spans="10:19" x14ac:dyDescent="0.15">
      <c r="J815" s="38">
        <v>806</v>
      </c>
      <c r="K815" s="40"/>
      <c r="L815" s="34">
        <f t="shared" si="99"/>
        <v>8.4786637427246921E-4</v>
      </c>
      <c r="M815" s="35">
        <f t="shared" si="100"/>
        <v>1.655810661414976E-7</v>
      </c>
      <c r="N815" s="44">
        <f t="shared" si="98"/>
        <v>7.3797474245759645E-6</v>
      </c>
      <c r="O815" s="45" t="e">
        <f t="shared" si="101"/>
        <v>#VALUE!</v>
      </c>
      <c r="P815" s="52" t="str">
        <f t="shared" si="102"/>
        <v/>
      </c>
      <c r="Q815" s="53" t="str">
        <f t="shared" si="103"/>
        <v/>
      </c>
      <c r="R815" s="54" t="str">
        <f t="shared" si="104"/>
        <v/>
      </c>
      <c r="S815" s="53" t="str">
        <f t="shared" si="105"/>
        <v/>
      </c>
    </row>
    <row r="816" spans="10:19" x14ac:dyDescent="0.15">
      <c r="J816" s="38">
        <v>807</v>
      </c>
      <c r="K816" s="40"/>
      <c r="L816" s="34">
        <f t="shared" si="99"/>
        <v>8.4803157713364053E-4</v>
      </c>
      <c r="M816" s="35">
        <f t="shared" si="100"/>
        <v>1.6482505277786527E-7</v>
      </c>
      <c r="N816" s="44">
        <f t="shared" si="98"/>
        <v>7.344725884589798E-6</v>
      </c>
      <c r="O816" s="45" t="e">
        <f t="shared" si="101"/>
        <v>#VALUE!</v>
      </c>
      <c r="P816" s="52" t="str">
        <f t="shared" si="102"/>
        <v/>
      </c>
      <c r="Q816" s="53" t="str">
        <f t="shared" si="103"/>
        <v/>
      </c>
      <c r="R816" s="54" t="str">
        <f t="shared" si="104"/>
        <v/>
      </c>
      <c r="S816" s="53" t="str">
        <f t="shared" si="105"/>
        <v/>
      </c>
    </row>
    <row r="817" spans="10:19" x14ac:dyDescent="0.15">
      <c r="J817" s="38">
        <v>808</v>
      </c>
      <c r="K817" s="40"/>
      <c r="L817" s="34">
        <f t="shared" si="99"/>
        <v>8.481960251695166E-4</v>
      </c>
      <c r="M817" s="35">
        <f t="shared" si="100"/>
        <v>1.6407141389130821E-7</v>
      </c>
      <c r="N817" s="44">
        <f t="shared" si="98"/>
        <v>7.3098116274854285E-6</v>
      </c>
      <c r="O817" s="45" t="e">
        <f t="shared" si="101"/>
        <v>#VALUE!</v>
      </c>
      <c r="P817" s="52" t="str">
        <f t="shared" si="102"/>
        <v/>
      </c>
      <c r="Q817" s="53" t="str">
        <f t="shared" si="103"/>
        <v/>
      </c>
      <c r="R817" s="54" t="str">
        <f t="shared" si="104"/>
        <v/>
      </c>
      <c r="S817" s="53" t="str">
        <f t="shared" si="105"/>
        <v/>
      </c>
    </row>
    <row r="818" spans="10:19" x14ac:dyDescent="0.15">
      <c r="J818" s="38">
        <v>809</v>
      </c>
      <c r="K818" s="40"/>
      <c r="L818" s="34">
        <f t="shared" si="99"/>
        <v>8.483597207496038E-4</v>
      </c>
      <c r="M818" s="35">
        <f t="shared" si="100"/>
        <v>1.6332013954859056E-7</v>
      </c>
      <c r="N818" s="44">
        <f t="shared" si="98"/>
        <v>7.2750042154237464E-6</v>
      </c>
      <c r="O818" s="45" t="e">
        <f t="shared" si="101"/>
        <v>#VALUE!</v>
      </c>
      <c r="P818" s="52" t="str">
        <f t="shared" si="102"/>
        <v/>
      </c>
      <c r="Q818" s="53" t="str">
        <f t="shared" si="103"/>
        <v/>
      </c>
      <c r="R818" s="54" t="str">
        <f t="shared" si="104"/>
        <v/>
      </c>
      <c r="S818" s="53" t="str">
        <f t="shared" si="105"/>
        <v/>
      </c>
    </row>
    <row r="819" spans="10:19" x14ac:dyDescent="0.15">
      <c r="J819" s="38">
        <v>810</v>
      </c>
      <c r="K819" s="40"/>
      <c r="L819" s="34">
        <f t="shared" si="99"/>
        <v>8.4852266623350087E-4</v>
      </c>
      <c r="M819" s="35">
        <f t="shared" si="100"/>
        <v>1.6257121986836476E-7</v>
      </c>
      <c r="N819" s="44">
        <f t="shared" si="98"/>
        <v>7.2403032127969303E-6</v>
      </c>
      <c r="O819" s="45" t="e">
        <f t="shared" si="101"/>
        <v>#VALUE!</v>
      </c>
      <c r="P819" s="52" t="str">
        <f t="shared" si="102"/>
        <v/>
      </c>
      <c r="Q819" s="53" t="str">
        <f t="shared" si="103"/>
        <v/>
      </c>
      <c r="R819" s="54" t="str">
        <f t="shared" si="104"/>
        <v/>
      </c>
      <c r="S819" s="53" t="str">
        <f t="shared" si="105"/>
        <v/>
      </c>
    </row>
    <row r="820" spans="10:19" x14ac:dyDescent="0.15">
      <c r="J820" s="38">
        <v>811</v>
      </c>
      <c r="K820" s="40"/>
      <c r="L820" s="34">
        <f t="shared" si="99"/>
        <v>8.4868486397095071E-4</v>
      </c>
      <c r="M820" s="35">
        <f t="shared" si="100"/>
        <v>1.6182464502084661E-7</v>
      </c>
      <c r="N820" s="44">
        <f t="shared" si="98"/>
        <v>7.2057081862157615E-6</v>
      </c>
      <c r="O820" s="45" t="e">
        <f t="shared" si="101"/>
        <v>#VALUE!</v>
      </c>
      <c r="P820" s="52" t="str">
        <f t="shared" si="102"/>
        <v/>
      </c>
      <c r="Q820" s="53" t="str">
        <f t="shared" si="103"/>
        <v/>
      </c>
      <c r="R820" s="54" t="str">
        <f t="shared" si="104"/>
        <v/>
      </c>
      <c r="S820" s="53" t="str">
        <f t="shared" si="105"/>
        <v/>
      </c>
    </row>
    <row r="821" spans="10:19" x14ac:dyDescent="0.15">
      <c r="J821" s="38">
        <v>812</v>
      </c>
      <c r="K821" s="40"/>
      <c r="L821" s="34">
        <f t="shared" si="99"/>
        <v>8.488463163018932E-4</v>
      </c>
      <c r="M821" s="35">
        <f t="shared" si="100"/>
        <v>1.6108040522749269E-7</v>
      </c>
      <c r="N821" s="44">
        <f t="shared" si="98"/>
        <v>7.1712187044947707E-6</v>
      </c>
      <c r="O821" s="45" t="e">
        <f t="shared" si="101"/>
        <v>#VALUE!</v>
      </c>
      <c r="P821" s="52" t="str">
        <f t="shared" si="102"/>
        <v/>
      </c>
      <c r="Q821" s="53" t="str">
        <f t="shared" si="103"/>
        <v/>
      </c>
      <c r="R821" s="54" t="str">
        <f t="shared" si="104"/>
        <v/>
      </c>
      <c r="S821" s="53" t="str">
        <f t="shared" si="105"/>
        <v/>
      </c>
    </row>
    <row r="822" spans="10:19" x14ac:dyDescent="0.15">
      <c r="J822" s="38">
        <v>813</v>
      </c>
      <c r="K822" s="40"/>
      <c r="L822" s="34">
        <f t="shared" si="99"/>
        <v>8.4900702555651419E-4</v>
      </c>
      <c r="M822" s="35">
        <f t="shared" si="100"/>
        <v>1.6033849076068039E-7</v>
      </c>
      <c r="N822" s="44">
        <f t="shared" si="98"/>
        <v>7.1368343386402034E-6</v>
      </c>
      <c r="O822" s="45" t="e">
        <f t="shared" si="101"/>
        <v>#VALUE!</v>
      </c>
      <c r="P822" s="52" t="str">
        <f t="shared" si="102"/>
        <v/>
      </c>
      <c r="Q822" s="53" t="str">
        <f t="shared" si="103"/>
        <v/>
      </c>
      <c r="R822" s="54" t="str">
        <f t="shared" si="104"/>
        <v/>
      </c>
      <c r="S822" s="53" t="str">
        <f t="shared" si="105"/>
        <v/>
      </c>
    </row>
    <row r="823" spans="10:19" x14ac:dyDescent="0.15">
      <c r="J823" s="38">
        <v>814</v>
      </c>
      <c r="K823" s="40"/>
      <c r="L823" s="34">
        <f t="shared" si="99"/>
        <v>8.4916699405529722E-4</v>
      </c>
      <c r="M823" s="35">
        <f t="shared" si="100"/>
        <v>1.595988919433898E-7</v>
      </c>
      <c r="N823" s="44">
        <f t="shared" si="98"/>
        <v>7.1025546618367925E-6</v>
      </c>
      <c r="O823" s="45" t="e">
        <f t="shared" si="101"/>
        <v>#VALUE!</v>
      </c>
      <c r="P823" s="52" t="str">
        <f t="shared" si="102"/>
        <v/>
      </c>
      <c r="Q823" s="53" t="str">
        <f t="shared" si="103"/>
        <v/>
      </c>
      <c r="R823" s="54" t="str">
        <f t="shared" si="104"/>
        <v/>
      </c>
      <c r="S823" s="53" t="str">
        <f t="shared" si="105"/>
        <v/>
      </c>
    </row>
    <row r="824" spans="10:19" x14ac:dyDescent="0.15">
      <c r="J824" s="38">
        <v>815</v>
      </c>
      <c r="K824" s="40"/>
      <c r="L824" s="34">
        <f t="shared" si="99"/>
        <v>8.4932622410907469E-4</v>
      </c>
      <c r="M824" s="35">
        <f t="shared" si="100"/>
        <v>1.5886159914888818E-7</v>
      </c>
      <c r="N824" s="44">
        <f t="shared" si="98"/>
        <v>7.0683792494327961E-6</v>
      </c>
      <c r="O824" s="45" t="e">
        <f t="shared" si="101"/>
        <v>#VALUE!</v>
      </c>
      <c r="P824" s="52" t="str">
        <f t="shared" si="102"/>
        <v/>
      </c>
      <c r="Q824" s="53" t="str">
        <f t="shared" si="103"/>
        <v/>
      </c>
      <c r="R824" s="54" t="str">
        <f t="shared" si="104"/>
        <v/>
      </c>
      <c r="S824" s="53" t="str">
        <f t="shared" si="105"/>
        <v/>
      </c>
    </row>
    <row r="825" spans="10:19" x14ac:dyDescent="0.15">
      <c r="J825" s="38">
        <v>816</v>
      </c>
      <c r="K825" s="40"/>
      <c r="L825" s="34">
        <f t="shared" si="99"/>
        <v>8.4948471801907656E-4</v>
      </c>
      <c r="M825" s="35">
        <f t="shared" si="100"/>
        <v>1.5812660280041679E-7</v>
      </c>
      <c r="N825" s="44">
        <f t="shared" si="98"/>
        <v>7.0343076789286139E-6</v>
      </c>
      <c r="O825" s="45" t="e">
        <f t="shared" si="101"/>
        <v>#VALUE!</v>
      </c>
      <c r="P825" s="52" t="str">
        <f t="shared" si="102"/>
        <v/>
      </c>
      <c r="Q825" s="53" t="str">
        <f t="shared" si="103"/>
        <v/>
      </c>
      <c r="R825" s="54" t="str">
        <f t="shared" si="104"/>
        <v/>
      </c>
      <c r="S825" s="53" t="str">
        <f t="shared" si="105"/>
        <v/>
      </c>
    </row>
    <row r="826" spans="10:19" x14ac:dyDescent="0.15">
      <c r="J826" s="38">
        <v>817</v>
      </c>
      <c r="K826" s="40"/>
      <c r="L826" s="34">
        <f t="shared" si="99"/>
        <v>8.4964247807698128E-4</v>
      </c>
      <c r="M826" s="35">
        <f t="shared" si="100"/>
        <v>1.5739389337087988E-7</v>
      </c>
      <c r="N826" s="44">
        <f t="shared" si="98"/>
        <v>7.0003395299626922E-6</v>
      </c>
      <c r="O826" s="45" t="e">
        <f t="shared" si="101"/>
        <v>#VALUE!</v>
      </c>
      <c r="P826" s="52" t="str">
        <f t="shared" si="102"/>
        <v/>
      </c>
      <c r="Q826" s="53" t="str">
        <f t="shared" si="103"/>
        <v/>
      </c>
      <c r="R826" s="54" t="str">
        <f t="shared" si="104"/>
        <v/>
      </c>
      <c r="S826" s="53" t="str">
        <f t="shared" si="105"/>
        <v/>
      </c>
    </row>
    <row r="827" spans="10:19" x14ac:dyDescent="0.15">
      <c r="J827" s="38">
        <v>818</v>
      </c>
      <c r="K827" s="40"/>
      <c r="L827" s="34">
        <f t="shared" si="99"/>
        <v>8.4979950656496471E-4</v>
      </c>
      <c r="M827" s="35">
        <f t="shared" si="100"/>
        <v>1.5666346138253602E-7</v>
      </c>
      <c r="N827" s="44">
        <f t="shared" si="98"/>
        <v>6.9664743842988387E-6</v>
      </c>
      <c r="O827" s="45" t="e">
        <f t="shared" si="101"/>
        <v>#VALUE!</v>
      </c>
      <c r="P827" s="52" t="str">
        <f t="shared" si="102"/>
        <v/>
      </c>
      <c r="Q827" s="53" t="str">
        <f t="shared" si="103"/>
        <v/>
      </c>
      <c r="R827" s="54" t="str">
        <f t="shared" si="104"/>
        <v/>
      </c>
      <c r="S827" s="53" t="str">
        <f t="shared" si="105"/>
        <v/>
      </c>
    </row>
    <row r="828" spans="10:19" x14ac:dyDescent="0.15">
      <c r="J828" s="38">
        <v>819</v>
      </c>
      <c r="K828" s="40"/>
      <c r="L828" s="34">
        <f t="shared" si="99"/>
        <v>8.4995580575574978E-4</v>
      </c>
      <c r="M828" s="35">
        <f t="shared" si="100"/>
        <v>1.5593529740669148E-7</v>
      </c>
      <c r="N828" s="44">
        <f t="shared" si="98"/>
        <v>6.9327118258134292E-6</v>
      </c>
      <c r="O828" s="45" t="e">
        <f t="shared" si="101"/>
        <v>#VALUE!</v>
      </c>
      <c r="P828" s="52" t="str">
        <f t="shared" si="102"/>
        <v/>
      </c>
      <c r="Q828" s="53" t="str">
        <f t="shared" si="103"/>
        <v/>
      </c>
      <c r="R828" s="54" t="str">
        <f t="shared" si="104"/>
        <v/>
      </c>
      <c r="S828" s="53" t="str">
        <f t="shared" si="105"/>
        <v/>
      </c>
    </row>
    <row r="829" spans="10:19" x14ac:dyDescent="0.15">
      <c r="J829" s="38">
        <v>820</v>
      </c>
      <c r="K829" s="40"/>
      <c r="L829" s="34">
        <f t="shared" si="99"/>
        <v>8.5011137791265502E-4</v>
      </c>
      <c r="M829" s="35">
        <f t="shared" si="100"/>
        <v>1.5520939206339604E-7</v>
      </c>
      <c r="N829" s="44">
        <f t="shared" si="98"/>
        <v>6.8990514404822885E-6</v>
      </c>
      <c r="O829" s="45" t="e">
        <f t="shared" si="101"/>
        <v>#VALUE!</v>
      </c>
      <c r="P829" s="52" t="str">
        <f t="shared" si="102"/>
        <v/>
      </c>
      <c r="Q829" s="53" t="str">
        <f t="shared" si="103"/>
        <v/>
      </c>
      <c r="R829" s="54" t="str">
        <f t="shared" si="104"/>
        <v/>
      </c>
      <c r="S829" s="53" t="str">
        <f t="shared" si="105"/>
        <v/>
      </c>
    </row>
    <row r="830" spans="10:19" x14ac:dyDescent="0.15">
      <c r="J830" s="38">
        <v>821</v>
      </c>
      <c r="K830" s="40"/>
      <c r="L830" s="34">
        <f t="shared" si="99"/>
        <v>8.5026622528964308E-4</v>
      </c>
      <c r="M830" s="35">
        <f t="shared" si="100"/>
        <v>1.544857360211408E-7</v>
      </c>
      <c r="N830" s="44">
        <f t="shared" si="98"/>
        <v>6.8654928163687642E-6</v>
      </c>
      <c r="O830" s="45" t="e">
        <f t="shared" si="101"/>
        <v>#VALUE!</v>
      </c>
      <c r="P830" s="52" t="str">
        <f t="shared" si="102"/>
        <v/>
      </c>
      <c r="Q830" s="53" t="str">
        <f t="shared" si="103"/>
        <v/>
      </c>
      <c r="R830" s="54" t="str">
        <f t="shared" si="104"/>
        <v/>
      </c>
      <c r="S830" s="53" t="str">
        <f t="shared" si="105"/>
        <v/>
      </c>
    </row>
    <row r="831" spans="10:19" x14ac:dyDescent="0.15">
      <c r="J831" s="38">
        <v>822</v>
      </c>
      <c r="K831" s="40"/>
      <c r="L831" s="34">
        <f t="shared" si="99"/>
        <v>8.5042035013136949E-4</v>
      </c>
      <c r="M831" s="35">
        <f t="shared" si="100"/>
        <v>1.5376431999655845E-7</v>
      </c>
      <c r="N831" s="44">
        <f t="shared" si="98"/>
        <v>6.832035543610066E-6</v>
      </c>
      <c r="O831" s="45" t="e">
        <f t="shared" si="101"/>
        <v>#VALUE!</v>
      </c>
      <c r="P831" s="52" t="str">
        <f t="shared" si="102"/>
        <v/>
      </c>
      <c r="Q831" s="53" t="str">
        <f t="shared" si="103"/>
        <v/>
      </c>
      <c r="R831" s="54" t="str">
        <f t="shared" si="104"/>
        <v/>
      </c>
      <c r="S831" s="53" t="str">
        <f t="shared" si="105"/>
        <v/>
      </c>
    </row>
    <row r="832" spans="10:19" x14ac:dyDescent="0.15">
      <c r="J832" s="38">
        <v>823</v>
      </c>
      <c r="K832" s="40"/>
      <c r="L832" s="34">
        <f t="shared" si="99"/>
        <v>8.5057375467322992E-4</v>
      </c>
      <c r="M832" s="35">
        <f t="shared" si="100"/>
        <v>1.5304513475412552E-7</v>
      </c>
      <c r="N832" s="44">
        <f t="shared" si="98"/>
        <v>6.7986792144057728E-6</v>
      </c>
      <c r="O832" s="45" t="e">
        <f t="shared" si="101"/>
        <v>#VALUE!</v>
      </c>
      <c r="P832" s="52" t="str">
        <f t="shared" si="102"/>
        <v/>
      </c>
      <c r="Q832" s="53" t="str">
        <f t="shared" si="103"/>
        <v/>
      </c>
      <c r="R832" s="54" t="str">
        <f t="shared" si="104"/>
        <v/>
      </c>
      <c r="S832" s="53" t="str">
        <f t="shared" si="105"/>
        <v/>
      </c>
    </row>
    <row r="833" spans="10:19" x14ac:dyDescent="0.15">
      <c r="J833" s="38">
        <v>824</v>
      </c>
      <c r="K833" s="40"/>
      <c r="L833" s="34">
        <f t="shared" si="99"/>
        <v>8.5072644114140867E-4</v>
      </c>
      <c r="M833" s="35">
        <f t="shared" si="100"/>
        <v>1.5232817110586675E-7</v>
      </c>
      <c r="N833" s="44">
        <f t="shared" si="98"/>
        <v>6.7654234230044973E-6</v>
      </c>
      <c r="O833" s="45" t="e">
        <f t="shared" si="101"/>
        <v>#VALUE!</v>
      </c>
      <c r="P833" s="52" t="str">
        <f t="shared" si="102"/>
        <v/>
      </c>
      <c r="Q833" s="53" t="str">
        <f t="shared" si="103"/>
        <v/>
      </c>
      <c r="R833" s="54" t="str">
        <f t="shared" si="104"/>
        <v/>
      </c>
      <c r="S833" s="53" t="str">
        <f t="shared" si="105"/>
        <v/>
      </c>
    </row>
    <row r="834" spans="10:19" x14ac:dyDescent="0.15">
      <c r="J834" s="38">
        <v>825</v>
      </c>
      <c r="K834" s="40"/>
      <c r="L834" s="34">
        <f t="shared" si="99"/>
        <v>8.5087841175292549E-4</v>
      </c>
      <c r="M834" s="35">
        <f t="shared" si="100"/>
        <v>1.5161341991106147E-7</v>
      </c>
      <c r="N834" s="44">
        <f t="shared" si="98"/>
        <v>6.7322677656922849E-6</v>
      </c>
      <c r="O834" s="45" t="e">
        <f t="shared" si="101"/>
        <v>#VALUE!</v>
      </c>
      <c r="P834" s="52" t="str">
        <f t="shared" si="102"/>
        <v/>
      </c>
      <c r="Q834" s="53" t="str">
        <f t="shared" si="103"/>
        <v/>
      </c>
      <c r="R834" s="54" t="str">
        <f t="shared" si="104"/>
        <v/>
      </c>
      <c r="S834" s="53" t="str">
        <f t="shared" si="105"/>
        <v/>
      </c>
    </row>
    <row r="835" spans="10:19" x14ac:dyDescent="0.15">
      <c r="J835" s="38">
        <v>826</v>
      </c>
      <c r="K835" s="40"/>
      <c r="L835" s="34">
        <f t="shared" si="99"/>
        <v>8.5102966871568341E-4</v>
      </c>
      <c r="M835" s="35">
        <f t="shared" si="100"/>
        <v>1.5090087207595264E-7</v>
      </c>
      <c r="N835" s="44">
        <f t="shared" si="98"/>
        <v>6.6992118407791694E-6</v>
      </c>
      <c r="O835" s="45" t="e">
        <f t="shared" si="101"/>
        <v>#VALUE!</v>
      </c>
      <c r="P835" s="52" t="str">
        <f t="shared" si="102"/>
        <v/>
      </c>
      <c r="Q835" s="53" t="str">
        <f t="shared" si="103"/>
        <v/>
      </c>
      <c r="R835" s="54" t="str">
        <f t="shared" si="104"/>
        <v/>
      </c>
      <c r="S835" s="53" t="str">
        <f t="shared" si="105"/>
        <v/>
      </c>
    </row>
    <row r="836" spans="10:19" x14ac:dyDescent="0.15">
      <c r="J836" s="38">
        <v>827</v>
      </c>
      <c r="K836" s="40"/>
      <c r="L836" s="34">
        <f t="shared" si="99"/>
        <v>8.5118021422851437E-4</v>
      </c>
      <c r="M836" s="35">
        <f t="shared" si="100"/>
        <v>1.5019051855345717E-7</v>
      </c>
      <c r="N836" s="44">
        <f t="shared" si="98"/>
        <v>6.6662552485886569E-6</v>
      </c>
      <c r="O836" s="45" t="e">
        <f t="shared" si="101"/>
        <v>#VALUE!</v>
      </c>
      <c r="P836" s="52" t="str">
        <f t="shared" si="102"/>
        <v/>
      </c>
      <c r="Q836" s="53" t="str">
        <f t="shared" si="103"/>
        <v/>
      </c>
      <c r="R836" s="54" t="str">
        <f t="shared" si="104"/>
        <v/>
      </c>
      <c r="S836" s="53" t="str">
        <f t="shared" si="105"/>
        <v/>
      </c>
    </row>
    <row r="837" spans="10:19" x14ac:dyDescent="0.15">
      <c r="J837" s="38">
        <v>828</v>
      </c>
      <c r="K837" s="40"/>
      <c r="L837" s="34">
        <f t="shared" si="99"/>
        <v>8.5133005048122691E-4</v>
      </c>
      <c r="M837" s="35">
        <f t="shared" si="100"/>
        <v>1.4948235034287916E-7</v>
      </c>
      <c r="N837" s="44">
        <f t="shared" si="98"/>
        <v>6.633397591444606E-6</v>
      </c>
      <c r="O837" s="45" t="e">
        <f t="shared" si="101"/>
        <v>#VALUE!</v>
      </c>
      <c r="P837" s="52" t="str">
        <f t="shared" si="102"/>
        <v/>
      </c>
      <c r="Q837" s="53" t="str">
        <f t="shared" si="103"/>
        <v/>
      </c>
      <c r="R837" s="54" t="str">
        <f t="shared" si="104"/>
        <v/>
      </c>
      <c r="S837" s="53" t="str">
        <f t="shared" si="105"/>
        <v/>
      </c>
    </row>
    <row r="838" spans="10:19" x14ac:dyDescent="0.15">
      <c r="J838" s="38">
        <v>829</v>
      </c>
      <c r="K838" s="40"/>
      <c r="L838" s="34">
        <f t="shared" si="99"/>
        <v>8.5147917965465209E-4</v>
      </c>
      <c r="M838" s="35">
        <f t="shared" si="100"/>
        <v>1.4877635848962444E-7</v>
      </c>
      <c r="N838" s="44">
        <f t="shared" si="98"/>
        <v>6.6006384736588689E-6</v>
      </c>
      <c r="O838" s="45" t="e">
        <f t="shared" si="101"/>
        <v>#VALUE!</v>
      </c>
      <c r="P838" s="52" t="str">
        <f t="shared" si="102"/>
        <v/>
      </c>
      <c r="Q838" s="53" t="str">
        <f t="shared" si="103"/>
        <v/>
      </c>
      <c r="R838" s="54" t="str">
        <f t="shared" si="104"/>
        <v/>
      </c>
      <c r="S838" s="53" t="str">
        <f t="shared" si="105"/>
        <v/>
      </c>
    </row>
    <row r="839" spans="10:19" x14ac:dyDescent="0.15">
      <c r="J839" s="38">
        <v>830</v>
      </c>
      <c r="K839" s="40"/>
      <c r="L839" s="34">
        <f t="shared" si="99"/>
        <v>8.5162760392068872E-4</v>
      </c>
      <c r="M839" s="35">
        <f t="shared" si="100"/>
        <v>1.4807253408491763E-7</v>
      </c>
      <c r="N839" s="44">
        <f t="shared" si="98"/>
        <v>6.5679775015208821E-6</v>
      </c>
      <c r="O839" s="45" t="e">
        <f t="shared" si="101"/>
        <v>#VALUE!</v>
      </c>
      <c r="P839" s="52" t="str">
        <f t="shared" si="102"/>
        <v/>
      </c>
      <c r="Q839" s="53" t="str">
        <f t="shared" si="103"/>
        <v/>
      </c>
      <c r="R839" s="54" t="str">
        <f t="shared" si="104"/>
        <v/>
      </c>
      <c r="S839" s="53" t="str">
        <f t="shared" si="105"/>
        <v/>
      </c>
    </row>
    <row r="840" spans="10:19" x14ac:dyDescent="0.15">
      <c r="J840" s="38">
        <v>831</v>
      </c>
      <c r="K840" s="40"/>
      <c r="L840" s="34">
        <f t="shared" si="99"/>
        <v>8.5177532544234997E-4</v>
      </c>
      <c r="M840" s="35">
        <f t="shared" si="100"/>
        <v>1.4737086826552119E-7</v>
      </c>
      <c r="N840" s="44">
        <f t="shared" si="98"/>
        <v>6.5354142832841147E-6</v>
      </c>
      <c r="O840" s="45" t="e">
        <f t="shared" si="101"/>
        <v>#VALUE!</v>
      </c>
      <c r="P840" s="52" t="str">
        <f t="shared" si="102"/>
        <v/>
      </c>
      <c r="Q840" s="53" t="str">
        <f t="shared" si="103"/>
        <v/>
      </c>
      <c r="R840" s="54" t="str">
        <f t="shared" si="104"/>
        <v/>
      </c>
      <c r="S840" s="53" t="str">
        <f t="shared" si="105"/>
        <v/>
      </c>
    </row>
    <row r="841" spans="10:19" x14ac:dyDescent="0.15">
      <c r="J841" s="38">
        <v>832</v>
      </c>
      <c r="K841" s="40"/>
      <c r="L841" s="34">
        <f t="shared" si="99"/>
        <v>8.519223463738084E-4</v>
      </c>
      <c r="M841" s="35">
        <f t="shared" si="100"/>
        <v>1.4667135221345626E-7</v>
      </c>
      <c r="N841" s="44">
        <f t="shared" ref="N841:N904" si="106">(L891-L841)</f>
        <v>6.5029484291551174E-6</v>
      </c>
      <c r="O841" s="45" t="e">
        <f t="shared" si="101"/>
        <v>#VALUE!</v>
      </c>
      <c r="P841" s="52" t="str">
        <f t="shared" si="102"/>
        <v/>
      </c>
      <c r="Q841" s="53" t="str">
        <f t="shared" si="103"/>
        <v/>
      </c>
      <c r="R841" s="54" t="str">
        <f t="shared" si="104"/>
        <v/>
      </c>
      <c r="S841" s="53" t="str">
        <f t="shared" si="105"/>
        <v/>
      </c>
    </row>
    <row r="842" spans="10:19" x14ac:dyDescent="0.15">
      <c r="J842" s="38">
        <v>833</v>
      </c>
      <c r="K842" s="40"/>
      <c r="L842" s="34">
        <f t="shared" ref="L842:L905" si="107">$F$39*((1-$F$40*J842)/(1+$F$41*J842))*(J842-$F$42)</f>
        <v>8.5206866886044098E-4</v>
      </c>
      <c r="M842" s="35">
        <f t="shared" ref="M842:M905" si="108">$F$39*((1-2*$F$40*J842-$F$40*$F$41*(J842^2)+($F$41+$F$40)*$F$42)/(1+$F$41*J842)^2)</f>
        <v>1.4597397715572561E-7</v>
      </c>
      <c r="N842" s="44">
        <f t="shared" si="106"/>
        <v>6.4705795512821386E-6</v>
      </c>
      <c r="O842" s="45" t="e">
        <f t="shared" ref="O842:O905" si="109">IF(N842&lt;=$B$49,1+O841,0)</f>
        <v>#VALUE!</v>
      </c>
      <c r="P842" s="52" t="str">
        <f t="shared" ref="P842:P905" si="110">IF(J842&lt;=$F$42,J842,"")</f>
        <v/>
      </c>
      <c r="Q842" s="53" t="str">
        <f t="shared" ref="Q842:Q905" si="111">IF(J842&lt;=$F$42,L842,"")</f>
        <v/>
      </c>
      <c r="R842" s="54" t="str">
        <f t="shared" ref="R842:R905" si="112">IF(AND(J842&gt;=$F$42,J842&lt;=200),J842,"")</f>
        <v/>
      </c>
      <c r="S842" s="53" t="str">
        <f t="shared" ref="S842:S905" si="113">IF(AND(J842&gt;=$F$42,J842&lt;=200),L842,"")</f>
        <v/>
      </c>
    </row>
    <row r="843" spans="10:19" x14ac:dyDescent="0.15">
      <c r="J843" s="38">
        <v>834</v>
      </c>
      <c r="K843" s="40"/>
      <c r="L843" s="34">
        <f t="shared" si="107"/>
        <v>8.5221429503887453E-4</v>
      </c>
      <c r="M843" s="35">
        <f t="shared" si="108"/>
        <v>1.4527873436403862E-7</v>
      </c>
      <c r="N843" s="44">
        <f t="shared" si="106"/>
        <v>6.4383072637428729E-6</v>
      </c>
      <c r="O843" s="45" t="e">
        <f t="shared" si="109"/>
        <v>#VALUE!</v>
      </c>
      <c r="P843" s="52" t="str">
        <f t="shared" si="110"/>
        <v/>
      </c>
      <c r="Q843" s="53" t="str">
        <f t="shared" si="111"/>
        <v/>
      </c>
      <c r="R843" s="54" t="str">
        <f t="shared" si="112"/>
        <v/>
      </c>
      <c r="S843" s="53" t="str">
        <f t="shared" si="113"/>
        <v/>
      </c>
    </row>
    <row r="844" spans="10:19" x14ac:dyDescent="0.15">
      <c r="J844" s="38">
        <v>835</v>
      </c>
      <c r="K844" s="40"/>
      <c r="L844" s="34">
        <f t="shared" si="107"/>
        <v>8.5235922703702928E-4</v>
      </c>
      <c r="M844" s="35">
        <f t="shared" si="108"/>
        <v>1.4458561515453825E-7</v>
      </c>
      <c r="N844" s="44">
        <f t="shared" si="106"/>
        <v>6.4061311825332938E-6</v>
      </c>
      <c r="O844" s="45" t="e">
        <f t="shared" si="109"/>
        <v>#VALUE!</v>
      </c>
      <c r="P844" s="52" t="str">
        <f t="shared" si="110"/>
        <v/>
      </c>
      <c r="Q844" s="53" t="str">
        <f t="shared" si="111"/>
        <v/>
      </c>
      <c r="R844" s="54" t="str">
        <f t="shared" si="112"/>
        <v/>
      </c>
      <c r="S844" s="53" t="str">
        <f t="shared" si="113"/>
        <v/>
      </c>
    </row>
    <row r="845" spans="10:19" x14ac:dyDescent="0.15">
      <c r="J845" s="38">
        <v>836</v>
      </c>
      <c r="K845" s="40"/>
      <c r="L845" s="34">
        <f t="shared" si="107"/>
        <v>8.525034669741641E-4</v>
      </c>
      <c r="M845" s="35">
        <f t="shared" si="108"/>
        <v>1.4389461088752964E-7</v>
      </c>
      <c r="N845" s="44">
        <f t="shared" si="106"/>
        <v>6.3740509255559444E-6</v>
      </c>
      <c r="O845" s="45" t="e">
        <f t="shared" si="109"/>
        <v>#VALUE!</v>
      </c>
      <c r="P845" s="52" t="str">
        <f t="shared" si="110"/>
        <v/>
      </c>
      <c r="Q845" s="53" t="str">
        <f t="shared" si="111"/>
        <v/>
      </c>
      <c r="R845" s="54" t="str">
        <f t="shared" si="112"/>
        <v/>
      </c>
      <c r="S845" s="53" t="str">
        <f t="shared" si="113"/>
        <v/>
      </c>
    </row>
    <row r="846" spans="10:19" x14ac:dyDescent="0.15">
      <c r="J846" s="38">
        <v>837</v>
      </c>
      <c r="K846" s="40"/>
      <c r="L846" s="34">
        <f t="shared" si="107"/>
        <v>8.5264701696091954E-4</v>
      </c>
      <c r="M846" s="35">
        <f t="shared" si="108"/>
        <v>1.4320571296721115E-7</v>
      </c>
      <c r="N846" s="44">
        <f t="shared" si="106"/>
        <v>6.3420661126094204E-6</v>
      </c>
      <c r="O846" s="45" t="e">
        <f t="shared" si="109"/>
        <v>#VALUE!</v>
      </c>
      <c r="P846" s="52" t="str">
        <f t="shared" si="110"/>
        <v/>
      </c>
      <c r="Q846" s="53" t="str">
        <f t="shared" si="111"/>
        <v/>
      </c>
      <c r="R846" s="54" t="str">
        <f t="shared" si="112"/>
        <v/>
      </c>
      <c r="S846" s="53" t="str">
        <f t="shared" si="113"/>
        <v/>
      </c>
    </row>
    <row r="847" spans="10:19" x14ac:dyDescent="0.15">
      <c r="J847" s="38">
        <v>838</v>
      </c>
      <c r="K847" s="40"/>
      <c r="L847" s="34">
        <f t="shared" si="107"/>
        <v>8.5278987909936281E-4</v>
      </c>
      <c r="M847" s="35">
        <f t="shared" si="108"/>
        <v>1.4251891284140685E-7</v>
      </c>
      <c r="N847" s="44">
        <f t="shared" si="106"/>
        <v>6.3101763653761189E-6</v>
      </c>
      <c r="O847" s="45" t="e">
        <f t="shared" si="109"/>
        <v>#VALUE!</v>
      </c>
      <c r="P847" s="52" t="str">
        <f t="shared" si="110"/>
        <v/>
      </c>
      <c r="Q847" s="53" t="str">
        <f t="shared" si="111"/>
        <v/>
      </c>
      <c r="R847" s="54" t="str">
        <f t="shared" si="112"/>
        <v/>
      </c>
      <c r="S847" s="53" t="str">
        <f t="shared" si="113"/>
        <v/>
      </c>
    </row>
    <row r="848" spans="10:19" x14ac:dyDescent="0.15">
      <c r="J848" s="38">
        <v>839</v>
      </c>
      <c r="K848" s="40"/>
      <c r="L848" s="34">
        <f t="shared" si="107"/>
        <v>8.5293205548303054E-4</v>
      </c>
      <c r="M848" s="35">
        <f t="shared" si="108"/>
        <v>1.4183420200130122E-7</v>
      </c>
      <c r="N848" s="44">
        <f t="shared" si="106"/>
        <v>6.2783813074111794E-6</v>
      </c>
      <c r="O848" s="45" t="e">
        <f t="shared" si="109"/>
        <v>#VALUE!</v>
      </c>
      <c r="P848" s="52" t="str">
        <f t="shared" si="110"/>
        <v/>
      </c>
      <c r="Q848" s="53" t="str">
        <f t="shared" si="111"/>
        <v/>
      </c>
      <c r="R848" s="54" t="str">
        <f t="shared" si="112"/>
        <v/>
      </c>
      <c r="S848" s="53" t="str">
        <f t="shared" si="113"/>
        <v/>
      </c>
    </row>
    <row r="849" spans="10:19" x14ac:dyDescent="0.15">
      <c r="J849" s="38">
        <v>840</v>
      </c>
      <c r="K849" s="40"/>
      <c r="L849" s="34">
        <f t="shared" si="107"/>
        <v>8.5307354819697163E-4</v>
      </c>
      <c r="M849" s="35">
        <f t="shared" si="108"/>
        <v>1.4115157198117546E-7</v>
      </c>
      <c r="N849" s="44">
        <f t="shared" si="106"/>
        <v>6.2466805641322922E-6</v>
      </c>
      <c r="O849" s="45" t="e">
        <f t="shared" si="109"/>
        <v>#VALUE!</v>
      </c>
      <c r="P849" s="52" t="str">
        <f t="shared" si="110"/>
        <v/>
      </c>
      <c r="Q849" s="53" t="str">
        <f t="shared" si="111"/>
        <v/>
      </c>
      <c r="R849" s="54" t="str">
        <f t="shared" si="112"/>
        <v/>
      </c>
      <c r="S849" s="53" t="str">
        <f t="shared" si="113"/>
        <v/>
      </c>
    </row>
    <row r="850" spans="10:19" x14ac:dyDescent="0.15">
      <c r="J850" s="38">
        <v>841</v>
      </c>
      <c r="K850" s="40"/>
      <c r="L850" s="34">
        <f t="shared" si="107"/>
        <v>8.5321435931779138E-4</v>
      </c>
      <c r="M850" s="35">
        <f t="shared" si="108"/>
        <v>1.4047101435814587E-7</v>
      </c>
      <c r="N850" s="44">
        <f t="shared" si="106"/>
        <v>6.2150737628071219E-6</v>
      </c>
      <c r="O850" s="45" t="e">
        <f t="shared" si="109"/>
        <v>#VALUE!</v>
      </c>
      <c r="P850" s="52" t="str">
        <f t="shared" si="110"/>
        <v/>
      </c>
      <c r="Q850" s="53" t="str">
        <f t="shared" si="111"/>
        <v/>
      </c>
      <c r="R850" s="54" t="str">
        <f t="shared" si="112"/>
        <v/>
      </c>
      <c r="S850" s="53" t="str">
        <f t="shared" si="113"/>
        <v/>
      </c>
    </row>
    <row r="851" spans="10:19" x14ac:dyDescent="0.15">
      <c r="J851" s="38">
        <v>842</v>
      </c>
      <c r="K851" s="40"/>
      <c r="L851" s="34">
        <f t="shared" si="107"/>
        <v>8.5335449091369301E-4</v>
      </c>
      <c r="M851" s="35">
        <f t="shared" si="108"/>
        <v>1.3979252075190426E-7</v>
      </c>
      <c r="N851" s="44">
        <f t="shared" si="106"/>
        <v>6.1835605325439831E-6</v>
      </c>
      <c r="O851" s="45" t="e">
        <f t="shared" si="109"/>
        <v>#VALUE!</v>
      </c>
      <c r="P851" s="52" t="str">
        <f t="shared" si="110"/>
        <v/>
      </c>
      <c r="Q851" s="53" t="str">
        <f t="shared" si="111"/>
        <v/>
      </c>
      <c r="R851" s="54" t="str">
        <f t="shared" si="112"/>
        <v/>
      </c>
      <c r="S851" s="53" t="str">
        <f t="shared" si="113"/>
        <v/>
      </c>
    </row>
    <row r="852" spans="10:19" x14ac:dyDescent="0.15">
      <c r="J852" s="38">
        <v>843</v>
      </c>
      <c r="K852" s="40"/>
      <c r="L852" s="34">
        <f t="shared" si="107"/>
        <v>8.5349394504452103E-4</v>
      </c>
      <c r="M852" s="35">
        <f t="shared" si="108"/>
        <v>1.3911608282445959E-7</v>
      </c>
      <c r="N852" s="44">
        <f t="shared" si="106"/>
        <v>6.1521405042791553E-6</v>
      </c>
      <c r="O852" s="45" t="e">
        <f t="shared" si="109"/>
        <v>#VALUE!</v>
      </c>
      <c r="P852" s="52" t="str">
        <f t="shared" si="110"/>
        <v/>
      </c>
      <c r="Q852" s="53" t="str">
        <f t="shared" si="111"/>
        <v/>
      </c>
      <c r="R852" s="54" t="str">
        <f t="shared" si="112"/>
        <v/>
      </c>
      <c r="S852" s="53" t="str">
        <f t="shared" si="113"/>
        <v/>
      </c>
    </row>
    <row r="853" spans="10:19" x14ac:dyDescent="0.15">
      <c r="J853" s="38">
        <v>844</v>
      </c>
      <c r="K853" s="40"/>
      <c r="L853" s="34">
        <f t="shared" si="107"/>
        <v>8.5363272376180245E-4</v>
      </c>
      <c r="M853" s="35">
        <f t="shared" si="108"/>
        <v>1.3844169227988201E-7</v>
      </c>
      <c r="N853" s="44">
        <f t="shared" si="106"/>
        <v>6.1208133107684259E-6</v>
      </c>
      <c r="O853" s="45" t="e">
        <f t="shared" si="109"/>
        <v>#VALUE!</v>
      </c>
      <c r="P853" s="52" t="str">
        <f t="shared" si="110"/>
        <v/>
      </c>
      <c r="Q853" s="53" t="str">
        <f t="shared" si="111"/>
        <v/>
      </c>
      <c r="R853" s="54" t="str">
        <f t="shared" si="112"/>
        <v/>
      </c>
      <c r="S853" s="53" t="str">
        <f t="shared" si="113"/>
        <v/>
      </c>
    </row>
    <row r="854" spans="10:19" x14ac:dyDescent="0.15">
      <c r="J854" s="38">
        <v>845</v>
      </c>
      <c r="K854" s="40"/>
      <c r="L854" s="34">
        <f t="shared" si="107"/>
        <v>8.5377082910878977E-4</v>
      </c>
      <c r="M854" s="35">
        <f t="shared" si="108"/>
        <v>1.3776934086404845E-7</v>
      </c>
      <c r="N854" s="44">
        <f t="shared" si="106"/>
        <v>6.0895785865737549E-6</v>
      </c>
      <c r="O854" s="45" t="e">
        <f t="shared" si="109"/>
        <v>#VALUE!</v>
      </c>
      <c r="P854" s="52" t="str">
        <f t="shared" si="110"/>
        <v/>
      </c>
      <c r="Q854" s="53" t="str">
        <f t="shared" si="111"/>
        <v/>
      </c>
      <c r="R854" s="54" t="str">
        <f t="shared" si="112"/>
        <v/>
      </c>
      <c r="S854" s="53" t="str">
        <f t="shared" si="113"/>
        <v/>
      </c>
    </row>
    <row r="855" spans="10:19" x14ac:dyDescent="0.15">
      <c r="J855" s="38">
        <v>846</v>
      </c>
      <c r="K855" s="40"/>
      <c r="L855" s="34">
        <f t="shared" si="107"/>
        <v>8.5390826312050207E-4</v>
      </c>
      <c r="M855" s="35">
        <f t="shared" si="108"/>
        <v>1.3709902036439015E-7</v>
      </c>
      <c r="N855" s="44">
        <f t="shared" si="106"/>
        <v>6.0584359680543841E-6</v>
      </c>
      <c r="O855" s="45" t="e">
        <f t="shared" si="109"/>
        <v>#VALUE!</v>
      </c>
      <c r="P855" s="52" t="str">
        <f t="shared" si="110"/>
        <v/>
      </c>
      <c r="Q855" s="53" t="str">
        <f t="shared" si="111"/>
        <v/>
      </c>
      <c r="R855" s="54" t="str">
        <f t="shared" si="112"/>
        <v/>
      </c>
      <c r="S855" s="53" t="str">
        <f t="shared" si="113"/>
        <v/>
      </c>
    </row>
    <row r="856" spans="10:19" x14ac:dyDescent="0.15">
      <c r="J856" s="38">
        <v>847</v>
      </c>
      <c r="K856" s="40"/>
      <c r="L856" s="34">
        <f t="shared" si="107"/>
        <v>8.5404502782376651E-4</v>
      </c>
      <c r="M856" s="35">
        <f t="shared" si="108"/>
        <v>1.3643072260964176E-7</v>
      </c>
      <c r="N856" s="44">
        <f t="shared" si="106"/>
        <v>6.0273850933554533E-6</v>
      </c>
      <c r="O856" s="45" t="e">
        <f t="shared" si="109"/>
        <v>#VALUE!</v>
      </c>
      <c r="P856" s="52" t="str">
        <f t="shared" si="110"/>
        <v/>
      </c>
      <c r="Q856" s="53" t="str">
        <f t="shared" si="111"/>
        <v/>
      </c>
      <c r="R856" s="54" t="str">
        <f t="shared" si="112"/>
        <v/>
      </c>
      <c r="S856" s="53" t="str">
        <f t="shared" si="113"/>
        <v/>
      </c>
    </row>
    <row r="857" spans="10:19" x14ac:dyDescent="0.15">
      <c r="J857" s="38">
        <v>848</v>
      </c>
      <c r="K857" s="40"/>
      <c r="L857" s="34">
        <f t="shared" si="107"/>
        <v>8.5418112523725923E-4</v>
      </c>
      <c r="M857" s="35">
        <f t="shared" si="108"/>
        <v>1.3576443946959231E-7</v>
      </c>
      <c r="N857" s="44">
        <f t="shared" si="106"/>
        <v>5.9964256023984589E-6</v>
      </c>
      <c r="O857" s="45" t="e">
        <f t="shared" si="109"/>
        <v>#VALUE!</v>
      </c>
      <c r="P857" s="52" t="str">
        <f t="shared" si="110"/>
        <v/>
      </c>
      <c r="Q857" s="53" t="str">
        <f t="shared" si="111"/>
        <v/>
      </c>
      <c r="R857" s="54" t="str">
        <f t="shared" si="112"/>
        <v/>
      </c>
      <c r="S857" s="53" t="str">
        <f t="shared" si="113"/>
        <v/>
      </c>
    </row>
    <row r="858" spans="10:19" x14ac:dyDescent="0.15">
      <c r="J858" s="38">
        <v>849</v>
      </c>
      <c r="K858" s="40"/>
      <c r="L858" s="34">
        <f t="shared" si="107"/>
        <v>8.5431655737154696E-4</v>
      </c>
      <c r="M858" s="35">
        <f t="shared" si="108"/>
        <v>1.3510016285483808E-7</v>
      </c>
      <c r="N858" s="44">
        <f t="shared" si="106"/>
        <v>5.9655571368693282E-6</v>
      </c>
      <c r="O858" s="45" t="e">
        <f t="shared" si="109"/>
        <v>#VALUE!</v>
      </c>
      <c r="P858" s="52" t="str">
        <f t="shared" si="110"/>
        <v/>
      </c>
      <c r="Q858" s="53" t="str">
        <f t="shared" si="111"/>
        <v/>
      </c>
      <c r="R858" s="54" t="str">
        <f t="shared" si="112"/>
        <v/>
      </c>
      <c r="S858" s="53" t="str">
        <f t="shared" si="113"/>
        <v/>
      </c>
    </row>
    <row r="859" spans="10:19" x14ac:dyDescent="0.15">
      <c r="J859" s="38">
        <v>850</v>
      </c>
      <c r="K859" s="40"/>
      <c r="L859" s="34">
        <f t="shared" si="107"/>
        <v>8.5445132622912726E-4</v>
      </c>
      <c r="M859" s="35">
        <f t="shared" si="108"/>
        <v>1.3443788471653678E-7</v>
      </c>
      <c r="N859" s="44">
        <f t="shared" si="106"/>
        <v>5.9347793402087694E-6</v>
      </c>
      <c r="O859" s="45" t="e">
        <f t="shared" si="109"/>
        <v>#VALUE!</v>
      </c>
      <c r="P859" s="52" t="str">
        <f t="shared" si="110"/>
        <v/>
      </c>
      <c r="Q859" s="53" t="str">
        <f t="shared" si="111"/>
        <v/>
      </c>
      <c r="R859" s="54" t="str">
        <f t="shared" si="112"/>
        <v/>
      </c>
      <c r="S859" s="53" t="str">
        <f t="shared" si="113"/>
        <v/>
      </c>
    </row>
    <row r="860" spans="10:19" x14ac:dyDescent="0.15">
      <c r="J860" s="38">
        <v>851</v>
      </c>
      <c r="K860" s="40"/>
      <c r="L860" s="34">
        <f t="shared" si="107"/>
        <v>8.5458543380446885E-4</v>
      </c>
      <c r="M860" s="35">
        <f t="shared" si="108"/>
        <v>1.3377759704616418E-7</v>
      </c>
      <c r="N860" s="44">
        <f t="shared" si="106"/>
        <v>5.904091857602406E-6</v>
      </c>
      <c r="O860" s="45" t="e">
        <f t="shared" si="109"/>
        <v>#VALUE!</v>
      </c>
      <c r="P860" s="52" t="str">
        <f t="shared" si="110"/>
        <v/>
      </c>
      <c r="Q860" s="53" t="str">
        <f t="shared" si="111"/>
        <v/>
      </c>
      <c r="R860" s="54" t="str">
        <f t="shared" si="112"/>
        <v/>
      </c>
      <c r="S860" s="53" t="str">
        <f t="shared" si="113"/>
        <v/>
      </c>
    </row>
    <row r="861" spans="10:19" x14ac:dyDescent="0.15">
      <c r="J861" s="38">
        <v>852</v>
      </c>
      <c r="K861" s="40"/>
      <c r="L861" s="34">
        <f t="shared" si="107"/>
        <v>8.5471888208405226E-4</v>
      </c>
      <c r="M861" s="35">
        <f t="shared" si="108"/>
        <v>1.3311929187527158E-7</v>
      </c>
      <c r="N861" s="44">
        <f t="shared" si="106"/>
        <v>5.8734943359701509E-6</v>
      </c>
      <c r="O861" s="45" t="e">
        <f t="shared" si="109"/>
        <v>#VALUE!</v>
      </c>
      <c r="P861" s="52" t="str">
        <f t="shared" si="110"/>
        <v/>
      </c>
      <c r="Q861" s="53" t="str">
        <f t="shared" si="111"/>
        <v/>
      </c>
      <c r="R861" s="54" t="str">
        <f t="shared" si="112"/>
        <v/>
      </c>
      <c r="S861" s="53" t="str">
        <f t="shared" si="113"/>
        <v/>
      </c>
    </row>
    <row r="862" spans="10:19" x14ac:dyDescent="0.15">
      <c r="J862" s="38">
        <v>853</v>
      </c>
      <c r="K862" s="40"/>
      <c r="L862" s="34">
        <f t="shared" si="107"/>
        <v>8.5485167304640941E-4</v>
      </c>
      <c r="M862" s="35">
        <f t="shared" si="108"/>
        <v>1.3246296127524558E-7</v>
      </c>
      <c r="N862" s="44">
        <f t="shared" si="106"/>
        <v>5.8429864239553653E-6</v>
      </c>
      <c r="O862" s="45" t="e">
        <f t="shared" si="109"/>
        <v>#VALUE!</v>
      </c>
      <c r="P862" s="52" t="str">
        <f t="shared" si="110"/>
        <v/>
      </c>
      <c r="Q862" s="53" t="str">
        <f t="shared" si="111"/>
        <v/>
      </c>
      <c r="R862" s="54" t="str">
        <f t="shared" si="112"/>
        <v/>
      </c>
      <c r="S862" s="53" t="str">
        <f t="shared" si="113"/>
        <v/>
      </c>
    </row>
    <row r="863" spans="10:19" x14ac:dyDescent="0.15">
      <c r="J863" s="38">
        <v>854</v>
      </c>
      <c r="K863" s="40"/>
      <c r="L863" s="34">
        <f t="shared" si="107"/>
        <v>8.5498380866216308E-4</v>
      </c>
      <c r="M863" s="35">
        <f t="shared" si="108"/>
        <v>1.3180859735706942E-7</v>
      </c>
      <c r="N863" s="44">
        <f t="shared" si="106"/>
        <v>5.8125677719162924E-6</v>
      </c>
      <c r="O863" s="45" t="e">
        <f t="shared" si="109"/>
        <v>#VALUE!</v>
      </c>
      <c r="P863" s="52" t="str">
        <f t="shared" si="110"/>
        <v/>
      </c>
      <c r="Q863" s="53" t="str">
        <f t="shared" si="111"/>
        <v/>
      </c>
      <c r="R863" s="54" t="str">
        <f t="shared" si="112"/>
        <v/>
      </c>
      <c r="S863" s="53" t="str">
        <f t="shared" si="113"/>
        <v/>
      </c>
    </row>
    <row r="864" spans="10:19" x14ac:dyDescent="0.15">
      <c r="J864" s="38">
        <v>855</v>
      </c>
      <c r="K864" s="40"/>
      <c r="L864" s="34">
        <f t="shared" si="107"/>
        <v>8.5511529089406701E-4</v>
      </c>
      <c r="M864" s="35">
        <f t="shared" si="108"/>
        <v>1.3115619227108566E-7</v>
      </c>
      <c r="N864" s="44">
        <f t="shared" si="106"/>
        <v>5.7822380319148912E-6</v>
      </c>
      <c r="O864" s="45" t="e">
        <f t="shared" si="109"/>
        <v>#VALUE!</v>
      </c>
      <c r="P864" s="52" t="str">
        <f t="shared" si="110"/>
        <v/>
      </c>
      <c r="Q864" s="53" t="str">
        <f t="shared" si="111"/>
        <v/>
      </c>
      <c r="R864" s="54" t="str">
        <f t="shared" si="112"/>
        <v/>
      </c>
      <c r="S864" s="53" t="str">
        <f t="shared" si="113"/>
        <v/>
      </c>
    </row>
    <row r="865" spans="10:19" x14ac:dyDescent="0.15">
      <c r="J865" s="38">
        <v>856</v>
      </c>
      <c r="K865" s="40"/>
      <c r="L865" s="34">
        <f t="shared" si="107"/>
        <v>8.5524612169704517E-4</v>
      </c>
      <c r="M865" s="35">
        <f t="shared" si="108"/>
        <v>1.3050573820676111E-7</v>
      </c>
      <c r="N865" s="44">
        <f t="shared" si="106"/>
        <v>5.7519968577065357E-6</v>
      </c>
      <c r="O865" s="45" t="e">
        <f t="shared" si="109"/>
        <v>#VALUE!</v>
      </c>
      <c r="P865" s="52" t="str">
        <f t="shared" si="110"/>
        <v/>
      </c>
      <c r="Q865" s="53" t="str">
        <f t="shared" si="111"/>
        <v/>
      </c>
      <c r="R865" s="54" t="str">
        <f t="shared" si="112"/>
        <v/>
      </c>
      <c r="S865" s="53" t="str">
        <f t="shared" si="113"/>
        <v/>
      </c>
    </row>
    <row r="866" spans="10:19" x14ac:dyDescent="0.15">
      <c r="J866" s="38">
        <v>857</v>
      </c>
      <c r="K866" s="40"/>
      <c r="L866" s="34">
        <f t="shared" si="107"/>
        <v>8.5537630301823033E-4</v>
      </c>
      <c r="M866" s="35">
        <f t="shared" si="108"/>
        <v>1.2985722739245281E-7</v>
      </c>
      <c r="N866" s="44">
        <f t="shared" si="106"/>
        <v>5.721843904731125E-6</v>
      </c>
      <c r="O866" s="45" t="e">
        <f t="shared" si="109"/>
        <v>#VALUE!</v>
      </c>
      <c r="P866" s="52" t="str">
        <f t="shared" si="110"/>
        <v/>
      </c>
      <c r="Q866" s="53" t="str">
        <f t="shared" si="111"/>
        <v/>
      </c>
      <c r="R866" s="54" t="str">
        <f t="shared" si="112"/>
        <v/>
      </c>
      <c r="S866" s="53" t="str">
        <f t="shared" si="113"/>
        <v/>
      </c>
    </row>
    <row r="867" spans="10:19" x14ac:dyDescent="0.15">
      <c r="J867" s="38">
        <v>858</v>
      </c>
      <c r="K867" s="40"/>
      <c r="L867" s="34">
        <f t="shared" si="107"/>
        <v>8.5550583679700203E-4</v>
      </c>
      <c r="M867" s="35">
        <f t="shared" si="108"/>
        <v>1.29210652095176E-7</v>
      </c>
      <c r="N867" s="44">
        <f t="shared" si="106"/>
        <v>5.6917788301036505E-6</v>
      </c>
      <c r="O867" s="45" t="e">
        <f t="shared" si="109"/>
        <v>#VALUE!</v>
      </c>
      <c r="P867" s="52" t="str">
        <f t="shared" si="110"/>
        <v/>
      </c>
      <c r="Q867" s="53" t="str">
        <f t="shared" si="111"/>
        <v/>
      </c>
      <c r="R867" s="54" t="str">
        <f t="shared" si="112"/>
        <v/>
      </c>
      <c r="S867" s="53" t="str">
        <f t="shared" si="113"/>
        <v/>
      </c>
    </row>
    <row r="868" spans="10:19" x14ac:dyDescent="0.15">
      <c r="J868" s="38">
        <v>859</v>
      </c>
      <c r="K868" s="40"/>
      <c r="L868" s="34">
        <f t="shared" si="107"/>
        <v>8.5563472496502755E-4</v>
      </c>
      <c r="M868" s="35">
        <f t="shared" si="108"/>
        <v>1.2856600462037344E-7</v>
      </c>
      <c r="N868" s="44">
        <f t="shared" si="106"/>
        <v>5.6618012926023783E-6</v>
      </c>
      <c r="O868" s="45" t="e">
        <f t="shared" si="109"/>
        <v>#VALUE!</v>
      </c>
      <c r="P868" s="52" t="str">
        <f t="shared" si="110"/>
        <v/>
      </c>
      <c r="Q868" s="53" t="str">
        <f t="shared" si="111"/>
        <v/>
      </c>
      <c r="R868" s="54" t="str">
        <f t="shared" si="112"/>
        <v/>
      </c>
      <c r="S868" s="53" t="str">
        <f t="shared" si="113"/>
        <v/>
      </c>
    </row>
    <row r="869" spans="10:19" x14ac:dyDescent="0.15">
      <c r="J869" s="38">
        <v>860</v>
      </c>
      <c r="K869" s="40"/>
      <c r="L869" s="34">
        <f t="shared" si="107"/>
        <v>8.557629694462978E-4</v>
      </c>
      <c r="M869" s="35">
        <f t="shared" si="108"/>
        <v>1.2792327731168689E-7</v>
      </c>
      <c r="N869" s="44">
        <f t="shared" si="106"/>
        <v>5.631910952660934E-6</v>
      </c>
      <c r="O869" s="45" t="e">
        <f t="shared" si="109"/>
        <v>#VALUE!</v>
      </c>
      <c r="P869" s="52" t="str">
        <f t="shared" si="110"/>
        <v/>
      </c>
      <c r="Q869" s="53" t="str">
        <f t="shared" si="111"/>
        <v/>
      </c>
      <c r="R869" s="54" t="str">
        <f t="shared" si="112"/>
        <v/>
      </c>
      <c r="S869" s="53" t="str">
        <f t="shared" si="113"/>
        <v/>
      </c>
    </row>
    <row r="870" spans="10:19" x14ac:dyDescent="0.15">
      <c r="J870" s="38">
        <v>861</v>
      </c>
      <c r="K870" s="40"/>
      <c r="L870" s="34">
        <f t="shared" si="107"/>
        <v>8.5589057215716647E-4</v>
      </c>
      <c r="M870" s="35">
        <f t="shared" si="108"/>
        <v>1.2728246255072922E-7</v>
      </c>
      <c r="N870" s="44">
        <f t="shared" si="106"/>
        <v>5.6021074723587626E-6</v>
      </c>
      <c r="O870" s="45" t="e">
        <f t="shared" si="109"/>
        <v>#VALUE!</v>
      </c>
      <c r="P870" s="52" t="str">
        <f t="shared" si="110"/>
        <v/>
      </c>
      <c r="Q870" s="53" t="str">
        <f t="shared" si="111"/>
        <v/>
      </c>
      <c r="R870" s="54" t="str">
        <f t="shared" si="112"/>
        <v/>
      </c>
      <c r="S870" s="53" t="str">
        <f t="shared" si="113"/>
        <v/>
      </c>
    </row>
    <row r="871" spans="10:19" x14ac:dyDescent="0.15">
      <c r="J871" s="38">
        <v>862</v>
      </c>
      <c r="K871" s="40"/>
      <c r="L871" s="34">
        <f t="shared" si="107"/>
        <v>8.5601753500638797E-4</v>
      </c>
      <c r="M871" s="35">
        <f t="shared" si="108"/>
        <v>1.2664355275685909E-7</v>
      </c>
      <c r="N871" s="44">
        <f t="shared" si="106"/>
        <v>5.5723905154100688E-6</v>
      </c>
      <c r="O871" s="45" t="e">
        <f t="shared" si="109"/>
        <v>#VALUE!</v>
      </c>
      <c r="P871" s="52" t="str">
        <f t="shared" si="110"/>
        <v/>
      </c>
      <c r="Q871" s="53" t="str">
        <f t="shared" si="111"/>
        <v/>
      </c>
      <c r="R871" s="54" t="str">
        <f t="shared" si="112"/>
        <v/>
      </c>
      <c r="S871" s="53" t="str">
        <f t="shared" si="113"/>
        <v/>
      </c>
    </row>
    <row r="872" spans="10:19" x14ac:dyDescent="0.15">
      <c r="J872" s="38">
        <v>863</v>
      </c>
      <c r="K872" s="40"/>
      <c r="L872" s="34">
        <f t="shared" si="107"/>
        <v>8.561438598951544E-4</v>
      </c>
      <c r="M872" s="35">
        <f t="shared" si="108"/>
        <v>1.2600654038695649E-7</v>
      </c>
      <c r="N872" s="44">
        <f t="shared" si="106"/>
        <v>5.5427597471562279E-6</v>
      </c>
      <c r="O872" s="45" t="e">
        <f t="shared" si="109"/>
        <v>#VALUE!</v>
      </c>
      <c r="P872" s="52" t="str">
        <f t="shared" si="110"/>
        <v/>
      </c>
      <c r="Q872" s="53" t="str">
        <f t="shared" si="111"/>
        <v/>
      </c>
      <c r="R872" s="54" t="str">
        <f t="shared" si="112"/>
        <v/>
      </c>
      <c r="S872" s="53" t="str">
        <f t="shared" si="113"/>
        <v/>
      </c>
    </row>
    <row r="873" spans="10:19" x14ac:dyDescent="0.15">
      <c r="J873" s="38">
        <v>864</v>
      </c>
      <c r="K873" s="40"/>
      <c r="L873" s="34">
        <f t="shared" si="107"/>
        <v>8.5626954871713401E-4</v>
      </c>
      <c r="M873" s="35">
        <f t="shared" si="108"/>
        <v>1.2537141793520021E-7</v>
      </c>
      <c r="N873" s="44">
        <f t="shared" si="106"/>
        <v>5.5132148345544019E-6</v>
      </c>
      <c r="O873" s="45" t="e">
        <f t="shared" si="109"/>
        <v>#VALUE!</v>
      </c>
      <c r="P873" s="52" t="str">
        <f t="shared" si="110"/>
        <v/>
      </c>
      <c r="Q873" s="53" t="str">
        <f t="shared" si="111"/>
        <v/>
      </c>
      <c r="R873" s="54" t="str">
        <f t="shared" si="112"/>
        <v/>
      </c>
      <c r="S873" s="53" t="str">
        <f t="shared" si="113"/>
        <v/>
      </c>
    </row>
    <row r="874" spans="10:19" x14ac:dyDescent="0.15">
      <c r="J874" s="38">
        <v>865</v>
      </c>
      <c r="K874" s="40"/>
      <c r="L874" s="34">
        <f t="shared" si="107"/>
        <v>8.5639460335850748E-4</v>
      </c>
      <c r="M874" s="35">
        <f t="shared" si="108"/>
        <v>1.2473817793284688E-7</v>
      </c>
      <c r="N874" s="44">
        <f t="shared" si="106"/>
        <v>5.4837554461695161E-6</v>
      </c>
      <c r="O874" s="45" t="e">
        <f t="shared" si="109"/>
        <v>#VALUE!</v>
      </c>
      <c r="P874" s="52" t="str">
        <f t="shared" si="110"/>
        <v/>
      </c>
      <c r="Q874" s="53" t="str">
        <f t="shared" si="111"/>
        <v/>
      </c>
      <c r="R874" s="54" t="str">
        <f t="shared" si="112"/>
        <v/>
      </c>
      <c r="S874" s="53" t="str">
        <f t="shared" si="113"/>
        <v/>
      </c>
    </row>
    <row r="875" spans="10:19" x14ac:dyDescent="0.15">
      <c r="J875" s="38">
        <v>866</v>
      </c>
      <c r="K875" s="40"/>
      <c r="L875" s="34">
        <f t="shared" si="107"/>
        <v>8.5651902569800517E-4</v>
      </c>
      <c r="M875" s="35">
        <f t="shared" si="108"/>
        <v>1.2410681294801118E-7</v>
      </c>
      <c r="N875" s="44">
        <f t="shared" si="106"/>
        <v>5.4543812521650435E-6</v>
      </c>
      <c r="O875" s="45" t="e">
        <f t="shared" si="109"/>
        <v>#VALUE!</v>
      </c>
      <c r="P875" s="52" t="str">
        <f t="shared" si="110"/>
        <v/>
      </c>
      <c r="Q875" s="53" t="str">
        <f t="shared" si="111"/>
        <v/>
      </c>
      <c r="R875" s="54" t="str">
        <f t="shared" si="112"/>
        <v/>
      </c>
      <c r="S875" s="53" t="str">
        <f t="shared" si="113"/>
        <v/>
      </c>
    </row>
    <row r="876" spans="10:19" x14ac:dyDescent="0.15">
      <c r="J876" s="38">
        <v>867</v>
      </c>
      <c r="K876" s="40"/>
      <c r="L876" s="34">
        <f t="shared" si="107"/>
        <v>8.5664281760694397E-4</v>
      </c>
      <c r="M876" s="35">
        <f t="shared" si="108"/>
        <v>1.2347731558544775E-7</v>
      </c>
      <c r="N876" s="44">
        <f t="shared" si="106"/>
        <v>5.425091924292488E-6</v>
      </c>
      <c r="O876" s="45" t="e">
        <f t="shared" si="109"/>
        <v>#VALUE!</v>
      </c>
      <c r="P876" s="52" t="str">
        <f t="shared" si="110"/>
        <v/>
      </c>
      <c r="Q876" s="53" t="str">
        <f t="shared" si="111"/>
        <v/>
      </c>
      <c r="R876" s="54" t="str">
        <f t="shared" si="112"/>
        <v/>
      </c>
      <c r="S876" s="53" t="str">
        <f t="shared" si="113"/>
        <v/>
      </c>
    </row>
    <row r="877" spans="10:19" x14ac:dyDescent="0.15">
      <c r="J877" s="38">
        <v>868</v>
      </c>
      <c r="K877" s="40"/>
      <c r="L877" s="34">
        <f t="shared" si="107"/>
        <v>8.5676598094926355E-4</v>
      </c>
      <c r="M877" s="35">
        <f t="shared" si="108"/>
        <v>1.2284967848633486E-7</v>
      </c>
      <c r="N877" s="44">
        <f t="shared" si="106"/>
        <v>5.3958871358840118E-6</v>
      </c>
      <c r="O877" s="45" t="e">
        <f t="shared" si="109"/>
        <v>#VALUE!</v>
      </c>
      <c r="P877" s="52" t="str">
        <f t="shared" si="110"/>
        <v/>
      </c>
      <c r="Q877" s="53" t="str">
        <f t="shared" si="111"/>
        <v/>
      </c>
      <c r="R877" s="54" t="str">
        <f t="shared" si="112"/>
        <v/>
      </c>
      <c r="S877" s="53" t="str">
        <f t="shared" si="113"/>
        <v/>
      </c>
    </row>
    <row r="878" spans="10:19" x14ac:dyDescent="0.15">
      <c r="J878" s="38">
        <v>869</v>
      </c>
      <c r="K878" s="40"/>
      <c r="L878" s="34">
        <f t="shared" si="107"/>
        <v>8.5688851758156321E-4</v>
      </c>
      <c r="M878" s="35">
        <f t="shared" si="108"/>
        <v>1.2222389432805918E-7</v>
      </c>
      <c r="N878" s="44">
        <f t="shared" si="106"/>
        <v>5.3667665618411598E-6</v>
      </c>
      <c r="O878" s="45" t="e">
        <f t="shared" si="109"/>
        <v>#VALUE!</v>
      </c>
      <c r="P878" s="52" t="str">
        <f t="shared" si="110"/>
        <v/>
      </c>
      <c r="Q878" s="53" t="str">
        <f t="shared" si="111"/>
        <v/>
      </c>
      <c r="R878" s="54" t="str">
        <f t="shared" si="112"/>
        <v/>
      </c>
      <c r="S878" s="53" t="str">
        <f t="shared" si="113"/>
        <v/>
      </c>
    </row>
    <row r="879" spans="10:19" x14ac:dyDescent="0.15">
      <c r="J879" s="38">
        <v>870</v>
      </c>
      <c r="K879" s="40"/>
      <c r="L879" s="34">
        <f t="shared" si="107"/>
        <v>8.5701042935313731E-4</v>
      </c>
      <c r="M879" s="35">
        <f t="shared" si="108"/>
        <v>1.2159995582400225E-7</v>
      </c>
      <c r="N879" s="44">
        <f t="shared" si="106"/>
        <v>5.3377298786281375E-6</v>
      </c>
      <c r="O879" s="45" t="e">
        <f t="shared" si="109"/>
        <v>#VALUE!</v>
      </c>
      <c r="P879" s="52" t="str">
        <f t="shared" si="110"/>
        <v/>
      </c>
      <c r="Q879" s="53" t="str">
        <f t="shared" si="111"/>
        <v/>
      </c>
      <c r="R879" s="54" t="str">
        <f t="shared" si="112"/>
        <v/>
      </c>
      <c r="S879" s="53" t="str">
        <f t="shared" si="113"/>
        <v/>
      </c>
    </row>
    <row r="880" spans="10:19" x14ac:dyDescent="0.15">
      <c r="J880" s="38">
        <v>871</v>
      </c>
      <c r="K880" s="40"/>
      <c r="L880" s="34">
        <f t="shared" si="107"/>
        <v>8.5713171810601185E-4</v>
      </c>
      <c r="M880" s="35">
        <f t="shared" si="108"/>
        <v>1.2097785572332838E-7</v>
      </c>
      <c r="N880" s="44">
        <f t="shared" si="106"/>
        <v>5.3087767642611859E-6</v>
      </c>
      <c r="O880" s="45" t="e">
        <f t="shared" si="109"/>
        <v>#VALUE!</v>
      </c>
      <c r="P880" s="52" t="str">
        <f t="shared" si="110"/>
        <v/>
      </c>
      <c r="Q880" s="53" t="str">
        <f t="shared" si="111"/>
        <v/>
      </c>
      <c r="R880" s="54" t="str">
        <f t="shared" si="112"/>
        <v/>
      </c>
      <c r="S880" s="53" t="str">
        <f t="shared" si="113"/>
        <v/>
      </c>
    </row>
    <row r="881" spans="10:19" x14ac:dyDescent="0.15">
      <c r="J881" s="38">
        <v>872</v>
      </c>
      <c r="K881" s="40"/>
      <c r="L881" s="34">
        <f t="shared" si="107"/>
        <v>8.5725238567497955E-4</v>
      </c>
      <c r="M881" s="35">
        <f t="shared" si="108"/>
        <v>1.2035758681077396E-7</v>
      </c>
      <c r="N881" s="44">
        <f t="shared" si="106"/>
        <v>5.2799068982999076E-6</v>
      </c>
      <c r="O881" s="45" t="e">
        <f t="shared" si="109"/>
        <v>#VALUE!</v>
      </c>
      <c r="P881" s="52" t="str">
        <f t="shared" si="110"/>
        <v/>
      </c>
      <c r="Q881" s="53" t="str">
        <f t="shared" si="111"/>
        <v/>
      </c>
      <c r="R881" s="54" t="str">
        <f t="shared" si="112"/>
        <v/>
      </c>
      <c r="S881" s="53" t="str">
        <f t="shared" si="113"/>
        <v/>
      </c>
    </row>
    <row r="882" spans="10:19" x14ac:dyDescent="0.15">
      <c r="J882" s="38">
        <v>873</v>
      </c>
      <c r="K882" s="40"/>
      <c r="L882" s="34">
        <f t="shared" si="107"/>
        <v>8.5737243388763569E-4</v>
      </c>
      <c r="M882" s="35">
        <f t="shared" si="108"/>
        <v>1.1973914190643827E-7</v>
      </c>
      <c r="N882" s="44">
        <f t="shared" si="106"/>
        <v>5.2511199618389187E-6</v>
      </c>
      <c r="O882" s="45" t="e">
        <f t="shared" si="109"/>
        <v>#VALUE!</v>
      </c>
      <c r="P882" s="52" t="str">
        <f t="shared" si="110"/>
        <v/>
      </c>
      <c r="Q882" s="53" t="str">
        <f t="shared" si="111"/>
        <v/>
      </c>
      <c r="R882" s="54" t="str">
        <f t="shared" si="112"/>
        <v/>
      </c>
      <c r="S882" s="53" t="str">
        <f t="shared" si="113"/>
        <v/>
      </c>
    </row>
    <row r="883" spans="10:19" x14ac:dyDescent="0.15">
      <c r="J883" s="38">
        <v>874</v>
      </c>
      <c r="K883" s="40"/>
      <c r="L883" s="34">
        <f t="shared" si="107"/>
        <v>8.5749186456441316E-4</v>
      </c>
      <c r="M883" s="35">
        <f t="shared" si="108"/>
        <v>1.191225138655757E-7</v>
      </c>
      <c r="N883" s="44">
        <f t="shared" si="106"/>
        <v>5.2224156374981994E-6</v>
      </c>
      <c r="O883" s="45" t="e">
        <f t="shared" si="109"/>
        <v>#VALUE!</v>
      </c>
      <c r="P883" s="52" t="str">
        <f t="shared" si="110"/>
        <v/>
      </c>
      <c r="Q883" s="53" t="str">
        <f t="shared" si="111"/>
        <v/>
      </c>
      <c r="R883" s="54" t="str">
        <f t="shared" si="112"/>
        <v/>
      </c>
      <c r="S883" s="53" t="str">
        <f t="shared" si="113"/>
        <v/>
      </c>
    </row>
    <row r="884" spans="10:19" x14ac:dyDescent="0.15">
      <c r="J884" s="38">
        <v>875</v>
      </c>
      <c r="K884" s="40"/>
      <c r="L884" s="34">
        <f t="shared" si="107"/>
        <v>8.5761067951861778E-4</v>
      </c>
      <c r="M884" s="35">
        <f t="shared" si="108"/>
        <v>1.1850769557838935E-7</v>
      </c>
      <c r="N884" s="44">
        <f t="shared" si="106"/>
        <v>5.1937936094159382E-6</v>
      </c>
      <c r="O884" s="45" t="e">
        <f t="shared" si="109"/>
        <v>#VALUE!</v>
      </c>
      <c r="P884" s="52" t="str">
        <f t="shared" si="110"/>
        <v/>
      </c>
      <c r="Q884" s="53" t="str">
        <f t="shared" si="111"/>
        <v/>
      </c>
      <c r="R884" s="54" t="str">
        <f t="shared" si="112"/>
        <v/>
      </c>
      <c r="S884" s="53" t="str">
        <f t="shared" si="113"/>
        <v/>
      </c>
    </row>
    <row r="885" spans="10:19" x14ac:dyDescent="0.15">
      <c r="J885" s="38">
        <v>876</v>
      </c>
      <c r="K885" s="40"/>
      <c r="L885" s="34">
        <f t="shared" si="107"/>
        <v>8.5772888055646258E-4</v>
      </c>
      <c r="M885" s="35">
        <f t="shared" si="108"/>
        <v>1.178946799698262E-7</v>
      </c>
      <c r="N885" s="44">
        <f t="shared" si="106"/>
        <v>5.1652535632376899E-6</v>
      </c>
      <c r="O885" s="45" t="e">
        <f t="shared" si="109"/>
        <v>#VALUE!</v>
      </c>
      <c r="P885" s="52" t="str">
        <f t="shared" si="110"/>
        <v/>
      </c>
      <c r="Q885" s="53" t="str">
        <f t="shared" si="111"/>
        <v/>
      </c>
      <c r="R885" s="54" t="str">
        <f t="shared" si="112"/>
        <v/>
      </c>
      <c r="S885" s="53" t="str">
        <f t="shared" si="113"/>
        <v/>
      </c>
    </row>
    <row r="886" spans="10:19" x14ac:dyDescent="0.15">
      <c r="J886" s="38">
        <v>877</v>
      </c>
      <c r="K886" s="40"/>
      <c r="L886" s="34">
        <f t="shared" si="107"/>
        <v>8.5784646947710303E-4</v>
      </c>
      <c r="M886" s="35">
        <f t="shared" si="108"/>
        <v>1.172834599993734E-7</v>
      </c>
      <c r="N886" s="44">
        <f t="shared" si="106"/>
        <v>5.1367951861095449E-6</v>
      </c>
      <c r="O886" s="45" t="e">
        <f t="shared" si="109"/>
        <v>#VALUE!</v>
      </c>
      <c r="P886" s="52" t="str">
        <f t="shared" si="110"/>
        <v/>
      </c>
      <c r="Q886" s="53" t="str">
        <f t="shared" si="111"/>
        <v/>
      </c>
      <c r="R886" s="54" t="str">
        <f t="shared" si="112"/>
        <v/>
      </c>
      <c r="S886" s="53" t="str">
        <f t="shared" si="113"/>
        <v/>
      </c>
    </row>
    <row r="887" spans="10:19" x14ac:dyDescent="0.15">
      <c r="J887" s="38">
        <v>878</v>
      </c>
      <c r="K887" s="40"/>
      <c r="L887" s="34">
        <f t="shared" si="107"/>
        <v>8.5796344807267152E-4</v>
      </c>
      <c r="M887" s="35">
        <f t="shared" si="108"/>
        <v>1.1667402866085624E-7</v>
      </c>
      <c r="N887" s="44">
        <f t="shared" si="106"/>
        <v>5.1084181666682634E-6</v>
      </c>
      <c r="O887" s="45" t="e">
        <f t="shared" si="109"/>
        <v>#VALUE!</v>
      </c>
      <c r="P887" s="52" t="str">
        <f t="shared" si="110"/>
        <v/>
      </c>
      <c r="Q887" s="53" t="str">
        <f t="shared" si="111"/>
        <v/>
      </c>
      <c r="R887" s="54" t="str">
        <f t="shared" si="112"/>
        <v/>
      </c>
      <c r="S887" s="53" t="str">
        <f t="shared" si="113"/>
        <v/>
      </c>
    </row>
    <row r="888" spans="10:19" x14ac:dyDescent="0.15">
      <c r="J888" s="38">
        <v>879</v>
      </c>
      <c r="K888" s="40"/>
      <c r="L888" s="34">
        <f t="shared" si="107"/>
        <v>8.5807981812831096E-4</v>
      </c>
      <c r="M888" s="35">
        <f t="shared" si="108"/>
        <v>1.1606637898223748E-7</v>
      </c>
      <c r="N888" s="44">
        <f t="shared" si="106"/>
        <v>5.0801221950336857E-6</v>
      </c>
      <c r="O888" s="45" t="e">
        <f t="shared" si="109"/>
        <v>#VALUE!</v>
      </c>
      <c r="P888" s="52" t="str">
        <f t="shared" si="110"/>
        <v/>
      </c>
      <c r="Q888" s="53" t="str">
        <f t="shared" si="111"/>
        <v/>
      </c>
      <c r="R888" s="54" t="str">
        <f t="shared" si="112"/>
        <v/>
      </c>
      <c r="S888" s="53" t="str">
        <f t="shared" si="113"/>
        <v/>
      </c>
    </row>
    <row r="889" spans="10:19" x14ac:dyDescent="0.15">
      <c r="J889" s="38">
        <v>880</v>
      </c>
      <c r="K889" s="40"/>
      <c r="L889" s="34">
        <f t="shared" si="107"/>
        <v>8.581955814222096E-4</v>
      </c>
      <c r="M889" s="35">
        <f t="shared" si="108"/>
        <v>1.1546050402541765E-7</v>
      </c>
      <c r="N889" s="44">
        <f t="shared" si="106"/>
        <v>5.0519069627999501E-6</v>
      </c>
      <c r="O889" s="45" t="e">
        <f t="shared" si="109"/>
        <v>#VALUE!</v>
      </c>
      <c r="P889" s="52" t="str">
        <f t="shared" si="110"/>
        <v/>
      </c>
      <c r="Q889" s="53" t="str">
        <f t="shared" si="111"/>
        <v/>
      </c>
      <c r="R889" s="54" t="str">
        <f t="shared" si="112"/>
        <v/>
      </c>
      <c r="S889" s="53" t="str">
        <f t="shared" si="113"/>
        <v/>
      </c>
    </row>
    <row r="890" spans="10:19" x14ac:dyDescent="0.15">
      <c r="J890" s="38">
        <v>881</v>
      </c>
      <c r="K890" s="40"/>
      <c r="L890" s="34">
        <f t="shared" si="107"/>
        <v>8.5831073972563409E-4</v>
      </c>
      <c r="M890" s="35">
        <f t="shared" si="108"/>
        <v>1.1485639688603721E-7</v>
      </c>
      <c r="N890" s="44">
        <f t="shared" si="106"/>
        <v>5.0237721630261691E-6</v>
      </c>
      <c r="O890" s="45" t="e">
        <f t="shared" si="109"/>
        <v>#VALUE!</v>
      </c>
      <c r="P890" s="52" t="str">
        <f t="shared" si="110"/>
        <v/>
      </c>
      <c r="Q890" s="53" t="str">
        <f t="shared" si="111"/>
        <v/>
      </c>
      <c r="R890" s="54" t="str">
        <f t="shared" si="112"/>
        <v/>
      </c>
      <c r="S890" s="53" t="str">
        <f t="shared" si="113"/>
        <v/>
      </c>
    </row>
    <row r="891" spans="10:19" x14ac:dyDescent="0.15">
      <c r="J891" s="38">
        <v>882</v>
      </c>
      <c r="K891" s="40"/>
      <c r="L891" s="34">
        <f t="shared" si="107"/>
        <v>8.5842529480296352E-4</v>
      </c>
      <c r="M891" s="35">
        <f t="shared" si="108"/>
        <v>1.1425405069327981E-7</v>
      </c>
      <c r="N891" s="44">
        <f t="shared" si="106"/>
        <v>4.9957174902307911E-6</v>
      </c>
      <c r="O891" s="45" t="e">
        <f t="shared" si="109"/>
        <v>#VALUE!</v>
      </c>
      <c r="P891" s="52" t="str">
        <f t="shared" si="110"/>
        <v/>
      </c>
      <c r="Q891" s="53" t="str">
        <f t="shared" si="111"/>
        <v/>
      </c>
      <c r="R891" s="54" t="str">
        <f t="shared" si="112"/>
        <v/>
      </c>
      <c r="S891" s="53" t="str">
        <f t="shared" si="113"/>
        <v/>
      </c>
    </row>
    <row r="892" spans="10:19" x14ac:dyDescent="0.15">
      <c r="J892" s="38">
        <v>883</v>
      </c>
      <c r="K892" s="40"/>
      <c r="L892" s="34">
        <f t="shared" si="107"/>
        <v>8.5853924841172312E-4</v>
      </c>
      <c r="M892" s="35">
        <f t="shared" si="108"/>
        <v>1.1365345860967694E-7</v>
      </c>
      <c r="N892" s="44">
        <f t="shared" si="106"/>
        <v>4.9677426403794576E-6</v>
      </c>
      <c r="O892" s="45" t="e">
        <f t="shared" si="109"/>
        <v>#VALUE!</v>
      </c>
      <c r="P892" s="52" t="str">
        <f t="shared" si="110"/>
        <v/>
      </c>
      <c r="Q892" s="53" t="str">
        <f t="shared" si="111"/>
        <v/>
      </c>
      <c r="R892" s="54" t="str">
        <f t="shared" si="112"/>
        <v/>
      </c>
      <c r="S892" s="53" t="str">
        <f t="shared" si="113"/>
        <v/>
      </c>
    </row>
    <row r="893" spans="10:19" x14ac:dyDescent="0.15">
      <c r="J893" s="38">
        <v>884</v>
      </c>
      <c r="K893" s="40"/>
      <c r="L893" s="34">
        <f t="shared" si="107"/>
        <v>8.586526023026174E-4</v>
      </c>
      <c r="M893" s="35">
        <f t="shared" si="108"/>
        <v>1.1305461383091389E-7</v>
      </c>
      <c r="N893" s="44">
        <f t="shared" si="106"/>
        <v>4.9398473108793655E-6</v>
      </c>
      <c r="O893" s="45" t="e">
        <f t="shared" si="109"/>
        <v>#VALUE!</v>
      </c>
      <c r="P893" s="52" t="str">
        <f t="shared" si="110"/>
        <v/>
      </c>
      <c r="Q893" s="53" t="str">
        <f t="shared" si="111"/>
        <v/>
      </c>
      <c r="R893" s="54" t="str">
        <f t="shared" si="112"/>
        <v/>
      </c>
      <c r="S893" s="53" t="str">
        <f t="shared" si="113"/>
        <v/>
      </c>
    </row>
    <row r="894" spans="10:19" x14ac:dyDescent="0.15">
      <c r="J894" s="38">
        <v>885</v>
      </c>
      <c r="K894" s="40"/>
      <c r="L894" s="34">
        <f t="shared" si="107"/>
        <v>8.5876535821956257E-4</v>
      </c>
      <c r="M894" s="35">
        <f t="shared" si="108"/>
        <v>1.1245750958563693E-7</v>
      </c>
      <c r="N894" s="44">
        <f t="shared" si="106"/>
        <v>4.9120312005711351E-6</v>
      </c>
      <c r="O894" s="45" t="e">
        <f t="shared" si="109"/>
        <v>#VALUE!</v>
      </c>
      <c r="P894" s="52" t="str">
        <f t="shared" si="110"/>
        <v/>
      </c>
      <c r="Q894" s="53" t="str">
        <f t="shared" si="111"/>
        <v/>
      </c>
      <c r="R894" s="54" t="str">
        <f t="shared" si="112"/>
        <v/>
      </c>
      <c r="S894" s="53" t="str">
        <f t="shared" si="113"/>
        <v/>
      </c>
    </row>
    <row r="895" spans="10:19" x14ac:dyDescent="0.15">
      <c r="J895" s="38">
        <v>886</v>
      </c>
      <c r="K895" s="40"/>
      <c r="L895" s="34">
        <f t="shared" si="107"/>
        <v>8.5887751789972004E-4</v>
      </c>
      <c r="M895" s="35">
        <f t="shared" si="108"/>
        <v>1.1186213913526208E-7</v>
      </c>
      <c r="N895" s="44">
        <f t="shared" si="106"/>
        <v>4.8842940097192696E-6</v>
      </c>
      <c r="O895" s="45" t="e">
        <f t="shared" si="109"/>
        <v>#VALUE!</v>
      </c>
      <c r="P895" s="52" t="str">
        <f t="shared" si="110"/>
        <v/>
      </c>
      <c r="Q895" s="53" t="str">
        <f t="shared" si="111"/>
        <v/>
      </c>
      <c r="R895" s="54" t="str">
        <f t="shared" si="112"/>
        <v/>
      </c>
      <c r="S895" s="53" t="str">
        <f t="shared" si="113"/>
        <v/>
      </c>
    </row>
    <row r="896" spans="10:19" x14ac:dyDescent="0.15">
      <c r="J896" s="38">
        <v>887</v>
      </c>
      <c r="K896" s="40"/>
      <c r="L896" s="34">
        <f t="shared" si="107"/>
        <v>8.5898908307352896E-4</v>
      </c>
      <c r="M896" s="35">
        <f t="shared" si="108"/>
        <v>1.1126849577378482E-7</v>
      </c>
      <c r="N896" s="44">
        <f t="shared" si="106"/>
        <v>4.8566354400052161E-6</v>
      </c>
      <c r="O896" s="45" t="e">
        <f t="shared" si="109"/>
        <v>#VALUE!</v>
      </c>
      <c r="P896" s="52" t="str">
        <f t="shared" si="110"/>
        <v/>
      </c>
      <c r="Q896" s="53" t="str">
        <f t="shared" si="111"/>
        <v/>
      </c>
      <c r="R896" s="54" t="str">
        <f t="shared" si="112"/>
        <v/>
      </c>
      <c r="S896" s="53" t="str">
        <f t="shared" si="113"/>
        <v/>
      </c>
    </row>
    <row r="897" spans="10:19" x14ac:dyDescent="0.15">
      <c r="J897" s="38">
        <v>888</v>
      </c>
      <c r="K897" s="40"/>
      <c r="L897" s="34">
        <f t="shared" si="107"/>
        <v>8.5910005546473893E-4</v>
      </c>
      <c r="M897" s="35">
        <f t="shared" si="108"/>
        <v>1.1067657282759136E-7</v>
      </c>
      <c r="N897" s="44">
        <f t="shared" si="106"/>
        <v>4.8290551945182579E-6</v>
      </c>
      <c r="O897" s="45" t="e">
        <f t="shared" si="109"/>
        <v>#VALUE!</v>
      </c>
      <c r="P897" s="52" t="str">
        <f t="shared" si="110"/>
        <v/>
      </c>
      <c r="Q897" s="53" t="str">
        <f t="shared" si="111"/>
        <v/>
      </c>
      <c r="R897" s="54" t="str">
        <f t="shared" si="112"/>
        <v/>
      </c>
      <c r="S897" s="53" t="str">
        <f t="shared" si="113"/>
        <v/>
      </c>
    </row>
    <row r="898" spans="10:19" x14ac:dyDescent="0.15">
      <c r="J898" s="38">
        <v>889</v>
      </c>
      <c r="K898" s="40"/>
      <c r="L898" s="34">
        <f t="shared" si="107"/>
        <v>8.5921043679044171E-4</v>
      </c>
      <c r="M898" s="35">
        <f t="shared" si="108"/>
        <v>1.1008636365527097E-7</v>
      </c>
      <c r="N898" s="44">
        <f t="shared" si="106"/>
        <v>4.8015529777494436E-6</v>
      </c>
      <c r="O898" s="45" t="e">
        <f t="shared" si="109"/>
        <v>#VALUE!</v>
      </c>
      <c r="P898" s="52" t="str">
        <f t="shared" si="110"/>
        <v/>
      </c>
      <c r="Q898" s="53" t="str">
        <f t="shared" si="111"/>
        <v/>
      </c>
      <c r="R898" s="54" t="str">
        <f t="shared" si="112"/>
        <v/>
      </c>
      <c r="S898" s="53" t="str">
        <f t="shared" si="113"/>
        <v/>
      </c>
    </row>
    <row r="899" spans="10:19" x14ac:dyDescent="0.15">
      <c r="J899" s="38">
        <v>890</v>
      </c>
      <c r="K899" s="40"/>
      <c r="L899" s="34">
        <f t="shared" si="107"/>
        <v>8.5932022876110392E-4</v>
      </c>
      <c r="M899" s="35">
        <f t="shared" si="108"/>
        <v>1.0949786164742981E-7</v>
      </c>
      <c r="N899" s="44">
        <f t="shared" si="106"/>
        <v>4.7741284955809616E-6</v>
      </c>
      <c r="O899" s="45" t="e">
        <f t="shared" si="109"/>
        <v>#VALUE!</v>
      </c>
      <c r="P899" s="52" t="str">
        <f t="shared" si="110"/>
        <v/>
      </c>
      <c r="Q899" s="53" t="str">
        <f t="shared" si="111"/>
        <v/>
      </c>
      <c r="R899" s="54" t="str">
        <f t="shared" si="112"/>
        <v/>
      </c>
      <c r="S899" s="53" t="str">
        <f t="shared" si="113"/>
        <v/>
      </c>
    </row>
    <row r="900" spans="10:19" x14ac:dyDescent="0.15">
      <c r="J900" s="38">
        <v>891</v>
      </c>
      <c r="K900" s="40"/>
      <c r="L900" s="34">
        <f t="shared" si="107"/>
        <v>8.594294330805985E-4</v>
      </c>
      <c r="M900" s="35">
        <f t="shared" si="108"/>
        <v>1.0891106022650583E-7</v>
      </c>
      <c r="N900" s="44">
        <f t="shared" si="106"/>
        <v>4.7467814552808272E-6</v>
      </c>
      <c r="O900" s="45" t="e">
        <f t="shared" si="109"/>
        <v>#VALUE!</v>
      </c>
      <c r="P900" s="52" t="str">
        <f t="shared" si="110"/>
        <v/>
      </c>
      <c r="Q900" s="53" t="str">
        <f t="shared" si="111"/>
        <v/>
      </c>
      <c r="R900" s="54" t="str">
        <f t="shared" si="112"/>
        <v/>
      </c>
      <c r="S900" s="53" t="str">
        <f t="shared" si="113"/>
        <v/>
      </c>
    </row>
    <row r="901" spans="10:19" x14ac:dyDescent="0.15">
      <c r="J901" s="38">
        <v>892</v>
      </c>
      <c r="K901" s="40"/>
      <c r="L901" s="34">
        <f t="shared" si="107"/>
        <v>8.59538051446237E-4</v>
      </c>
      <c r="M901" s="35">
        <f t="shared" si="108"/>
        <v>1.08325952846585E-7</v>
      </c>
      <c r="N901" s="44">
        <f t="shared" si="106"/>
        <v>4.7195115654932339E-6</v>
      </c>
      <c r="O901" s="45" t="e">
        <f t="shared" si="109"/>
        <v>#VALUE!</v>
      </c>
      <c r="P901" s="52" t="str">
        <f t="shared" si="110"/>
        <v/>
      </c>
      <c r="Q901" s="53" t="str">
        <f t="shared" si="111"/>
        <v/>
      </c>
      <c r="R901" s="54" t="str">
        <f t="shared" si="112"/>
        <v/>
      </c>
      <c r="S901" s="53" t="str">
        <f t="shared" si="113"/>
        <v/>
      </c>
    </row>
    <row r="902" spans="10:19" x14ac:dyDescent="0.15">
      <c r="J902" s="38">
        <v>893</v>
      </c>
      <c r="K902" s="40"/>
      <c r="L902" s="34">
        <f t="shared" si="107"/>
        <v>8.5964608554880018E-4</v>
      </c>
      <c r="M902" s="35">
        <f t="shared" si="108"/>
        <v>1.0774253299321875E-7</v>
      </c>
      <c r="N902" s="44">
        <f t="shared" si="106"/>
        <v>4.6923185362323728E-6</v>
      </c>
      <c r="O902" s="45" t="e">
        <f t="shared" si="109"/>
        <v>#VALUE!</v>
      </c>
      <c r="P902" s="52" t="str">
        <f t="shared" si="110"/>
        <v/>
      </c>
      <c r="Q902" s="53" t="str">
        <f t="shared" si="111"/>
        <v/>
      </c>
      <c r="R902" s="54" t="str">
        <f t="shared" si="112"/>
        <v/>
      </c>
      <c r="S902" s="53" t="str">
        <f t="shared" si="113"/>
        <v/>
      </c>
    </row>
    <row r="903" spans="10:19" x14ac:dyDescent="0.15">
      <c r="J903" s="38">
        <v>894</v>
      </c>
      <c r="K903" s="40"/>
      <c r="L903" s="34">
        <f t="shared" si="107"/>
        <v>8.5975353707257087E-4</v>
      </c>
      <c r="M903" s="35">
        <f t="shared" si="108"/>
        <v>1.0716079418324264E-7</v>
      </c>
      <c r="N903" s="44">
        <f t="shared" si="106"/>
        <v>4.6652020788727835E-6</v>
      </c>
      <c r="O903" s="45" t="e">
        <f t="shared" si="109"/>
        <v>#VALUE!</v>
      </c>
      <c r="P903" s="52" t="str">
        <f t="shared" si="110"/>
        <v/>
      </c>
      <c r="Q903" s="53" t="str">
        <f t="shared" si="111"/>
        <v/>
      </c>
      <c r="R903" s="54" t="str">
        <f t="shared" si="112"/>
        <v/>
      </c>
      <c r="S903" s="53" t="str">
        <f t="shared" si="113"/>
        <v/>
      </c>
    </row>
    <row r="904" spans="10:19" x14ac:dyDescent="0.15">
      <c r="J904" s="38">
        <v>895</v>
      </c>
      <c r="K904" s="40"/>
      <c r="L904" s="34">
        <f t="shared" si="107"/>
        <v>8.5986040769536352E-4</v>
      </c>
      <c r="M904" s="35">
        <f t="shared" si="108"/>
        <v>1.0658072996459624E-7</v>
      </c>
      <c r="N904" s="44">
        <f t="shared" si="106"/>
        <v>4.6381619061437165E-6</v>
      </c>
      <c r="O904" s="45" t="e">
        <f t="shared" si="109"/>
        <v>#VALUE!</v>
      </c>
      <c r="P904" s="52" t="str">
        <f t="shared" si="110"/>
        <v/>
      </c>
      <c r="Q904" s="53" t="str">
        <f t="shared" si="111"/>
        <v/>
      </c>
      <c r="R904" s="54" t="str">
        <f t="shared" si="112"/>
        <v/>
      </c>
      <c r="S904" s="53" t="str">
        <f t="shared" si="113"/>
        <v/>
      </c>
    </row>
    <row r="905" spans="10:19" x14ac:dyDescent="0.15">
      <c r="J905" s="38">
        <v>896</v>
      </c>
      <c r="K905" s="40"/>
      <c r="L905" s="34">
        <f t="shared" si="107"/>
        <v>8.5996669908855645E-4</v>
      </c>
      <c r="M905" s="35">
        <f t="shared" si="108"/>
        <v>1.0600233391614419E-7</v>
      </c>
      <c r="N905" s="44">
        <f t="shared" ref="N905:N968" si="114">(L955-L905)</f>
        <v>4.6111977321204589E-6</v>
      </c>
      <c r="O905" s="45" t="e">
        <f t="shared" si="109"/>
        <v>#VALUE!</v>
      </c>
      <c r="P905" s="52" t="str">
        <f t="shared" si="110"/>
        <v/>
      </c>
      <c r="Q905" s="53" t="str">
        <f t="shared" si="111"/>
        <v/>
      </c>
      <c r="R905" s="54" t="str">
        <f t="shared" si="112"/>
        <v/>
      </c>
      <c r="S905" s="53" t="str">
        <f t="shared" si="113"/>
        <v/>
      </c>
    </row>
    <row r="906" spans="10:19" x14ac:dyDescent="0.15">
      <c r="J906" s="38">
        <v>897</v>
      </c>
      <c r="K906" s="40"/>
      <c r="L906" s="34">
        <f t="shared" ref="L906:L969" si="115">$F$39*((1-$F$40*J906)/(1+$F$41*J906))*(J906-$F$42)</f>
        <v>8.6007241291712196E-4</v>
      </c>
      <c r="M906" s="35">
        <f t="shared" ref="M906:M969" si="116">$F$39*((1-2*$F$40*J906-$F$40*$F$41*(J906^2)+($F$41+$F$40)*$F$42)/(1+$F$41*J906)^2)</f>
        <v>1.0542559964749858E-7</v>
      </c>
      <c r="N906" s="44">
        <f t="shared" si="114"/>
        <v>4.5843092722164204E-6</v>
      </c>
      <c r="O906" s="45" t="e">
        <f t="shared" ref="O906:O969" si="117">IF(N906&lt;=$B$49,1+O905,0)</f>
        <v>#VALUE!</v>
      </c>
      <c r="P906" s="52" t="str">
        <f t="shared" ref="P906:P969" si="118">IF(J906&lt;=$F$42,J906,"")</f>
        <v/>
      </c>
      <c r="Q906" s="53" t="str">
        <f t="shared" ref="Q906:Q969" si="119">IF(J906&lt;=$F$42,L906,"")</f>
        <v/>
      </c>
      <c r="R906" s="54" t="str">
        <f t="shared" ref="R906:R969" si="120">IF(AND(J906&gt;=$F$42,J906&lt;=200),J906,"")</f>
        <v/>
      </c>
      <c r="S906" s="53" t="str">
        <f t="shared" ref="S906:S969" si="121">IF(AND(J906&gt;=$F$42,J906&lt;=200),L906,"")</f>
        <v/>
      </c>
    </row>
    <row r="907" spans="10:19" x14ac:dyDescent="0.15">
      <c r="J907" s="38">
        <v>898</v>
      </c>
      <c r="K907" s="40"/>
      <c r="L907" s="34">
        <f t="shared" si="115"/>
        <v>8.6017755083965769E-4</v>
      </c>
      <c r="M907" s="35">
        <f t="shared" si="116"/>
        <v>1.0485052079884247E-7</v>
      </c>
      <c r="N907" s="44">
        <f t="shared" si="114"/>
        <v>4.5574962431761939E-6</v>
      </c>
      <c r="O907" s="45" t="e">
        <f t="shared" si="117"/>
        <v>#VALUE!</v>
      </c>
      <c r="P907" s="52" t="str">
        <f t="shared" si="118"/>
        <v/>
      </c>
      <c r="Q907" s="53" t="str">
        <f t="shared" si="119"/>
        <v/>
      </c>
      <c r="R907" s="54" t="str">
        <f t="shared" si="120"/>
        <v/>
      </c>
      <c r="S907" s="53" t="str">
        <f t="shared" si="121"/>
        <v/>
      </c>
    </row>
    <row r="908" spans="10:19" x14ac:dyDescent="0.15">
      <c r="J908" s="38">
        <v>899</v>
      </c>
      <c r="K908" s="40"/>
      <c r="L908" s="34">
        <f t="shared" si="115"/>
        <v>8.6028211450841629E-4</v>
      </c>
      <c r="M908" s="35">
        <f t="shared" si="116"/>
        <v>1.0427709104075445E-7</v>
      </c>
      <c r="N908" s="44">
        <f t="shared" si="114"/>
        <v>4.5307583630682918E-6</v>
      </c>
      <c r="O908" s="45" t="e">
        <f t="shared" si="117"/>
        <v>#VALUE!</v>
      </c>
      <c r="P908" s="52" t="str">
        <f t="shared" si="118"/>
        <v/>
      </c>
      <c r="Q908" s="53" t="str">
        <f t="shared" si="119"/>
        <v/>
      </c>
      <c r="R908" s="54" t="str">
        <f t="shared" si="120"/>
        <v/>
      </c>
      <c r="S908" s="53" t="str">
        <f t="shared" si="121"/>
        <v/>
      </c>
    </row>
    <row r="909" spans="10:19" x14ac:dyDescent="0.15">
      <c r="J909" s="38">
        <v>900</v>
      </c>
      <c r="K909" s="40"/>
      <c r="L909" s="34">
        <f t="shared" si="115"/>
        <v>8.6038610556933603E-4</v>
      </c>
      <c r="M909" s="35">
        <f t="shared" si="116"/>
        <v>1.0370530407403451E-7</v>
      </c>
      <c r="N909" s="44">
        <f t="shared" si="114"/>
        <v>4.5040953512774477E-6</v>
      </c>
      <c r="O909" s="45" t="e">
        <f t="shared" si="117"/>
        <v>#VALUE!</v>
      </c>
      <c r="P909" s="52" t="str">
        <f t="shared" si="118"/>
        <v/>
      </c>
      <c r="Q909" s="53" t="str">
        <f t="shared" si="119"/>
        <v/>
      </c>
      <c r="R909" s="54" t="str">
        <f t="shared" si="120"/>
        <v/>
      </c>
      <c r="S909" s="53" t="str">
        <f t="shared" si="121"/>
        <v/>
      </c>
    </row>
    <row r="910" spans="10:19" x14ac:dyDescent="0.15">
      <c r="J910" s="38">
        <v>901</v>
      </c>
      <c r="K910" s="40"/>
      <c r="L910" s="34">
        <f t="shared" si="115"/>
        <v>8.6048952566207125E-4</v>
      </c>
      <c r="M910" s="35">
        <f t="shared" si="116"/>
        <v>1.031351536295311E-7</v>
      </c>
      <c r="N910" s="44">
        <f t="shared" si="114"/>
        <v>4.4775069284967023E-6</v>
      </c>
      <c r="O910" s="45" t="e">
        <f t="shared" si="117"/>
        <v>#VALUE!</v>
      </c>
      <c r="P910" s="52" t="str">
        <f t="shared" si="118"/>
        <v/>
      </c>
      <c r="Q910" s="53" t="str">
        <f t="shared" si="119"/>
        <v/>
      </c>
      <c r="R910" s="54" t="str">
        <f t="shared" si="120"/>
        <v/>
      </c>
      <c r="S910" s="53" t="str">
        <f t="shared" si="121"/>
        <v/>
      </c>
    </row>
    <row r="911" spans="10:19" x14ac:dyDescent="0.15">
      <c r="J911" s="38">
        <v>902</v>
      </c>
      <c r="K911" s="40"/>
      <c r="L911" s="34">
        <f t="shared" si="115"/>
        <v>8.6059237642002241E-4</v>
      </c>
      <c r="M911" s="35">
        <f t="shared" si="116"/>
        <v>1.0256663346796927E-7</v>
      </c>
      <c r="N911" s="44">
        <f t="shared" si="114"/>
        <v>4.4509928167210059E-6</v>
      </c>
      <c r="O911" s="45" t="e">
        <f t="shared" si="117"/>
        <v>#VALUE!</v>
      </c>
      <c r="P911" s="52" t="str">
        <f t="shared" si="118"/>
        <v/>
      </c>
      <c r="Q911" s="53" t="str">
        <f t="shared" si="119"/>
        <v/>
      </c>
      <c r="R911" s="54" t="str">
        <f t="shared" si="120"/>
        <v/>
      </c>
      <c r="S911" s="53" t="str">
        <f t="shared" si="121"/>
        <v/>
      </c>
    </row>
    <row r="912" spans="10:19" x14ac:dyDescent="0.15">
      <c r="J912" s="38">
        <v>903</v>
      </c>
      <c r="K912" s="40"/>
      <c r="L912" s="34">
        <f t="shared" si="115"/>
        <v>8.6069465947036477E-4</v>
      </c>
      <c r="M912" s="35">
        <f t="shared" si="116"/>
        <v>1.0199973737977993E-7</v>
      </c>
      <c r="N912" s="44">
        <f t="shared" si="114"/>
        <v>4.424552739239738E-6</v>
      </c>
      <c r="O912" s="45" t="e">
        <f t="shared" si="117"/>
        <v>#VALUE!</v>
      </c>
      <c r="P912" s="52" t="str">
        <f t="shared" si="118"/>
        <v/>
      </c>
      <c r="Q912" s="53" t="str">
        <f t="shared" si="119"/>
        <v/>
      </c>
      <c r="R912" s="54" t="str">
        <f t="shared" si="120"/>
        <v/>
      </c>
      <c r="S912" s="53" t="str">
        <f t="shared" si="121"/>
        <v/>
      </c>
    </row>
    <row r="913" spans="10:19" x14ac:dyDescent="0.15">
      <c r="J913" s="38">
        <v>904</v>
      </c>
      <c r="K913" s="40"/>
      <c r="L913" s="34">
        <f t="shared" si="115"/>
        <v>8.6079637643407937E-4</v>
      </c>
      <c r="M913" s="35">
        <f t="shared" si="116"/>
        <v>1.0143445918493026E-7</v>
      </c>
      <c r="N913" s="44">
        <f t="shared" si="114"/>
        <v>4.3981864206290092E-6</v>
      </c>
      <c r="O913" s="45" t="e">
        <f t="shared" si="117"/>
        <v>#VALUE!</v>
      </c>
      <c r="P913" s="52" t="str">
        <f t="shared" si="118"/>
        <v/>
      </c>
      <c r="Q913" s="53" t="str">
        <f t="shared" si="119"/>
        <v/>
      </c>
      <c r="R913" s="54" t="str">
        <f t="shared" si="120"/>
        <v/>
      </c>
      <c r="S913" s="53" t="str">
        <f t="shared" si="121"/>
        <v/>
      </c>
    </row>
    <row r="914" spans="10:19" x14ac:dyDescent="0.15">
      <c r="J914" s="38">
        <v>905</v>
      </c>
      <c r="K914" s="40"/>
      <c r="L914" s="34">
        <f t="shared" si="115"/>
        <v>8.6089752892598191E-4</v>
      </c>
      <c r="M914" s="35">
        <f t="shared" si="116"/>
        <v>1.0087079273275549E-7</v>
      </c>
      <c r="N914" s="44">
        <f t="shared" si="114"/>
        <v>4.3718935867445054E-6</v>
      </c>
      <c r="O914" s="45" t="e">
        <f t="shared" si="117"/>
        <v>#VALUE!</v>
      </c>
      <c r="P914" s="52" t="str">
        <f t="shared" si="118"/>
        <v/>
      </c>
      <c r="Q914" s="53" t="str">
        <f t="shared" si="119"/>
        <v/>
      </c>
      <c r="R914" s="54" t="str">
        <f t="shared" si="120"/>
        <v/>
      </c>
      <c r="S914" s="53" t="str">
        <f t="shared" si="121"/>
        <v/>
      </c>
    </row>
    <row r="915" spans="10:19" x14ac:dyDescent="0.15">
      <c r="J915" s="38">
        <v>906</v>
      </c>
      <c r="K915" s="40"/>
      <c r="L915" s="34">
        <f t="shared" si="115"/>
        <v>8.6099811855475171E-4</v>
      </c>
      <c r="M915" s="35">
        <f t="shared" si="116"/>
        <v>1.0030873190179129E-7</v>
      </c>
      <c r="N915" s="44">
        <f t="shared" si="114"/>
        <v>4.3456739647153081E-6</v>
      </c>
      <c r="O915" s="45" t="e">
        <f t="shared" si="117"/>
        <v>#VALUE!</v>
      </c>
      <c r="P915" s="52" t="str">
        <f t="shared" si="118"/>
        <v/>
      </c>
      <c r="Q915" s="53" t="str">
        <f t="shared" si="119"/>
        <v/>
      </c>
      <c r="R915" s="54" t="str">
        <f t="shared" si="120"/>
        <v/>
      </c>
      <c r="S915" s="53" t="str">
        <f t="shared" si="121"/>
        <v/>
      </c>
    </row>
    <row r="916" spans="10:19" x14ac:dyDescent="0.15">
      <c r="J916" s="38">
        <v>907</v>
      </c>
      <c r="K916" s="40"/>
      <c r="L916" s="34">
        <f t="shared" si="115"/>
        <v>8.6109814692296146E-4</v>
      </c>
      <c r="M916" s="35">
        <f t="shared" si="116"/>
        <v>9.9748270599607901E-8</v>
      </c>
      <c r="N916" s="44">
        <f t="shared" si="114"/>
        <v>4.3195272829355457E-6</v>
      </c>
      <c r="O916" s="45" t="e">
        <f t="shared" si="117"/>
        <v>#VALUE!</v>
      </c>
      <c r="P916" s="52" t="str">
        <f t="shared" si="118"/>
        <v/>
      </c>
      <c r="Q916" s="53" t="str">
        <f t="shared" si="119"/>
        <v/>
      </c>
      <c r="R916" s="54" t="str">
        <f t="shared" si="120"/>
        <v/>
      </c>
      <c r="S916" s="53" t="str">
        <f t="shared" si="121"/>
        <v/>
      </c>
    </row>
    <row r="917" spans="10:19" x14ac:dyDescent="0.15">
      <c r="J917" s="38">
        <v>908</v>
      </c>
      <c r="K917" s="40"/>
      <c r="L917" s="34">
        <f t="shared" si="115"/>
        <v>8.6119761562710568E-4</v>
      </c>
      <c r="M917" s="35">
        <f t="shared" si="116"/>
        <v>9.9189402762644674E-8</v>
      </c>
      <c r="N917" s="44">
        <f t="shared" si="114"/>
        <v>4.2934532710579973E-6</v>
      </c>
      <c r="O917" s="45" t="e">
        <f t="shared" si="117"/>
        <v>#VALUE!</v>
      </c>
      <c r="P917" s="52" t="str">
        <f t="shared" si="118"/>
        <v/>
      </c>
      <c r="Q917" s="53" t="str">
        <f t="shared" si="119"/>
        <v/>
      </c>
      <c r="R917" s="54" t="str">
        <f t="shared" si="120"/>
        <v/>
      </c>
      <c r="S917" s="53" t="str">
        <f t="shared" si="121"/>
        <v/>
      </c>
    </row>
    <row r="918" spans="10:19" x14ac:dyDescent="0.15">
      <c r="J918" s="38">
        <v>909</v>
      </c>
      <c r="K918" s="40"/>
      <c r="L918" s="34">
        <f t="shared" si="115"/>
        <v>8.6129652625762992E-4</v>
      </c>
      <c r="M918" s="35">
        <f t="shared" si="116"/>
        <v>9.8632122356046367E-8</v>
      </c>
      <c r="N918" s="44">
        <f t="shared" si="114"/>
        <v>4.2674516599872613E-6</v>
      </c>
      <c r="O918" s="45" t="e">
        <f t="shared" si="117"/>
        <v>#VALUE!</v>
      </c>
      <c r="P918" s="52" t="str">
        <f t="shared" si="118"/>
        <v/>
      </c>
      <c r="Q918" s="53" t="str">
        <f t="shared" si="119"/>
        <v/>
      </c>
      <c r="R918" s="54" t="str">
        <f t="shared" si="120"/>
        <v/>
      </c>
      <c r="S918" s="53" t="str">
        <f t="shared" si="121"/>
        <v/>
      </c>
    </row>
    <row r="919" spans="10:19" x14ac:dyDescent="0.15">
      <c r="J919" s="38">
        <v>910</v>
      </c>
      <c r="K919" s="40"/>
      <c r="L919" s="34">
        <f t="shared" si="115"/>
        <v>8.6139488039895873E-4</v>
      </c>
      <c r="M919" s="35">
        <f t="shared" si="116"/>
        <v>9.8076423373500035E-8</v>
      </c>
      <c r="N919" s="44">
        <f t="shared" si="114"/>
        <v>4.2415221818726005E-6</v>
      </c>
      <c r="O919" s="45" t="e">
        <f t="shared" si="117"/>
        <v>#VALUE!</v>
      </c>
      <c r="P919" s="52" t="str">
        <f t="shared" si="118"/>
        <v/>
      </c>
      <c r="Q919" s="53" t="str">
        <f t="shared" si="119"/>
        <v/>
      </c>
      <c r="R919" s="54" t="str">
        <f t="shared" si="120"/>
        <v/>
      </c>
      <c r="S919" s="53" t="str">
        <f t="shared" si="121"/>
        <v/>
      </c>
    </row>
    <row r="920" spans="10:19" x14ac:dyDescent="0.15">
      <c r="J920" s="38">
        <v>911</v>
      </c>
      <c r="K920" s="40"/>
      <c r="L920" s="34">
        <f t="shared" si="115"/>
        <v>8.6149267962952524E-4</v>
      </c>
      <c r="M920" s="35">
        <f t="shared" si="116"/>
        <v>9.7522299837073353E-8</v>
      </c>
      <c r="N920" s="44">
        <f t="shared" si="114"/>
        <v>4.2156645701005692E-6</v>
      </c>
      <c r="O920" s="45" t="e">
        <f t="shared" si="117"/>
        <v>#VALUE!</v>
      </c>
      <c r="P920" s="52" t="str">
        <f t="shared" si="118"/>
        <v/>
      </c>
      <c r="Q920" s="53" t="str">
        <f t="shared" si="119"/>
        <v/>
      </c>
      <c r="R920" s="54" t="str">
        <f t="shared" si="120"/>
        <v/>
      </c>
      <c r="S920" s="53" t="str">
        <f t="shared" si="121"/>
        <v/>
      </c>
    </row>
    <row r="921" spans="10:19" x14ac:dyDescent="0.15">
      <c r="J921" s="38">
        <v>912</v>
      </c>
      <c r="K921" s="40"/>
      <c r="L921" s="34">
        <f t="shared" si="115"/>
        <v>8.6158992552179804E-4</v>
      </c>
      <c r="M921" s="35">
        <f t="shared" si="116"/>
        <v>9.6969745797053717E-8</v>
      </c>
      <c r="N921" s="44">
        <f t="shared" si="114"/>
        <v>4.1898785592891586E-6</v>
      </c>
      <c r="O921" s="45" t="e">
        <f t="shared" si="117"/>
        <v>#VALUE!</v>
      </c>
      <c r="P921" s="52" t="str">
        <f t="shared" si="118"/>
        <v/>
      </c>
      <c r="Q921" s="53" t="str">
        <f t="shared" si="119"/>
        <v/>
      </c>
      <c r="R921" s="54" t="str">
        <f t="shared" si="120"/>
        <v/>
      </c>
      <c r="S921" s="53" t="str">
        <f t="shared" si="121"/>
        <v/>
      </c>
    </row>
    <row r="922" spans="10:19" x14ac:dyDescent="0.15">
      <c r="J922" s="38">
        <v>913</v>
      </c>
      <c r="K922" s="40"/>
      <c r="L922" s="34">
        <f t="shared" si="115"/>
        <v>8.6168661964231062E-4</v>
      </c>
      <c r="M922" s="35">
        <f t="shared" si="116"/>
        <v>9.6418755331788545E-8</v>
      </c>
      <c r="N922" s="44">
        <f t="shared" si="114"/>
        <v>4.1641638852798818E-6</v>
      </c>
      <c r="O922" s="45" t="e">
        <f t="shared" si="117"/>
        <v>#VALUE!</v>
      </c>
      <c r="P922" s="52" t="str">
        <f t="shared" si="118"/>
        <v/>
      </c>
      <c r="Q922" s="53" t="str">
        <f t="shared" si="119"/>
        <v/>
      </c>
      <c r="R922" s="54" t="str">
        <f t="shared" si="120"/>
        <v/>
      </c>
      <c r="S922" s="53" t="str">
        <f t="shared" si="121"/>
        <v/>
      </c>
    </row>
    <row r="923" spans="10:19" x14ac:dyDescent="0.15">
      <c r="J923" s="38">
        <v>914</v>
      </c>
      <c r="K923" s="40"/>
      <c r="L923" s="34">
        <f t="shared" si="115"/>
        <v>8.6178276355168841E-4</v>
      </c>
      <c r="M923" s="35">
        <f t="shared" si="116"/>
        <v>9.5869322547526756E-8</v>
      </c>
      <c r="N923" s="44">
        <f t="shared" si="114"/>
        <v>4.1385202851321364E-6</v>
      </c>
      <c r="O923" s="45" t="e">
        <f t="shared" si="117"/>
        <v>#VALUE!</v>
      </c>
      <c r="P923" s="52" t="str">
        <f t="shared" si="118"/>
        <v/>
      </c>
      <c r="Q923" s="53" t="str">
        <f t="shared" si="119"/>
        <v/>
      </c>
      <c r="R923" s="54" t="str">
        <f t="shared" si="120"/>
        <v/>
      </c>
      <c r="S923" s="53" t="str">
        <f t="shared" si="121"/>
        <v/>
      </c>
    </row>
    <row r="924" spans="10:19" x14ac:dyDescent="0.15">
      <c r="J924" s="38">
        <v>915</v>
      </c>
      <c r="K924" s="40"/>
      <c r="L924" s="34">
        <f t="shared" si="115"/>
        <v>8.61878358804677E-4</v>
      </c>
      <c r="M924" s="35">
        <f t="shared" si="116"/>
        <v>9.5321441578260998E-8</v>
      </c>
      <c r="N924" s="44">
        <f t="shared" si="114"/>
        <v>4.1129474971156148E-6</v>
      </c>
      <c r="O924" s="45" t="e">
        <f t="shared" si="117"/>
        <v>#VALUE!</v>
      </c>
      <c r="P924" s="52" t="str">
        <f t="shared" si="118"/>
        <v/>
      </c>
      <c r="Q924" s="53" t="str">
        <f t="shared" si="119"/>
        <v/>
      </c>
      <c r="R924" s="54" t="str">
        <f t="shared" si="120"/>
        <v/>
      </c>
      <c r="S924" s="53" t="str">
        <f t="shared" si="121"/>
        <v/>
      </c>
    </row>
    <row r="925" spans="10:19" x14ac:dyDescent="0.15">
      <c r="J925" s="38">
        <v>916</v>
      </c>
      <c r="K925" s="40"/>
      <c r="L925" s="34">
        <f t="shared" si="115"/>
        <v>8.6197340695017021E-4</v>
      </c>
      <c r="M925" s="35">
        <f t="shared" si="116"/>
        <v>9.4775106585571109E-8</v>
      </c>
      <c r="N925" s="44">
        <f t="shared" si="114"/>
        <v>4.0874452607031486E-6</v>
      </c>
      <c r="O925" s="45" t="e">
        <f t="shared" si="117"/>
        <v>#VALUE!</v>
      </c>
      <c r="P925" s="52" t="str">
        <f t="shared" si="118"/>
        <v/>
      </c>
      <c r="Q925" s="53" t="str">
        <f t="shared" si="119"/>
        <v/>
      </c>
      <c r="R925" s="54" t="str">
        <f t="shared" si="120"/>
        <v/>
      </c>
      <c r="S925" s="53" t="str">
        <f t="shared" si="121"/>
        <v/>
      </c>
    </row>
    <row r="926" spans="10:19" x14ac:dyDescent="0.15">
      <c r="J926" s="38">
        <v>917</v>
      </c>
      <c r="K926" s="40"/>
      <c r="L926" s="34">
        <f t="shared" si="115"/>
        <v>8.6206790953123646E-4</v>
      </c>
      <c r="M926" s="35">
        <f t="shared" si="116"/>
        <v>9.4230311758468685E-8</v>
      </c>
      <c r="N926" s="44">
        <f t="shared" si="114"/>
        <v>4.0620133165665886E-6</v>
      </c>
      <c r="O926" s="45" t="e">
        <f t="shared" si="117"/>
        <v>#VALUE!</v>
      </c>
      <c r="P926" s="52" t="str">
        <f t="shared" si="118"/>
        <v/>
      </c>
      <c r="Q926" s="53" t="str">
        <f t="shared" si="119"/>
        <v/>
      </c>
      <c r="R926" s="54" t="str">
        <f t="shared" si="120"/>
        <v/>
      </c>
      <c r="S926" s="53" t="str">
        <f t="shared" si="121"/>
        <v/>
      </c>
    </row>
    <row r="927" spans="10:19" x14ac:dyDescent="0.15">
      <c r="J927" s="38">
        <v>918</v>
      </c>
      <c r="K927" s="40"/>
      <c r="L927" s="34">
        <f t="shared" si="115"/>
        <v>8.6216186808514756E-4</v>
      </c>
      <c r="M927" s="35">
        <f t="shared" si="116"/>
        <v>9.3687051313242402E-8</v>
      </c>
      <c r="N927" s="44">
        <f t="shared" si="114"/>
        <v>4.0366514065667217E-6</v>
      </c>
      <c r="O927" s="45" t="e">
        <f t="shared" si="117"/>
        <v>#VALUE!</v>
      </c>
      <c r="P927" s="52" t="str">
        <f t="shared" si="118"/>
        <v/>
      </c>
      <c r="Q927" s="53" t="str">
        <f t="shared" si="119"/>
        <v/>
      </c>
      <c r="R927" s="54" t="str">
        <f t="shared" si="120"/>
        <v/>
      </c>
      <c r="S927" s="53" t="str">
        <f t="shared" si="121"/>
        <v/>
      </c>
    </row>
    <row r="928" spans="10:19" x14ac:dyDescent="0.15">
      <c r="J928" s="38">
        <v>919</v>
      </c>
      <c r="K928" s="40"/>
      <c r="L928" s="34">
        <f t="shared" si="115"/>
        <v>8.6225528414340437E-4</v>
      </c>
      <c r="M928" s="35">
        <f t="shared" si="116"/>
        <v>9.314531949330468E-8</v>
      </c>
      <c r="N928" s="44">
        <f t="shared" si="114"/>
        <v>4.0113592737492593E-6</v>
      </c>
      <c r="O928" s="45" t="e">
        <f t="shared" si="117"/>
        <v>#VALUE!</v>
      </c>
      <c r="P928" s="52" t="str">
        <f t="shared" si="118"/>
        <v/>
      </c>
      <c r="Q928" s="53" t="str">
        <f t="shared" si="119"/>
        <v/>
      </c>
      <c r="R928" s="54" t="str">
        <f t="shared" si="120"/>
        <v/>
      </c>
      <c r="S928" s="53" t="str">
        <f t="shared" si="121"/>
        <v/>
      </c>
    </row>
    <row r="929" spans="10:19" x14ac:dyDescent="0.15">
      <c r="J929" s="38">
        <v>920</v>
      </c>
      <c r="K929" s="40"/>
      <c r="L929" s="34">
        <f t="shared" si="115"/>
        <v>8.6234815923176545E-4</v>
      </c>
      <c r="M929" s="35">
        <f t="shared" si="116"/>
        <v>9.2605110569039053E-8</v>
      </c>
      <c r="N929" s="44">
        <f t="shared" si="114"/>
        <v>3.9861366623373563E-6</v>
      </c>
      <c r="O929" s="45" t="e">
        <f t="shared" si="117"/>
        <v>#VALUE!</v>
      </c>
      <c r="P929" s="52" t="str">
        <f t="shared" si="118"/>
        <v/>
      </c>
      <c r="Q929" s="53" t="str">
        <f t="shared" si="119"/>
        <v/>
      </c>
      <c r="R929" s="54" t="str">
        <f t="shared" si="120"/>
        <v/>
      </c>
      <c r="S929" s="53" t="str">
        <f t="shared" si="121"/>
        <v/>
      </c>
    </row>
    <row r="930" spans="10:19" x14ac:dyDescent="0.15">
      <c r="J930" s="38">
        <v>921</v>
      </c>
      <c r="K930" s="40"/>
      <c r="L930" s="34">
        <f t="shared" si="115"/>
        <v>8.6244049487027303E-4</v>
      </c>
      <c r="M930" s="35">
        <f t="shared" si="116"/>
        <v>9.2066418837648728E-8</v>
      </c>
      <c r="N930" s="44">
        <f t="shared" si="114"/>
        <v>3.9609833177249977E-6</v>
      </c>
      <c r="O930" s="45" t="e">
        <f t="shared" si="117"/>
        <v>#VALUE!</v>
      </c>
      <c r="P930" s="52" t="str">
        <f t="shared" si="118"/>
        <v/>
      </c>
      <c r="Q930" s="53" t="str">
        <f t="shared" si="119"/>
        <v/>
      </c>
      <c r="R930" s="54" t="str">
        <f t="shared" si="120"/>
        <v/>
      </c>
      <c r="S930" s="53" t="str">
        <f t="shared" si="121"/>
        <v/>
      </c>
    </row>
    <row r="931" spans="10:19" x14ac:dyDescent="0.15">
      <c r="J931" s="38">
        <v>922</v>
      </c>
      <c r="K931" s="40"/>
      <c r="L931" s="34">
        <f t="shared" si="115"/>
        <v>8.6253229257327946E-4</v>
      </c>
      <c r="M931" s="35">
        <f t="shared" si="116"/>
        <v>9.1529238623006049E-8</v>
      </c>
      <c r="N931" s="44">
        <f t="shared" si="114"/>
        <v>3.9358989864711437E-6</v>
      </c>
      <c r="O931" s="45" t="e">
        <f t="shared" si="117"/>
        <v>#VALUE!</v>
      </c>
      <c r="P931" s="52" t="str">
        <f t="shared" si="118"/>
        <v/>
      </c>
      <c r="Q931" s="53" t="str">
        <f t="shared" si="119"/>
        <v/>
      </c>
      <c r="R931" s="54" t="str">
        <f t="shared" si="120"/>
        <v/>
      </c>
      <c r="S931" s="53" t="str">
        <f t="shared" si="121"/>
        <v/>
      </c>
    </row>
    <row r="932" spans="10:19" x14ac:dyDescent="0.15">
      <c r="J932" s="38">
        <v>923</v>
      </c>
      <c r="K932" s="40"/>
      <c r="L932" s="34">
        <f t="shared" si="115"/>
        <v>8.6262355384947461E-4</v>
      </c>
      <c r="M932" s="35">
        <f t="shared" si="116"/>
        <v>9.0993564275502979E-8</v>
      </c>
      <c r="N932" s="44">
        <f t="shared" si="114"/>
        <v>3.9108834162930074E-6</v>
      </c>
      <c r="O932" s="45" t="e">
        <f t="shared" si="117"/>
        <v>#VALUE!</v>
      </c>
      <c r="P932" s="52" t="str">
        <f t="shared" si="118"/>
        <v/>
      </c>
      <c r="Q932" s="53" t="str">
        <f t="shared" si="119"/>
        <v/>
      </c>
      <c r="R932" s="54" t="str">
        <f t="shared" si="120"/>
        <v/>
      </c>
      <c r="S932" s="53" t="str">
        <f t="shared" si="121"/>
        <v/>
      </c>
    </row>
    <row r="933" spans="10:19" x14ac:dyDescent="0.15">
      <c r="J933" s="38">
        <v>924</v>
      </c>
      <c r="K933" s="40"/>
      <c r="L933" s="34">
        <f t="shared" si="115"/>
        <v>8.6271428020191136E-4</v>
      </c>
      <c r="M933" s="35">
        <f t="shared" si="116"/>
        <v>9.0459390171902559E-8</v>
      </c>
      <c r="N933" s="44">
        <f t="shared" si="114"/>
        <v>3.8859363560602008E-6</v>
      </c>
      <c r="O933" s="45" t="e">
        <f t="shared" si="117"/>
        <v>#VALUE!</v>
      </c>
      <c r="P933" s="52" t="str">
        <f t="shared" si="118"/>
        <v/>
      </c>
      <c r="Q933" s="53" t="str">
        <f t="shared" si="119"/>
        <v/>
      </c>
      <c r="R933" s="54" t="str">
        <f t="shared" si="120"/>
        <v/>
      </c>
      <c r="S933" s="53" t="str">
        <f t="shared" si="121"/>
        <v/>
      </c>
    </row>
    <row r="934" spans="10:19" x14ac:dyDescent="0.15">
      <c r="J934" s="38">
        <v>925</v>
      </c>
      <c r="K934" s="40"/>
      <c r="L934" s="34">
        <f t="shared" si="115"/>
        <v>8.6280447312803371E-4</v>
      </c>
      <c r="M934" s="35">
        <f t="shared" si="116"/>
        <v>8.992671071519149E-8</v>
      </c>
      <c r="N934" s="44">
        <f t="shared" si="114"/>
        <v>3.8610575557864943E-6</v>
      </c>
      <c r="O934" s="45" t="e">
        <f t="shared" si="117"/>
        <v>#VALUE!</v>
      </c>
      <c r="P934" s="52" t="str">
        <f t="shared" si="118"/>
        <v/>
      </c>
      <c r="Q934" s="53" t="str">
        <f t="shared" si="119"/>
        <v/>
      </c>
      <c r="R934" s="54" t="str">
        <f t="shared" si="120"/>
        <v/>
      </c>
      <c r="S934" s="53" t="str">
        <f t="shared" si="121"/>
        <v/>
      </c>
    </row>
    <row r="935" spans="10:19" x14ac:dyDescent="0.15">
      <c r="J935" s="38">
        <v>926</v>
      </c>
      <c r="K935" s="40"/>
      <c r="L935" s="34">
        <f t="shared" si="115"/>
        <v>8.6289413411970027E-4</v>
      </c>
      <c r="M935" s="35">
        <f t="shared" si="116"/>
        <v>8.939552033443314E-8</v>
      </c>
      <c r="N935" s="44">
        <f t="shared" si="114"/>
        <v>3.8362467666267809E-6</v>
      </c>
      <c r="O935" s="45" t="e">
        <f t="shared" si="117"/>
        <v>#VALUE!</v>
      </c>
      <c r="P935" s="52" t="str">
        <f t="shared" si="118"/>
        <v/>
      </c>
      <c r="Q935" s="53" t="str">
        <f t="shared" si="119"/>
        <v/>
      </c>
      <c r="R935" s="54" t="str">
        <f t="shared" si="120"/>
        <v/>
      </c>
      <c r="S935" s="53" t="str">
        <f t="shared" si="121"/>
        <v/>
      </c>
    </row>
    <row r="936" spans="10:19" x14ac:dyDescent="0.15">
      <c r="J936" s="38">
        <v>927</v>
      </c>
      <c r="K936" s="40"/>
      <c r="L936" s="34">
        <f t="shared" si="115"/>
        <v>8.6298326466321257E-4</v>
      </c>
      <c r="M936" s="35">
        <f t="shared" si="116"/>
        <v>8.8865813484622284E-8</v>
      </c>
      <c r="N936" s="44">
        <f t="shared" si="114"/>
        <v>3.8115037408680778E-6</v>
      </c>
      <c r="O936" s="45" t="e">
        <f t="shared" si="117"/>
        <v>#VALUE!</v>
      </c>
      <c r="P936" s="52" t="str">
        <f t="shared" si="118"/>
        <v/>
      </c>
      <c r="Q936" s="53" t="str">
        <f t="shared" si="119"/>
        <v/>
      </c>
      <c r="R936" s="54" t="str">
        <f t="shared" si="120"/>
        <v/>
      </c>
      <c r="S936" s="53" t="str">
        <f t="shared" si="121"/>
        <v/>
      </c>
    </row>
    <row r="937" spans="10:19" x14ac:dyDescent="0.15">
      <c r="J937" s="38">
        <v>928</v>
      </c>
      <c r="K937" s="40"/>
      <c r="L937" s="34">
        <f t="shared" si="115"/>
        <v>8.6307186623933978E-4</v>
      </c>
      <c r="M937" s="35">
        <f t="shared" si="116"/>
        <v>8.8337584646540149E-8</v>
      </c>
      <c r="N937" s="44">
        <f t="shared" si="114"/>
        <v>3.7868282319247553E-6</v>
      </c>
      <c r="O937" s="45" t="e">
        <f t="shared" si="117"/>
        <v>#VALUE!</v>
      </c>
      <c r="P937" s="52" t="str">
        <f t="shared" si="118"/>
        <v/>
      </c>
      <c r="Q937" s="53" t="str">
        <f t="shared" si="119"/>
        <v/>
      </c>
      <c r="R937" s="54" t="str">
        <f t="shared" si="120"/>
        <v/>
      </c>
      <c r="S937" s="53" t="str">
        <f t="shared" si="121"/>
        <v/>
      </c>
    </row>
    <row r="938" spans="10:19" x14ac:dyDescent="0.15">
      <c r="J938" s="38">
        <v>929</v>
      </c>
      <c r="K938" s="40"/>
      <c r="L938" s="34">
        <f t="shared" si="115"/>
        <v>8.6315994032334464E-4</v>
      </c>
      <c r="M938" s="35">
        <f t="shared" si="116"/>
        <v>8.7810828326610759E-8</v>
      </c>
      <c r="N938" s="44">
        <f t="shared" si="114"/>
        <v>3.7622199943318155E-6</v>
      </c>
      <c r="O938" s="45" t="e">
        <f t="shared" si="117"/>
        <v>#VALUE!</v>
      </c>
      <c r="P938" s="52" t="str">
        <f t="shared" si="118"/>
        <v/>
      </c>
      <c r="Q938" s="53" t="str">
        <f t="shared" si="119"/>
        <v/>
      </c>
      <c r="R938" s="54" t="str">
        <f t="shared" si="120"/>
        <v/>
      </c>
      <c r="S938" s="53" t="str">
        <f t="shared" si="121"/>
        <v/>
      </c>
    </row>
    <row r="939" spans="10:19" x14ac:dyDescent="0.15">
      <c r="J939" s="38">
        <v>930</v>
      </c>
      <c r="K939" s="40"/>
      <c r="L939" s="34">
        <f t="shared" si="115"/>
        <v>8.6324748838500955E-4</v>
      </c>
      <c r="M939" s="35">
        <f t="shared" si="116"/>
        <v>8.7285539056758077E-8</v>
      </c>
      <c r="N939" s="44">
        <f t="shared" si="114"/>
        <v>3.7376787837383862E-6</v>
      </c>
      <c r="O939" s="45" t="e">
        <f t="shared" si="117"/>
        <v>#VALUE!</v>
      </c>
      <c r="P939" s="52" t="str">
        <f t="shared" si="118"/>
        <v/>
      </c>
      <c r="Q939" s="53" t="str">
        <f t="shared" si="119"/>
        <v/>
      </c>
      <c r="R939" s="54" t="str">
        <f t="shared" si="120"/>
        <v/>
      </c>
      <c r="S939" s="53" t="str">
        <f t="shared" si="121"/>
        <v/>
      </c>
    </row>
    <row r="940" spans="10:19" x14ac:dyDescent="0.15">
      <c r="J940" s="38">
        <v>931</v>
      </c>
      <c r="K940" s="40"/>
      <c r="L940" s="34">
        <f t="shared" si="115"/>
        <v>8.6333451188866026E-4</v>
      </c>
      <c r="M940" s="35">
        <f t="shared" si="116"/>
        <v>8.6761711394264049E-8</v>
      </c>
      <c r="N940" s="44">
        <f t="shared" si="114"/>
        <v>3.7132043569040353E-6</v>
      </c>
      <c r="O940" s="45" t="e">
        <f t="shared" si="117"/>
        <v>#VALUE!</v>
      </c>
      <c r="P940" s="52" t="str">
        <f t="shared" si="118"/>
        <v/>
      </c>
      <c r="Q940" s="53" t="str">
        <f t="shared" si="119"/>
        <v/>
      </c>
      <c r="R940" s="54" t="str">
        <f t="shared" si="120"/>
        <v/>
      </c>
      <c r="S940" s="53" t="str">
        <f t="shared" si="121"/>
        <v/>
      </c>
    </row>
    <row r="941" spans="10:19" x14ac:dyDescent="0.15">
      <c r="J941" s="38">
        <v>932</v>
      </c>
      <c r="K941" s="40"/>
      <c r="L941" s="34">
        <f t="shared" si="115"/>
        <v>8.6342101229319431E-4</v>
      </c>
      <c r="M941" s="35">
        <f t="shared" si="116"/>
        <v>8.6239339921627745E-8</v>
      </c>
      <c r="N941" s="44">
        <f t="shared" si="114"/>
        <v>3.6887964716885791E-6</v>
      </c>
      <c r="O941" s="45" t="e">
        <f t="shared" si="117"/>
        <v>#VALUE!</v>
      </c>
      <c r="P941" s="52" t="str">
        <f t="shared" si="118"/>
        <v/>
      </c>
      <c r="Q941" s="53" t="str">
        <f t="shared" si="119"/>
        <v/>
      </c>
      <c r="R941" s="54" t="str">
        <f t="shared" si="120"/>
        <v/>
      </c>
      <c r="S941" s="53" t="str">
        <f t="shared" si="121"/>
        <v/>
      </c>
    </row>
    <row r="942" spans="10:19" x14ac:dyDescent="0.15">
      <c r="J942" s="38">
        <v>933</v>
      </c>
      <c r="K942" s="40"/>
      <c r="L942" s="34">
        <f t="shared" si="115"/>
        <v>8.6350699105210258E-4</v>
      </c>
      <c r="M942" s="35">
        <f t="shared" si="116"/>
        <v>8.571841924642507E-8</v>
      </c>
      <c r="N942" s="44">
        <f t="shared" si="114"/>
        <v>3.6644548870500221E-6</v>
      </c>
      <c r="O942" s="45" t="e">
        <f t="shared" si="117"/>
        <v>#VALUE!</v>
      </c>
      <c r="P942" s="52" t="str">
        <f t="shared" si="118"/>
        <v/>
      </c>
      <c r="Q942" s="53" t="str">
        <f t="shared" si="119"/>
        <v/>
      </c>
      <c r="R942" s="54" t="str">
        <f t="shared" si="120"/>
        <v/>
      </c>
      <c r="S942" s="53" t="str">
        <f t="shared" si="121"/>
        <v/>
      </c>
    </row>
    <row r="943" spans="10:19" x14ac:dyDescent="0.15">
      <c r="J943" s="38">
        <v>934</v>
      </c>
      <c r="K943" s="40"/>
      <c r="L943" s="34">
        <f t="shared" si="115"/>
        <v>8.6359244961349676E-4</v>
      </c>
      <c r="M943" s="35">
        <f t="shared" si="116"/>
        <v>8.5198944001169848E-8</v>
      </c>
      <c r="N943" s="44">
        <f t="shared" si="114"/>
        <v>3.6401793630368596E-6</v>
      </c>
      <c r="O943" s="45" t="e">
        <f t="shared" si="117"/>
        <v>#VALUE!</v>
      </c>
      <c r="P943" s="52" t="str">
        <f t="shared" si="118"/>
        <v/>
      </c>
      <c r="Q943" s="53" t="str">
        <f t="shared" si="119"/>
        <v/>
      </c>
      <c r="R943" s="54" t="str">
        <f t="shared" si="120"/>
        <v/>
      </c>
      <c r="S943" s="53" t="str">
        <f t="shared" si="121"/>
        <v/>
      </c>
    </row>
    <row r="944" spans="10:19" x14ac:dyDescent="0.15">
      <c r="J944" s="38">
        <v>935</v>
      </c>
      <c r="K944" s="40"/>
      <c r="L944" s="34">
        <f t="shared" si="115"/>
        <v>8.636773894201337E-4</v>
      </c>
      <c r="M944" s="35">
        <f t="shared" si="116"/>
        <v>8.4680908843175426E-8</v>
      </c>
      <c r="N944" s="44">
        <f t="shared" si="114"/>
        <v>3.6159696607811383E-6</v>
      </c>
      <c r="O944" s="45" t="e">
        <f t="shared" si="117"/>
        <v>#VALUE!</v>
      </c>
      <c r="P944" s="52" t="str">
        <f t="shared" si="118"/>
        <v/>
      </c>
      <c r="Q944" s="53" t="str">
        <f t="shared" si="119"/>
        <v/>
      </c>
      <c r="R944" s="54" t="str">
        <f t="shared" si="120"/>
        <v/>
      </c>
      <c r="S944" s="53" t="str">
        <f t="shared" si="121"/>
        <v/>
      </c>
    </row>
    <row r="945" spans="10:19" x14ac:dyDescent="0.15">
      <c r="J945" s="38">
        <v>936</v>
      </c>
      <c r="K945" s="40"/>
      <c r="L945" s="34">
        <f t="shared" si="115"/>
        <v>8.6376181190943931E-4</v>
      </c>
      <c r="M945" s="35">
        <f t="shared" si="116"/>
        <v>8.4164308454417245E-8</v>
      </c>
      <c r="N945" s="44">
        <f t="shared" si="114"/>
        <v>3.5918255424957461E-6</v>
      </c>
      <c r="O945" s="45" t="e">
        <f t="shared" si="117"/>
        <v>#VALUE!</v>
      </c>
      <c r="P945" s="52" t="str">
        <f t="shared" si="118"/>
        <v/>
      </c>
      <c r="Q945" s="53" t="str">
        <f t="shared" si="119"/>
        <v/>
      </c>
      <c r="R945" s="54" t="str">
        <f t="shared" si="120"/>
        <v/>
      </c>
      <c r="S945" s="53" t="str">
        <f t="shared" si="121"/>
        <v/>
      </c>
    </row>
    <row r="946" spans="10:19" x14ac:dyDescent="0.15">
      <c r="J946" s="38">
        <v>937</v>
      </c>
      <c r="K946" s="40"/>
      <c r="L946" s="34">
        <f t="shared" si="115"/>
        <v>8.6384571851353417E-4</v>
      </c>
      <c r="M946" s="35">
        <f t="shared" si="116"/>
        <v>8.3649137541396505E-8</v>
      </c>
      <c r="N946" s="44">
        <f t="shared" si="114"/>
        <v>3.5677467714647628E-6</v>
      </c>
      <c r="O946" s="45" t="e">
        <f t="shared" si="117"/>
        <v>#VALUE!</v>
      </c>
      <c r="P946" s="52" t="str">
        <f t="shared" si="118"/>
        <v/>
      </c>
      <c r="Q946" s="53" t="str">
        <f t="shared" si="119"/>
        <v/>
      </c>
      <c r="R946" s="54" t="str">
        <f t="shared" si="120"/>
        <v/>
      </c>
      <c r="S946" s="53" t="str">
        <f t="shared" si="121"/>
        <v/>
      </c>
    </row>
    <row r="947" spans="10:19" x14ac:dyDescent="0.15">
      <c r="J947" s="38">
        <v>938</v>
      </c>
      <c r="K947" s="40"/>
      <c r="L947" s="34">
        <f t="shared" si="115"/>
        <v>8.6392911065925719E-4</v>
      </c>
      <c r="M947" s="35">
        <f t="shared" si="116"/>
        <v>8.3135390835004386E-8</v>
      </c>
      <c r="N947" s="44">
        <f t="shared" si="114"/>
        <v>3.5437331120403157E-6</v>
      </c>
      <c r="O947" s="45" t="e">
        <f t="shared" si="117"/>
        <v>#VALUE!</v>
      </c>
      <c r="P947" s="52" t="str">
        <f t="shared" si="118"/>
        <v/>
      </c>
      <c r="Q947" s="53" t="str">
        <f t="shared" si="119"/>
        <v/>
      </c>
      <c r="R947" s="54" t="str">
        <f t="shared" si="120"/>
        <v/>
      </c>
      <c r="S947" s="53" t="str">
        <f t="shared" si="121"/>
        <v/>
      </c>
    </row>
    <row r="948" spans="10:19" x14ac:dyDescent="0.15">
      <c r="J948" s="38">
        <v>939</v>
      </c>
      <c r="K948" s="40"/>
      <c r="L948" s="34">
        <f t="shared" si="115"/>
        <v>8.6401198976819116E-4</v>
      </c>
      <c r="M948" s="35">
        <f t="shared" si="116"/>
        <v>8.2623063090387549E-8</v>
      </c>
      <c r="N948" s="44">
        <f t="shared" si="114"/>
        <v>3.519784329635749E-6</v>
      </c>
      <c r="O948" s="45" t="e">
        <f t="shared" si="117"/>
        <v>#VALUE!</v>
      </c>
      <c r="P948" s="52" t="str">
        <f t="shared" si="118"/>
        <v/>
      </c>
      <c r="Q948" s="53" t="str">
        <f t="shared" si="119"/>
        <v/>
      </c>
      <c r="R948" s="54" t="str">
        <f t="shared" si="120"/>
        <v/>
      </c>
      <c r="S948" s="53" t="str">
        <f t="shared" si="121"/>
        <v/>
      </c>
    </row>
    <row r="949" spans="10:19" x14ac:dyDescent="0.15">
      <c r="J949" s="38">
        <v>940</v>
      </c>
      <c r="K949" s="40"/>
      <c r="L949" s="34">
        <f t="shared" si="115"/>
        <v>8.6409435725668489E-4</v>
      </c>
      <c r="M949" s="35">
        <f t="shared" si="116"/>
        <v>8.211214908681406E-8</v>
      </c>
      <c r="N949" s="44">
        <f t="shared" si="114"/>
        <v>3.4959001907203116E-6</v>
      </c>
      <c r="O949" s="45" t="e">
        <f t="shared" si="117"/>
        <v>#VALUE!</v>
      </c>
      <c r="P949" s="52" t="str">
        <f t="shared" si="118"/>
        <v/>
      </c>
      <c r="Q949" s="53" t="str">
        <f t="shared" si="119"/>
        <v/>
      </c>
      <c r="R949" s="54" t="str">
        <f t="shared" si="120"/>
        <v/>
      </c>
      <c r="S949" s="53" t="str">
        <f t="shared" si="121"/>
        <v/>
      </c>
    </row>
    <row r="950" spans="10:19" x14ac:dyDescent="0.15">
      <c r="J950" s="38">
        <v>941</v>
      </c>
      <c r="K950" s="40"/>
      <c r="L950" s="34">
        <f t="shared" si="115"/>
        <v>8.6417621453587932E-4</v>
      </c>
      <c r="M950" s="35">
        <f t="shared" si="116"/>
        <v>8.1602643627540461E-8</v>
      </c>
      <c r="N950" s="44">
        <f t="shared" si="114"/>
        <v>3.4720804628131938E-6</v>
      </c>
      <c r="O950" s="45" t="e">
        <f t="shared" si="117"/>
        <v>#VALUE!</v>
      </c>
      <c r="P950" s="52" t="str">
        <f t="shared" si="118"/>
        <v/>
      </c>
      <c r="Q950" s="53" t="str">
        <f t="shared" si="119"/>
        <v/>
      </c>
      <c r="R950" s="54" t="str">
        <f t="shared" si="120"/>
        <v/>
      </c>
      <c r="S950" s="53" t="str">
        <f t="shared" si="121"/>
        <v/>
      </c>
    </row>
    <row r="951" spans="10:19" x14ac:dyDescent="0.15">
      <c r="J951" s="38">
        <v>942</v>
      </c>
      <c r="K951" s="40"/>
      <c r="L951" s="34">
        <f t="shared" si="115"/>
        <v>8.6425756301173023E-4</v>
      </c>
      <c r="M951" s="35">
        <f t="shared" si="116"/>
        <v>8.1094541539679672E-8</v>
      </c>
      <c r="N951" s="44">
        <f t="shared" si="114"/>
        <v>3.4483249144776724E-6</v>
      </c>
      <c r="O951" s="45" t="e">
        <f t="shared" si="117"/>
        <v>#VALUE!</v>
      </c>
      <c r="P951" s="52" t="str">
        <f t="shared" si="118"/>
        <v/>
      </c>
      <c r="Q951" s="53" t="str">
        <f t="shared" si="119"/>
        <v/>
      </c>
      <c r="R951" s="54" t="str">
        <f t="shared" si="120"/>
        <v/>
      </c>
      <c r="S951" s="53" t="str">
        <f t="shared" si="121"/>
        <v/>
      </c>
    </row>
    <row r="952" spans="10:19" x14ac:dyDescent="0.15">
      <c r="J952" s="38">
        <v>943</v>
      </c>
      <c r="K952" s="40"/>
      <c r="L952" s="34">
        <f t="shared" si="115"/>
        <v>8.6433840408503256E-4</v>
      </c>
      <c r="M952" s="35">
        <f t="shared" si="116"/>
        <v>8.0587837674069585E-8</v>
      </c>
      <c r="N952" s="44">
        <f t="shared" si="114"/>
        <v>3.4246333153160153E-6</v>
      </c>
      <c r="O952" s="45" t="e">
        <f t="shared" si="117"/>
        <v>#VALUE!</v>
      </c>
      <c r="P952" s="52" t="str">
        <f t="shared" si="118"/>
        <v/>
      </c>
      <c r="Q952" s="53" t="str">
        <f t="shared" si="119"/>
        <v/>
      </c>
      <c r="R952" s="54" t="str">
        <f t="shared" si="120"/>
        <v/>
      </c>
      <c r="S952" s="53" t="str">
        <f t="shared" si="121"/>
        <v/>
      </c>
    </row>
    <row r="953" spans="10:19" x14ac:dyDescent="0.15">
      <c r="J953" s="38">
        <v>944</v>
      </c>
      <c r="K953" s="40"/>
      <c r="L953" s="34">
        <f t="shared" si="115"/>
        <v>8.6441873915144365E-4</v>
      </c>
      <c r="M953" s="35">
        <f t="shared" si="116"/>
        <v>8.008252690514276E-8</v>
      </c>
      <c r="N953" s="44">
        <f t="shared" si="114"/>
        <v>3.4010054359636267E-6</v>
      </c>
      <c r="O953" s="45" t="e">
        <f t="shared" si="117"/>
        <v>#VALUE!</v>
      </c>
      <c r="P953" s="52" t="str">
        <f t="shared" si="118"/>
        <v/>
      </c>
      <c r="Q953" s="53" t="str">
        <f t="shared" si="119"/>
        <v/>
      </c>
      <c r="R953" s="54" t="str">
        <f t="shared" si="120"/>
        <v/>
      </c>
      <c r="S953" s="53" t="str">
        <f t="shared" si="121"/>
        <v/>
      </c>
    </row>
    <row r="954" spans="10:19" x14ac:dyDescent="0.15">
      <c r="J954" s="38">
        <v>945</v>
      </c>
      <c r="K954" s="40"/>
      <c r="L954" s="34">
        <f t="shared" si="115"/>
        <v>8.6449856960150724E-4</v>
      </c>
      <c r="M954" s="35">
        <f t="shared" si="116"/>
        <v>7.9578604130796638E-8</v>
      </c>
      <c r="N954" s="44">
        <f t="shared" si="114"/>
        <v>3.3774410480834089E-6</v>
      </c>
      <c r="O954" s="45" t="e">
        <f t="shared" si="117"/>
        <v>#VALUE!</v>
      </c>
      <c r="P954" s="52" t="str">
        <f t="shared" si="118"/>
        <v/>
      </c>
      <c r="Q954" s="53" t="str">
        <f t="shared" si="119"/>
        <v/>
      </c>
      <c r="R954" s="54" t="str">
        <f t="shared" si="120"/>
        <v/>
      </c>
      <c r="S954" s="53" t="str">
        <f t="shared" si="121"/>
        <v/>
      </c>
    </row>
    <row r="955" spans="10:19" x14ac:dyDescent="0.15">
      <c r="J955" s="38">
        <v>946</v>
      </c>
      <c r="K955" s="40"/>
      <c r="L955" s="34">
        <f t="shared" si="115"/>
        <v>8.6457789682067691E-4</v>
      </c>
      <c r="M955" s="35">
        <f t="shared" si="116"/>
        <v>7.9076064272264891E-8</v>
      </c>
      <c r="N955" s="44">
        <f t="shared" si="114"/>
        <v>3.3539399243597999E-6</v>
      </c>
      <c r="O955" s="45" t="e">
        <f t="shared" si="117"/>
        <v>#VALUE!</v>
      </c>
      <c r="P955" s="52" t="str">
        <f t="shared" si="118"/>
        <v/>
      </c>
      <c r="Q955" s="53" t="str">
        <f t="shared" si="119"/>
        <v/>
      </c>
      <c r="R955" s="54" t="str">
        <f t="shared" si="120"/>
        <v/>
      </c>
      <c r="S955" s="53" t="str">
        <f t="shared" si="121"/>
        <v/>
      </c>
    </row>
    <row r="956" spans="10:19" x14ac:dyDescent="0.15">
      <c r="J956" s="38">
        <v>947</v>
      </c>
      <c r="K956" s="40"/>
      <c r="L956" s="34">
        <f t="shared" si="115"/>
        <v>8.6465672218933838E-4</v>
      </c>
      <c r="M956" s="35">
        <f t="shared" si="116"/>
        <v>7.8574902273989406E-8</v>
      </c>
      <c r="N956" s="44">
        <f t="shared" si="114"/>
        <v>3.3305018384947611E-6</v>
      </c>
      <c r="O956" s="45" t="e">
        <f t="shared" si="117"/>
        <v>#VALUE!</v>
      </c>
      <c r="P956" s="52" t="str">
        <f t="shared" si="118"/>
        <v/>
      </c>
      <c r="Q956" s="53" t="str">
        <f t="shared" si="119"/>
        <v/>
      </c>
      <c r="R956" s="54" t="str">
        <f t="shared" si="120"/>
        <v/>
      </c>
      <c r="S956" s="53" t="str">
        <f t="shared" si="121"/>
        <v/>
      </c>
    </row>
    <row r="957" spans="10:19" x14ac:dyDescent="0.15">
      <c r="J957" s="38">
        <v>948</v>
      </c>
      <c r="K957" s="40"/>
      <c r="L957" s="34">
        <f t="shared" si="115"/>
        <v>8.6473504708283388E-4</v>
      </c>
      <c r="M957" s="35">
        <f t="shared" si="116"/>
        <v>7.8075113103493029E-8</v>
      </c>
      <c r="N957" s="44">
        <f t="shared" si="114"/>
        <v>3.3071265652009473E-6</v>
      </c>
      <c r="O957" s="45" t="e">
        <f t="shared" si="117"/>
        <v>#VALUE!</v>
      </c>
      <c r="P957" s="52" t="str">
        <f t="shared" si="118"/>
        <v/>
      </c>
      <c r="Q957" s="53" t="str">
        <f t="shared" si="119"/>
        <v/>
      </c>
      <c r="R957" s="54" t="str">
        <f t="shared" si="120"/>
        <v/>
      </c>
      <c r="S957" s="53" t="str">
        <f t="shared" si="121"/>
        <v/>
      </c>
    </row>
    <row r="958" spans="10:19" x14ac:dyDescent="0.15">
      <c r="J958" s="38">
        <v>949</v>
      </c>
      <c r="K958" s="40"/>
      <c r="L958" s="34">
        <f t="shared" si="115"/>
        <v>8.6481287287148458E-4</v>
      </c>
      <c r="M958" s="35">
        <f t="shared" si="116"/>
        <v>7.7576691751253451E-8</v>
      </c>
      <c r="N958" s="44">
        <f t="shared" si="114"/>
        <v>3.2838138801960688E-6</v>
      </c>
      <c r="O958" s="45" t="e">
        <f t="shared" si="117"/>
        <v>#VALUE!</v>
      </c>
      <c r="P958" s="52" t="str">
        <f t="shared" si="118"/>
        <v/>
      </c>
      <c r="Q958" s="53" t="str">
        <f t="shared" si="119"/>
        <v/>
      </c>
      <c r="R958" s="54" t="str">
        <f t="shared" si="120"/>
        <v/>
      </c>
      <c r="S958" s="53" t="str">
        <f t="shared" si="121"/>
        <v/>
      </c>
    </row>
    <row r="959" spans="10:19" x14ac:dyDescent="0.15">
      <c r="J959" s="38">
        <v>950</v>
      </c>
      <c r="K959" s="40"/>
      <c r="L959" s="34">
        <f t="shared" si="115"/>
        <v>8.6489020092061347E-4</v>
      </c>
      <c r="M959" s="35">
        <f t="shared" si="116"/>
        <v>7.7079633230577501E-8</v>
      </c>
      <c r="N959" s="44">
        <f t="shared" si="114"/>
        <v>3.2605635601993133E-6</v>
      </c>
      <c r="O959" s="45" t="e">
        <f t="shared" si="117"/>
        <v>#VALUE!</v>
      </c>
      <c r="P959" s="52" t="str">
        <f t="shared" si="118"/>
        <v/>
      </c>
      <c r="Q959" s="53" t="str">
        <f t="shared" si="119"/>
        <v/>
      </c>
      <c r="R959" s="54" t="str">
        <f t="shared" si="120"/>
        <v/>
      </c>
      <c r="S959" s="53" t="str">
        <f t="shared" si="121"/>
        <v/>
      </c>
    </row>
    <row r="960" spans="10:19" x14ac:dyDescent="0.15">
      <c r="J960" s="38">
        <v>951</v>
      </c>
      <c r="K960" s="40"/>
      <c r="L960" s="34">
        <f t="shared" si="115"/>
        <v>8.6496703259056795E-4</v>
      </c>
      <c r="M960" s="35">
        <f t="shared" si="116"/>
        <v>7.6583932577476462E-8</v>
      </c>
      <c r="N960" s="44">
        <f t="shared" si="114"/>
        <v>3.237375382924082E-6</v>
      </c>
      <c r="O960" s="45" t="e">
        <f t="shared" si="117"/>
        <v>#VALUE!</v>
      </c>
      <c r="P960" s="52" t="str">
        <f t="shared" si="118"/>
        <v/>
      </c>
      <c r="Q960" s="53" t="str">
        <f t="shared" si="119"/>
        <v/>
      </c>
      <c r="R960" s="54" t="str">
        <f t="shared" si="120"/>
        <v/>
      </c>
      <c r="S960" s="53" t="str">
        <f t="shared" si="121"/>
        <v/>
      </c>
    </row>
    <row r="961" spans="10:19" x14ac:dyDescent="0.15">
      <c r="J961" s="38">
        <v>952</v>
      </c>
      <c r="K961" s="40"/>
      <c r="L961" s="34">
        <f t="shared" si="115"/>
        <v>8.6504336923674341E-4</v>
      </c>
      <c r="M961" s="35">
        <f t="shared" si="116"/>
        <v>7.608958485054214E-8</v>
      </c>
      <c r="N961" s="44">
        <f t="shared" si="114"/>
        <v>3.214249127073761E-6</v>
      </c>
      <c r="O961" s="45" t="e">
        <f t="shared" si="117"/>
        <v>#VALUE!</v>
      </c>
      <c r="P961" s="52" t="str">
        <f t="shared" si="118"/>
        <v/>
      </c>
      <c r="Q961" s="53" t="str">
        <f t="shared" si="119"/>
        <v/>
      </c>
      <c r="R961" s="54" t="str">
        <f t="shared" si="120"/>
        <v/>
      </c>
      <c r="S961" s="53" t="str">
        <f t="shared" si="121"/>
        <v/>
      </c>
    </row>
    <row r="962" spans="10:19" x14ac:dyDescent="0.15">
      <c r="J962" s="38">
        <v>953</v>
      </c>
      <c r="K962" s="40"/>
      <c r="L962" s="34">
        <f t="shared" si="115"/>
        <v>8.6511921220960451E-4</v>
      </c>
      <c r="M962" s="35">
        <f t="shared" si="116"/>
        <v>7.5596585130823764E-8</v>
      </c>
      <c r="N962" s="44">
        <f t="shared" si="114"/>
        <v>3.1911845723354331E-6</v>
      </c>
      <c r="O962" s="45" t="e">
        <f t="shared" si="117"/>
        <v>#VALUE!</v>
      </c>
      <c r="P962" s="52" t="str">
        <f t="shared" si="118"/>
        <v/>
      </c>
      <c r="Q962" s="53" t="str">
        <f t="shared" si="119"/>
        <v/>
      </c>
      <c r="R962" s="54" t="str">
        <f t="shared" si="120"/>
        <v/>
      </c>
      <c r="S962" s="53" t="str">
        <f t="shared" si="121"/>
        <v/>
      </c>
    </row>
    <row r="963" spans="10:19" x14ac:dyDescent="0.15">
      <c r="J963" s="38">
        <v>954</v>
      </c>
      <c r="K963" s="40"/>
      <c r="L963" s="34">
        <f t="shared" si="115"/>
        <v>8.6519456285470838E-4</v>
      </c>
      <c r="M963" s="35">
        <f t="shared" si="116"/>
        <v>7.5104928521705552E-8</v>
      </c>
      <c r="N963" s="44">
        <f t="shared" si="114"/>
        <v>3.1681814993759745E-6</v>
      </c>
      <c r="O963" s="45" t="e">
        <f t="shared" si="117"/>
        <v>#VALUE!</v>
      </c>
      <c r="P963" s="52" t="str">
        <f t="shared" si="118"/>
        <v/>
      </c>
      <c r="Q963" s="53" t="str">
        <f t="shared" si="119"/>
        <v/>
      </c>
      <c r="R963" s="54" t="str">
        <f t="shared" si="120"/>
        <v/>
      </c>
      <c r="S963" s="53" t="str">
        <f t="shared" si="121"/>
        <v/>
      </c>
    </row>
    <row r="964" spans="10:19" x14ac:dyDescent="0.15">
      <c r="J964" s="38">
        <v>955</v>
      </c>
      <c r="K964" s="40"/>
      <c r="L964" s="34">
        <f t="shared" si="115"/>
        <v>8.6526942251272641E-4</v>
      </c>
      <c r="M964" s="35">
        <f t="shared" si="116"/>
        <v>7.4614610148785134E-8</v>
      </c>
      <c r="N964" s="44">
        <f t="shared" si="114"/>
        <v>3.1452396898364174E-6</v>
      </c>
      <c r="O964" s="45" t="e">
        <f t="shared" si="117"/>
        <v>#VALUE!</v>
      </c>
      <c r="P964" s="52" t="str">
        <f t="shared" si="118"/>
        <v/>
      </c>
      <c r="Q964" s="53" t="str">
        <f t="shared" si="119"/>
        <v/>
      </c>
      <c r="R964" s="54" t="str">
        <f t="shared" si="120"/>
        <v/>
      </c>
      <c r="S964" s="53" t="str">
        <f t="shared" si="121"/>
        <v/>
      </c>
    </row>
    <row r="965" spans="10:19" x14ac:dyDescent="0.15">
      <c r="J965" s="38">
        <v>956</v>
      </c>
      <c r="K965" s="40"/>
      <c r="L965" s="34">
        <f t="shared" si="115"/>
        <v>8.6534379251946702E-4</v>
      </c>
      <c r="M965" s="35">
        <f t="shared" si="116"/>
        <v>7.4125625159752797E-8</v>
      </c>
      <c r="N965" s="44">
        <f t="shared" si="114"/>
        <v>3.122358926325227E-6</v>
      </c>
      <c r="O965" s="45" t="e">
        <f t="shared" si="117"/>
        <v>#VALUE!</v>
      </c>
      <c r="P965" s="52" t="str">
        <f t="shared" si="118"/>
        <v/>
      </c>
      <c r="Q965" s="53" t="str">
        <f t="shared" si="119"/>
        <v/>
      </c>
      <c r="R965" s="54" t="str">
        <f t="shared" si="120"/>
        <v/>
      </c>
      <c r="S965" s="53" t="str">
        <f t="shared" si="121"/>
        <v/>
      </c>
    </row>
    <row r="966" spans="10:19" x14ac:dyDescent="0.15">
      <c r="J966" s="38">
        <v>957</v>
      </c>
      <c r="K966" s="40"/>
      <c r="L966" s="34">
        <f t="shared" si="115"/>
        <v>8.65417674205897E-4</v>
      </c>
      <c r="M966" s="35">
        <f t="shared" si="116"/>
        <v>7.3637968724271314E-8</v>
      </c>
      <c r="N966" s="44">
        <f t="shared" si="114"/>
        <v>3.099538992415809E-6</v>
      </c>
      <c r="O966" s="45" t="e">
        <f t="shared" si="117"/>
        <v>#VALUE!</v>
      </c>
      <c r="P966" s="52" t="str">
        <f t="shared" si="118"/>
        <v/>
      </c>
      <c r="Q966" s="53" t="str">
        <f t="shared" si="119"/>
        <v/>
      </c>
      <c r="R966" s="54" t="str">
        <f t="shared" si="120"/>
        <v/>
      </c>
      <c r="S966" s="53" t="str">
        <f t="shared" si="121"/>
        <v/>
      </c>
    </row>
    <row r="967" spans="10:19" x14ac:dyDescent="0.15">
      <c r="J967" s="38">
        <v>958</v>
      </c>
      <c r="K967" s="40"/>
      <c r="L967" s="34">
        <f t="shared" si="115"/>
        <v>8.6549106889816368E-4</v>
      </c>
      <c r="M967" s="35">
        <f t="shared" si="116"/>
        <v>7.3151636033856829E-8</v>
      </c>
      <c r="N967" s="44">
        <f t="shared" si="114"/>
        <v>3.0767796726395699E-6</v>
      </c>
      <c r="O967" s="45" t="e">
        <f t="shared" si="117"/>
        <v>#VALUE!</v>
      </c>
      <c r="P967" s="52" t="str">
        <f t="shared" si="118"/>
        <v/>
      </c>
      <c r="Q967" s="53" t="str">
        <f t="shared" si="119"/>
        <v/>
      </c>
      <c r="R967" s="54" t="str">
        <f t="shared" si="120"/>
        <v/>
      </c>
      <c r="S967" s="53" t="str">
        <f t="shared" si="121"/>
        <v/>
      </c>
    </row>
    <row r="968" spans="10:19" x14ac:dyDescent="0.15">
      <c r="J968" s="38">
        <v>959</v>
      </c>
      <c r="K968" s="40"/>
      <c r="L968" s="34">
        <f t="shared" si="115"/>
        <v>8.6556397791761718E-4</v>
      </c>
      <c r="M968" s="35">
        <f t="shared" si="116"/>
        <v>7.2666622301760202E-8</v>
      </c>
      <c r="N968" s="44">
        <f t="shared" si="114"/>
        <v>3.054080752480713E-6</v>
      </c>
      <c r="O968" s="45" t="e">
        <f t="shared" si="117"/>
        <v>#VALUE!</v>
      </c>
      <c r="P968" s="52" t="str">
        <f t="shared" si="118"/>
        <v/>
      </c>
      <c r="Q968" s="53" t="str">
        <f t="shared" si="119"/>
        <v/>
      </c>
      <c r="R968" s="54" t="str">
        <f t="shared" si="120"/>
        <v/>
      </c>
      <c r="S968" s="53" t="str">
        <f t="shared" si="121"/>
        <v/>
      </c>
    </row>
    <row r="969" spans="10:19" x14ac:dyDescent="0.15">
      <c r="J969" s="38">
        <v>960</v>
      </c>
      <c r="K969" s="40"/>
      <c r="L969" s="34">
        <f t="shared" si="115"/>
        <v>8.6563640258083133E-4</v>
      </c>
      <c r="M969" s="35">
        <f t="shared" si="116"/>
        <v>7.2182922762849188E-8</v>
      </c>
      <c r="N969" s="44">
        <f t="shared" ref="N969:N1032" si="122">(L1019-L969)</f>
        <v>3.0314420183725523E-6</v>
      </c>
      <c r="O969" s="45" t="e">
        <f t="shared" si="117"/>
        <v>#VALUE!</v>
      </c>
      <c r="P969" s="52" t="str">
        <f t="shared" si="118"/>
        <v/>
      </c>
      <c r="Q969" s="53" t="str">
        <f t="shared" si="119"/>
        <v/>
      </c>
      <c r="R969" s="54" t="str">
        <f t="shared" si="120"/>
        <v/>
      </c>
      <c r="S969" s="53" t="str">
        <f t="shared" si="121"/>
        <v/>
      </c>
    </row>
    <row r="970" spans="10:19" x14ac:dyDescent="0.15">
      <c r="J970" s="38">
        <v>961</v>
      </c>
      <c r="K970" s="40"/>
      <c r="L970" s="34">
        <f t="shared" ref="L970:L1033" si="123">$F$39*((1-$F$40*J970)/(1+$F$41*J970))*(J970-$F$42)</f>
        <v>8.657083441996258E-4</v>
      </c>
      <c r="M970" s="35">
        <f t="shared" ref="M970:M1033" si="124">$F$39*((1-2*$F$40*J970-$F$40*$F$41*(J970^2)+($F$41+$F$40)*$F$42)/(1+$F$41*J970)^2)</f>
        <v>7.1700532673491524E-8</v>
      </c>
      <c r="N970" s="44">
        <f t="shared" si="122"/>
        <v>3.0088632576908986E-6</v>
      </c>
      <c r="O970" s="45" t="e">
        <f t="shared" ref="O970:O1033" si="125">IF(N970&lt;=$B$49,1+O969,0)</f>
        <v>#VALUE!</v>
      </c>
      <c r="P970" s="52" t="str">
        <f t="shared" ref="P970:P1033" si="126">IF(J970&lt;=$F$42,J970,"")</f>
        <v/>
      </c>
      <c r="Q970" s="53" t="str">
        <f t="shared" ref="Q970:Q1033" si="127">IF(J970&lt;=$F$42,L970,"")</f>
        <v/>
      </c>
      <c r="R970" s="54" t="str">
        <f t="shared" ref="R970:R1033" si="128">IF(AND(J970&gt;=$F$42,J970&lt;=200),J970,"")</f>
        <v/>
      </c>
      <c r="S970" s="53" t="str">
        <f t="shared" ref="S970:S1033" si="129">IF(AND(J970&gt;=$F$42,J970&lt;=200),L970,"")</f>
        <v/>
      </c>
    </row>
    <row r="971" spans="10:19" x14ac:dyDescent="0.15">
      <c r="J971" s="38">
        <v>962</v>
      </c>
      <c r="K971" s="40"/>
      <c r="L971" s="34">
        <f t="shared" si="123"/>
        <v>8.657798040810872E-4</v>
      </c>
      <c r="M971" s="35">
        <f t="shared" si="124"/>
        <v>7.1219447311438521E-8</v>
      </c>
      <c r="N971" s="44">
        <f t="shared" si="122"/>
        <v>2.9863442587503737E-6</v>
      </c>
      <c r="O971" s="45" t="e">
        <f t="shared" si="125"/>
        <v>#VALUE!</v>
      </c>
      <c r="P971" s="52" t="str">
        <f t="shared" si="126"/>
        <v/>
      </c>
      <c r="Q971" s="53" t="str">
        <f t="shared" si="127"/>
        <v/>
      </c>
      <c r="R971" s="54" t="str">
        <f t="shared" si="128"/>
        <v/>
      </c>
      <c r="S971" s="53" t="str">
        <f t="shared" si="129"/>
        <v/>
      </c>
    </row>
    <row r="972" spans="10:19" x14ac:dyDescent="0.15">
      <c r="J972" s="38">
        <v>963</v>
      </c>
      <c r="K972" s="40"/>
      <c r="L972" s="34">
        <f t="shared" si="123"/>
        <v>8.658507835275905E-4</v>
      </c>
      <c r="M972" s="35">
        <f t="shared" si="124"/>
        <v>7.0739661975709545E-8</v>
      </c>
      <c r="N972" s="44">
        <f t="shared" si="122"/>
        <v>2.9638848107983382E-6</v>
      </c>
      <c r="O972" s="45" t="e">
        <f t="shared" si="125"/>
        <v>#VALUE!</v>
      </c>
      <c r="P972" s="52" t="str">
        <f t="shared" si="126"/>
        <v/>
      </c>
      <c r="Q972" s="53" t="str">
        <f t="shared" si="127"/>
        <v/>
      </c>
      <c r="R972" s="54" t="str">
        <f t="shared" si="128"/>
        <v/>
      </c>
      <c r="S972" s="53" t="str">
        <f t="shared" si="129"/>
        <v/>
      </c>
    </row>
    <row r="973" spans="10:19" x14ac:dyDescent="0.15">
      <c r="J973" s="38">
        <v>964</v>
      </c>
      <c r="K973" s="40"/>
      <c r="L973" s="34">
        <f t="shared" si="123"/>
        <v>8.6592128383682055E-4</v>
      </c>
      <c r="M973" s="35">
        <f t="shared" si="124"/>
        <v>7.0261171986477183E-8</v>
      </c>
      <c r="N973" s="44">
        <f t="shared" si="122"/>
        <v>2.9414847040115308E-6</v>
      </c>
      <c r="O973" s="45" t="e">
        <f t="shared" si="125"/>
        <v>#VALUE!</v>
      </c>
      <c r="P973" s="52" t="str">
        <f t="shared" si="126"/>
        <v/>
      </c>
      <c r="Q973" s="53" t="str">
        <f t="shared" si="127"/>
        <v/>
      </c>
      <c r="R973" s="54" t="str">
        <f t="shared" si="128"/>
        <v/>
      </c>
      <c r="S973" s="53" t="str">
        <f t="shared" si="129"/>
        <v/>
      </c>
    </row>
    <row r="974" spans="10:19" x14ac:dyDescent="0.15">
      <c r="J974" s="38">
        <v>965</v>
      </c>
      <c r="K974" s="40"/>
      <c r="L974" s="34">
        <f t="shared" si="123"/>
        <v>8.6599130630179261E-4</v>
      </c>
      <c r="M974" s="35">
        <f t="shared" si="124"/>
        <v>6.9783972684953076E-8</v>
      </c>
      <c r="N974" s="44">
        <f t="shared" si="122"/>
        <v>2.9191437294888043E-6</v>
      </c>
      <c r="O974" s="45" t="e">
        <f t="shared" si="125"/>
        <v>#VALUE!</v>
      </c>
      <c r="P974" s="52" t="str">
        <f t="shared" si="126"/>
        <v/>
      </c>
      <c r="Q974" s="53" t="str">
        <f t="shared" si="127"/>
        <v/>
      </c>
      <c r="R974" s="54" t="str">
        <f t="shared" si="128"/>
        <v/>
      </c>
      <c r="S974" s="53" t="str">
        <f t="shared" si="129"/>
        <v/>
      </c>
    </row>
    <row r="975" spans="10:19" x14ac:dyDescent="0.15">
      <c r="J975" s="38">
        <v>966</v>
      </c>
      <c r="K975" s="40"/>
      <c r="L975" s="34">
        <f t="shared" si="123"/>
        <v>8.6606085221087336E-4</v>
      </c>
      <c r="M975" s="35">
        <f t="shared" si="124"/>
        <v>6.9308059433274561E-8</v>
      </c>
      <c r="N975" s="44">
        <f t="shared" si="122"/>
        <v>2.8968616792490656E-6</v>
      </c>
      <c r="O975" s="45" t="e">
        <f t="shared" si="125"/>
        <v>#VALUE!</v>
      </c>
      <c r="P975" s="52" t="str">
        <f t="shared" si="126"/>
        <v/>
      </c>
      <c r="Q975" s="53" t="str">
        <f t="shared" si="127"/>
        <v/>
      </c>
      <c r="R975" s="54" t="str">
        <f t="shared" si="128"/>
        <v/>
      </c>
      <c r="S975" s="53" t="str">
        <f t="shared" si="129"/>
        <v/>
      </c>
    </row>
    <row r="976" spans="10:19" x14ac:dyDescent="0.15">
      <c r="J976" s="38">
        <v>967</v>
      </c>
      <c r="K976" s="40"/>
      <c r="L976" s="34">
        <f t="shared" si="123"/>
        <v>8.6612992284780305E-4</v>
      </c>
      <c r="M976" s="35">
        <f t="shared" si="124"/>
        <v>6.8833427614392019E-8</v>
      </c>
      <c r="N976" s="44">
        <f t="shared" si="122"/>
        <v>2.8746383462235773E-6</v>
      </c>
      <c r="O976" s="45" t="e">
        <f t="shared" si="125"/>
        <v>#VALUE!</v>
      </c>
      <c r="P976" s="52" t="str">
        <f t="shared" si="126"/>
        <v/>
      </c>
      <c r="Q976" s="53" t="str">
        <f t="shared" si="127"/>
        <v/>
      </c>
      <c r="R976" s="54" t="str">
        <f t="shared" si="128"/>
        <v/>
      </c>
      <c r="S976" s="53" t="str">
        <f t="shared" si="129"/>
        <v/>
      </c>
    </row>
    <row r="977" spans="10:19" x14ac:dyDescent="0.15">
      <c r="J977" s="38">
        <v>968</v>
      </c>
      <c r="K977" s="40"/>
      <c r="L977" s="34">
        <f t="shared" si="123"/>
        <v>8.6619851949171428E-4</v>
      </c>
      <c r="M977" s="35">
        <f t="shared" si="124"/>
        <v>6.8360072631956771E-8</v>
      </c>
      <c r="N977" s="44">
        <f t="shared" si="122"/>
        <v>2.8524735242530311E-6</v>
      </c>
      <c r="O977" s="45" t="e">
        <f t="shared" si="125"/>
        <v>#VALUE!</v>
      </c>
      <c r="P977" s="52" t="str">
        <f t="shared" si="126"/>
        <v/>
      </c>
      <c r="Q977" s="53" t="str">
        <f t="shared" si="127"/>
        <v/>
      </c>
      <c r="R977" s="54" t="str">
        <f t="shared" si="128"/>
        <v/>
      </c>
      <c r="S977" s="53" t="str">
        <f t="shared" si="129"/>
        <v/>
      </c>
    </row>
    <row r="978" spans="10:19" x14ac:dyDescent="0.15">
      <c r="J978" s="38">
        <v>969</v>
      </c>
      <c r="K978" s="40"/>
      <c r="L978" s="34">
        <f t="shared" si="123"/>
        <v>8.6626664341715363E-4</v>
      </c>
      <c r="M978" s="35">
        <f t="shared" si="124"/>
        <v>6.7887989910209911E-8</v>
      </c>
      <c r="N978" s="44">
        <f t="shared" si="122"/>
        <v>2.8303670080832106E-6</v>
      </c>
      <c r="O978" s="45" t="e">
        <f t="shared" si="125"/>
        <v>#VALUE!</v>
      </c>
      <c r="P978" s="52" t="str">
        <f t="shared" si="126"/>
        <v/>
      </c>
      <c r="Q978" s="53" t="str">
        <f t="shared" si="127"/>
        <v/>
      </c>
      <c r="R978" s="54" t="str">
        <f t="shared" si="128"/>
        <v/>
      </c>
      <c r="S978" s="53" t="str">
        <f t="shared" si="129"/>
        <v/>
      </c>
    </row>
    <row r="979" spans="10:19" x14ac:dyDescent="0.15">
      <c r="J979" s="38">
        <v>970</v>
      </c>
      <c r="K979" s="40"/>
      <c r="L979" s="34">
        <f t="shared" si="123"/>
        <v>8.663342958941028E-4</v>
      </c>
      <c r="M979" s="35">
        <f t="shared" si="124"/>
        <v>6.7417174893871709E-8</v>
      </c>
      <c r="N979" s="44">
        <f t="shared" si="122"/>
        <v>2.8083185933577273E-6</v>
      </c>
      <c r="O979" s="45" t="e">
        <f t="shared" si="125"/>
        <v>#VALUE!</v>
      </c>
      <c r="P979" s="52" t="str">
        <f t="shared" si="126"/>
        <v/>
      </c>
      <c r="Q979" s="53" t="str">
        <f t="shared" si="127"/>
        <v/>
      </c>
      <c r="R979" s="54" t="str">
        <f t="shared" si="128"/>
        <v/>
      </c>
      <c r="S979" s="53" t="str">
        <f t="shared" si="129"/>
        <v/>
      </c>
    </row>
    <row r="980" spans="10:19" x14ac:dyDescent="0.15">
      <c r="J980" s="38">
        <v>971</v>
      </c>
      <c r="K980" s="40"/>
      <c r="L980" s="34">
        <f t="shared" si="123"/>
        <v>8.6640147818799803E-4</v>
      </c>
      <c r="M980" s="35">
        <f t="shared" si="124"/>
        <v>6.6947623048031606E-8</v>
      </c>
      <c r="N980" s="44">
        <f t="shared" si="122"/>
        <v>2.7863280766158519E-6</v>
      </c>
      <c r="O980" s="45" t="e">
        <f t="shared" si="125"/>
        <v>#VALUE!</v>
      </c>
      <c r="P980" s="52" t="str">
        <f t="shared" si="126"/>
        <v/>
      </c>
      <c r="Q980" s="53" t="str">
        <f t="shared" si="127"/>
        <v/>
      </c>
      <c r="R980" s="54" t="str">
        <f t="shared" si="128"/>
        <v/>
      </c>
      <c r="S980" s="53" t="str">
        <f t="shared" si="129"/>
        <v/>
      </c>
    </row>
    <row r="981" spans="10:19" x14ac:dyDescent="0.15">
      <c r="J981" s="38">
        <v>972</v>
      </c>
      <c r="K981" s="40"/>
      <c r="L981" s="34">
        <f t="shared" si="123"/>
        <v>8.664681915597506E-4</v>
      </c>
      <c r="M981" s="35">
        <f t="shared" si="124"/>
        <v>6.6479329858039265E-8</v>
      </c>
      <c r="N981" s="44">
        <f t="shared" si="122"/>
        <v>2.7643952552864432E-6</v>
      </c>
      <c r="O981" s="45" t="e">
        <f t="shared" si="125"/>
        <v>#VALUE!</v>
      </c>
      <c r="P981" s="52" t="str">
        <f t="shared" si="126"/>
        <v/>
      </c>
      <c r="Q981" s="53" t="str">
        <f t="shared" si="127"/>
        <v/>
      </c>
      <c r="R981" s="54" t="str">
        <f t="shared" si="128"/>
        <v/>
      </c>
      <c r="S981" s="53" t="str">
        <f t="shared" si="129"/>
        <v/>
      </c>
    </row>
    <row r="982" spans="10:19" x14ac:dyDescent="0.15">
      <c r="J982" s="38">
        <v>973</v>
      </c>
      <c r="K982" s="40"/>
      <c r="L982" s="34">
        <f t="shared" si="123"/>
        <v>8.6653443726576762E-4</v>
      </c>
      <c r="M982" s="35">
        <f t="shared" si="124"/>
        <v>6.6012290829395791E-8</v>
      </c>
      <c r="N982" s="44">
        <f t="shared" si="122"/>
        <v>2.7425199276840447E-6</v>
      </c>
      <c r="O982" s="45" t="e">
        <f t="shared" si="125"/>
        <v>#VALUE!</v>
      </c>
      <c r="P982" s="52" t="str">
        <f t="shared" si="126"/>
        <v/>
      </c>
      <c r="Q982" s="53" t="str">
        <f t="shared" si="127"/>
        <v/>
      </c>
      <c r="R982" s="54" t="str">
        <f t="shared" si="128"/>
        <v/>
      </c>
      <c r="S982" s="53" t="str">
        <f t="shared" si="129"/>
        <v/>
      </c>
    </row>
    <row r="983" spans="10:19" x14ac:dyDescent="0.15">
      <c r="J983" s="38">
        <v>974</v>
      </c>
      <c r="K983" s="40"/>
      <c r="L983" s="34">
        <f t="shared" si="123"/>
        <v>8.6660021655797156E-4</v>
      </c>
      <c r="M983" s="35">
        <f t="shared" si="124"/>
        <v>6.5546501487646001E-8</v>
      </c>
      <c r="N983" s="44">
        <f t="shared" si="122"/>
        <v>2.7207018930033551E-6</v>
      </c>
      <c r="O983" s="45" t="e">
        <f t="shared" si="125"/>
        <v>#VALUE!</v>
      </c>
      <c r="P983" s="52" t="str">
        <f t="shared" si="126"/>
        <v/>
      </c>
      <c r="Q983" s="53" t="str">
        <f t="shared" si="127"/>
        <v/>
      </c>
      <c r="R983" s="54" t="str">
        <f t="shared" si="128"/>
        <v/>
      </c>
      <c r="S983" s="53" t="str">
        <f t="shared" si="129"/>
        <v/>
      </c>
    </row>
    <row r="984" spans="10:19" x14ac:dyDescent="0.15">
      <c r="J984" s="38">
        <v>975</v>
      </c>
      <c r="K984" s="40"/>
      <c r="L984" s="34">
        <f t="shared" si="123"/>
        <v>8.6666553068382021E-4</v>
      </c>
      <c r="M984" s="35">
        <f t="shared" si="124"/>
        <v>6.5081957378271298E-8</v>
      </c>
      <c r="N984" s="44">
        <f t="shared" si="122"/>
        <v>2.6989409513153255E-6</v>
      </c>
      <c r="O984" s="45" t="e">
        <f t="shared" si="125"/>
        <v>#VALUE!</v>
      </c>
      <c r="P984" s="52" t="str">
        <f t="shared" si="126"/>
        <v/>
      </c>
      <c r="Q984" s="53" t="str">
        <f t="shared" si="127"/>
        <v/>
      </c>
      <c r="R984" s="54" t="str">
        <f t="shared" si="128"/>
        <v/>
      </c>
      <c r="S984" s="53" t="str">
        <f t="shared" si="129"/>
        <v/>
      </c>
    </row>
    <row r="985" spans="10:19" x14ac:dyDescent="0.15">
      <c r="J985" s="38">
        <v>976</v>
      </c>
      <c r="K985" s="40"/>
      <c r="L985" s="34">
        <f t="shared" si="123"/>
        <v>8.6673038088632705E-4</v>
      </c>
      <c r="M985" s="35">
        <f t="shared" si="124"/>
        <v>6.4618654066583043E-8</v>
      </c>
      <c r="N985" s="44">
        <f t="shared" si="122"/>
        <v>2.6772369035628222E-6</v>
      </c>
      <c r="O985" s="45" t="e">
        <f t="shared" si="125"/>
        <v>#VALUE!</v>
      </c>
      <c r="P985" s="52" t="str">
        <f t="shared" si="126"/>
        <v/>
      </c>
      <c r="Q985" s="53" t="str">
        <f t="shared" si="127"/>
        <v/>
      </c>
      <c r="R985" s="54" t="str">
        <f t="shared" si="128"/>
        <v/>
      </c>
      <c r="S985" s="53" t="str">
        <f t="shared" si="129"/>
        <v/>
      </c>
    </row>
    <row r="986" spans="10:19" x14ac:dyDescent="0.15">
      <c r="J986" s="38">
        <v>977</v>
      </c>
      <c r="K986" s="40"/>
      <c r="L986" s="34">
        <f t="shared" si="123"/>
        <v>8.6679476840408065E-4</v>
      </c>
      <c r="M986" s="35">
        <f t="shared" si="124"/>
        <v>6.4156587137616881E-8</v>
      </c>
      <c r="N986" s="44">
        <f t="shared" si="122"/>
        <v>2.6555895515546638E-6</v>
      </c>
      <c r="O986" s="45" t="e">
        <f t="shared" si="125"/>
        <v>#VALUE!</v>
      </c>
      <c r="P986" s="52" t="str">
        <f t="shared" si="126"/>
        <v/>
      </c>
      <c r="Q986" s="53" t="str">
        <f t="shared" si="127"/>
        <v/>
      </c>
      <c r="R986" s="54" t="str">
        <f t="shared" si="128"/>
        <v/>
      </c>
      <c r="S986" s="53" t="str">
        <f t="shared" si="129"/>
        <v/>
      </c>
    </row>
    <row r="987" spans="10:19" x14ac:dyDescent="0.15">
      <c r="J987" s="38">
        <v>978</v>
      </c>
      <c r="K987" s="40"/>
      <c r="L987" s="34">
        <f t="shared" si="123"/>
        <v>8.6685869447126454E-4</v>
      </c>
      <c r="M987" s="35">
        <f t="shared" si="124"/>
        <v>6.3695752196027383E-8</v>
      </c>
      <c r="N987" s="44">
        <f t="shared" si="122"/>
        <v>2.6339986979628024E-6</v>
      </c>
      <c r="O987" s="45" t="e">
        <f t="shared" si="125"/>
        <v>#VALUE!</v>
      </c>
      <c r="P987" s="52" t="str">
        <f t="shared" si="126"/>
        <v/>
      </c>
      <c r="Q987" s="53" t="str">
        <f t="shared" si="127"/>
        <v/>
      </c>
      <c r="R987" s="54" t="str">
        <f t="shared" si="128"/>
        <v/>
      </c>
      <c r="S987" s="53" t="str">
        <f t="shared" si="129"/>
        <v/>
      </c>
    </row>
    <row r="988" spans="10:19" x14ac:dyDescent="0.15">
      <c r="J988" s="38">
        <v>979</v>
      </c>
      <c r="K988" s="40"/>
      <c r="L988" s="34">
        <f t="shared" si="123"/>
        <v>8.6692216031767646E-4</v>
      </c>
      <c r="M988" s="35">
        <f t="shared" si="124"/>
        <v>6.3236144865983739E-8</v>
      </c>
      <c r="N988" s="44">
        <f t="shared" si="122"/>
        <v>2.6124641463170107E-6</v>
      </c>
      <c r="O988" s="45" t="e">
        <f t="shared" si="125"/>
        <v>#VALUE!</v>
      </c>
      <c r="P988" s="52" t="str">
        <f t="shared" si="126"/>
        <v/>
      </c>
      <c r="Q988" s="53" t="str">
        <f t="shared" si="127"/>
        <v/>
      </c>
      <c r="R988" s="54" t="str">
        <f t="shared" si="128"/>
        <v/>
      </c>
      <c r="S988" s="53" t="str">
        <f t="shared" si="129"/>
        <v/>
      </c>
    </row>
    <row r="989" spans="10:19" x14ac:dyDescent="0.15">
      <c r="J989" s="38">
        <v>980</v>
      </c>
      <c r="K989" s="40"/>
      <c r="L989" s="34">
        <f t="shared" si="123"/>
        <v>8.6698516716874794E-4</v>
      </c>
      <c r="M989" s="35">
        <f t="shared" si="124"/>
        <v>6.2777760791065574E-8</v>
      </c>
      <c r="N989" s="44">
        <f t="shared" si="122"/>
        <v>2.5909857010003286E-6</v>
      </c>
      <c r="O989" s="45" t="e">
        <f t="shared" si="125"/>
        <v>#VALUE!</v>
      </c>
      <c r="P989" s="52" t="str">
        <f t="shared" si="126"/>
        <v/>
      </c>
      <c r="Q989" s="53" t="str">
        <f t="shared" si="127"/>
        <v/>
      </c>
      <c r="R989" s="54" t="str">
        <f t="shared" si="128"/>
        <v/>
      </c>
      <c r="S989" s="53" t="str">
        <f t="shared" si="129"/>
        <v/>
      </c>
    </row>
    <row r="990" spans="10:19" x14ac:dyDescent="0.15">
      <c r="J990" s="38">
        <v>981</v>
      </c>
      <c r="K990" s="40"/>
      <c r="L990" s="34">
        <f t="shared" si="123"/>
        <v>8.6704771624556429E-4</v>
      </c>
      <c r="M990" s="35">
        <f t="shared" si="124"/>
        <v>6.2320595634160114E-8</v>
      </c>
      <c r="N990" s="44">
        <f t="shared" si="122"/>
        <v>2.5695631672446179E-6</v>
      </c>
      <c r="O990" s="45" t="e">
        <f t="shared" si="125"/>
        <v>#VALUE!</v>
      </c>
      <c r="P990" s="52" t="str">
        <f t="shared" si="126"/>
        <v/>
      </c>
      <c r="Q990" s="53" t="str">
        <f t="shared" si="127"/>
        <v/>
      </c>
      <c r="R990" s="54" t="str">
        <f t="shared" si="128"/>
        <v/>
      </c>
      <c r="S990" s="53" t="str">
        <f t="shared" si="129"/>
        <v/>
      </c>
    </row>
    <row r="991" spans="10:19" x14ac:dyDescent="0.15">
      <c r="J991" s="38">
        <v>982</v>
      </c>
      <c r="K991" s="40"/>
      <c r="L991" s="34">
        <f t="shared" si="123"/>
        <v>8.6710980876488289E-4</v>
      </c>
      <c r="M991" s="35">
        <f t="shared" si="124"/>
        <v>6.1864645077359189E-8</v>
      </c>
      <c r="N991" s="44">
        <f t="shared" si="122"/>
        <v>2.5481963511265505E-6</v>
      </c>
      <c r="O991" s="45" t="e">
        <f t="shared" si="125"/>
        <v>#VALUE!</v>
      </c>
      <c r="P991" s="52" t="str">
        <f t="shared" si="126"/>
        <v/>
      </c>
      <c r="Q991" s="53" t="str">
        <f t="shared" si="127"/>
        <v/>
      </c>
      <c r="R991" s="54" t="str">
        <f t="shared" si="128"/>
        <v/>
      </c>
      <c r="S991" s="53" t="str">
        <f t="shared" si="129"/>
        <v/>
      </c>
    </row>
    <row r="992" spans="10:19" x14ac:dyDescent="0.15">
      <c r="J992" s="38">
        <v>983</v>
      </c>
      <c r="K992" s="40"/>
      <c r="L992" s="34">
        <f t="shared" si="123"/>
        <v>8.671714459391526E-4</v>
      </c>
      <c r="M992" s="35">
        <f t="shared" si="124"/>
        <v>6.1409904821857567E-8</v>
      </c>
      <c r="N992" s="44">
        <f t="shared" si="122"/>
        <v>2.5268850595631638E-6</v>
      </c>
      <c r="O992" s="45" t="e">
        <f t="shared" si="125"/>
        <v>#VALUE!</v>
      </c>
      <c r="P992" s="52" t="str">
        <f t="shared" si="126"/>
        <v/>
      </c>
      <c r="Q992" s="53" t="str">
        <f t="shared" si="127"/>
        <v/>
      </c>
      <c r="R992" s="54" t="str">
        <f t="shared" si="128"/>
        <v/>
      </c>
      <c r="S992" s="53" t="str">
        <f t="shared" si="129"/>
        <v/>
      </c>
    </row>
    <row r="993" spans="10:19" x14ac:dyDescent="0.15">
      <c r="J993" s="38">
        <v>984</v>
      </c>
      <c r="K993" s="40"/>
      <c r="L993" s="34">
        <f t="shared" si="123"/>
        <v>8.6723262897653362E-4</v>
      </c>
      <c r="M993" s="35">
        <f t="shared" si="124"/>
        <v>6.0956370587851505E-8</v>
      </c>
      <c r="N993" s="44">
        <f t="shared" si="122"/>
        <v>2.5056291003057885E-6</v>
      </c>
      <c r="O993" s="45" t="e">
        <f t="shared" si="125"/>
        <v>#VALUE!</v>
      </c>
      <c r="P993" s="52" t="str">
        <f t="shared" si="126"/>
        <v/>
      </c>
      <c r="Q993" s="53" t="str">
        <f t="shared" si="127"/>
        <v/>
      </c>
      <c r="R993" s="54" t="str">
        <f t="shared" si="128"/>
        <v/>
      </c>
      <c r="S993" s="53" t="str">
        <f t="shared" si="129"/>
        <v/>
      </c>
    </row>
    <row r="994" spans="10:19" x14ac:dyDescent="0.15">
      <c r="J994" s="38">
        <v>985</v>
      </c>
      <c r="K994" s="40"/>
      <c r="L994" s="34">
        <f t="shared" si="123"/>
        <v>8.6729335908091484E-4</v>
      </c>
      <c r="M994" s="35">
        <f t="shared" si="124"/>
        <v>6.0504038114438018E-8</v>
      </c>
      <c r="N994" s="44">
        <f t="shared" si="122"/>
        <v>2.4844282819399405E-6</v>
      </c>
      <c r="O994" s="45" t="e">
        <f t="shared" si="125"/>
        <v>#VALUE!</v>
      </c>
      <c r="P994" s="52" t="str">
        <f t="shared" si="126"/>
        <v/>
      </c>
      <c r="Q994" s="53" t="str">
        <f t="shared" si="127"/>
        <v/>
      </c>
      <c r="R994" s="54" t="str">
        <f t="shared" si="128"/>
        <v/>
      </c>
      <c r="S994" s="53" t="str">
        <f t="shared" si="129"/>
        <v/>
      </c>
    </row>
    <row r="995" spans="10:19" x14ac:dyDescent="0.15">
      <c r="J995" s="38">
        <v>986</v>
      </c>
      <c r="K995" s="40"/>
      <c r="L995" s="34">
        <f t="shared" si="123"/>
        <v>8.6735363745193506E-4</v>
      </c>
      <c r="M995" s="35">
        <f t="shared" si="124"/>
        <v>6.0052903159514986E-8</v>
      </c>
      <c r="N995" s="44">
        <f t="shared" si="122"/>
        <v>2.4632824138753461E-6</v>
      </c>
      <c r="O995" s="45" t="e">
        <f t="shared" si="125"/>
        <v>#VALUE!</v>
      </c>
      <c r="P995" s="52" t="str">
        <f t="shared" si="126"/>
        <v/>
      </c>
      <c r="Q995" s="53" t="str">
        <f t="shared" si="127"/>
        <v/>
      </c>
      <c r="R995" s="54" t="str">
        <f t="shared" si="128"/>
        <v/>
      </c>
      <c r="S995" s="53" t="str">
        <f t="shared" si="129"/>
        <v/>
      </c>
    </row>
    <row r="996" spans="10:19" x14ac:dyDescent="0.15">
      <c r="J996" s="38">
        <v>987</v>
      </c>
      <c r="K996" s="40"/>
      <c r="L996" s="34">
        <f t="shared" si="123"/>
        <v>8.6741346528499894E-4</v>
      </c>
      <c r="M996" s="35">
        <f t="shared" si="124"/>
        <v>5.960296149968141E-8</v>
      </c>
      <c r="N996" s="44">
        <f t="shared" si="122"/>
        <v>2.442191306347135E-6</v>
      </c>
      <c r="O996" s="45" t="e">
        <f t="shared" si="125"/>
        <v>#VALUE!</v>
      </c>
      <c r="P996" s="52" t="str">
        <f t="shared" si="126"/>
        <v/>
      </c>
      <c r="Q996" s="53" t="str">
        <f t="shared" si="127"/>
        <v/>
      </c>
      <c r="R996" s="54" t="str">
        <f t="shared" si="128"/>
        <v/>
      </c>
      <c r="S996" s="53" t="str">
        <f t="shared" si="129"/>
        <v/>
      </c>
    </row>
    <row r="997" spans="10:19" x14ac:dyDescent="0.15">
      <c r="J997" s="38">
        <v>988</v>
      </c>
      <c r="K997" s="40"/>
      <c r="L997" s="34">
        <f t="shared" si="123"/>
        <v>8.6747284377129751E-4</v>
      </c>
      <c r="M997" s="35">
        <f t="shared" si="124"/>
        <v>5.9154208930138812E-8</v>
      </c>
      <c r="N997" s="44">
        <f t="shared" si="122"/>
        <v>2.4211547704074913E-6</v>
      </c>
      <c r="O997" s="45" t="e">
        <f t="shared" si="125"/>
        <v>#VALUE!</v>
      </c>
      <c r="P997" s="52" t="str">
        <f t="shared" si="126"/>
        <v/>
      </c>
      <c r="Q997" s="53" t="str">
        <f t="shared" si="127"/>
        <v/>
      </c>
      <c r="R997" s="54" t="str">
        <f t="shared" si="128"/>
        <v/>
      </c>
      <c r="S997" s="53" t="str">
        <f t="shared" si="129"/>
        <v/>
      </c>
    </row>
    <row r="998" spans="10:19" x14ac:dyDescent="0.15">
      <c r="J998" s="38">
        <v>989</v>
      </c>
      <c r="K998" s="40"/>
      <c r="L998" s="34">
        <f t="shared" si="123"/>
        <v>8.6753177409782691E-4</v>
      </c>
      <c r="M998" s="35">
        <f t="shared" si="124"/>
        <v>5.8706641264592895E-8</v>
      </c>
      <c r="N998" s="44">
        <f t="shared" si="122"/>
        <v>2.4001726179225099E-6</v>
      </c>
      <c r="O998" s="45" t="e">
        <f t="shared" si="125"/>
        <v>#VALUE!</v>
      </c>
      <c r="P998" s="52" t="str">
        <f t="shared" si="126"/>
        <v/>
      </c>
      <c r="Q998" s="53" t="str">
        <f t="shared" si="127"/>
        <v/>
      </c>
      <c r="R998" s="54" t="str">
        <f t="shared" si="128"/>
        <v/>
      </c>
      <c r="S998" s="53" t="str">
        <f t="shared" si="129"/>
        <v/>
      </c>
    </row>
    <row r="999" spans="10:19" x14ac:dyDescent="0.15">
      <c r="J999" s="38">
        <v>990</v>
      </c>
      <c r="K999" s="40"/>
      <c r="L999" s="34">
        <f t="shared" si="123"/>
        <v>8.675902574474052E-4</v>
      </c>
      <c r="M999" s="35">
        <f t="shared" si="124"/>
        <v>5.8260254335155851E-8</v>
      </c>
      <c r="N999" s="44">
        <f t="shared" si="122"/>
        <v>2.3792446615703532E-6</v>
      </c>
      <c r="O999" s="45" t="e">
        <f t="shared" si="125"/>
        <v>#VALUE!</v>
      </c>
      <c r="P999" s="52" t="str">
        <f t="shared" si="126"/>
        <v/>
      </c>
      <c r="Q999" s="53" t="str">
        <f t="shared" si="127"/>
        <v/>
      </c>
      <c r="R999" s="54" t="str">
        <f t="shared" si="128"/>
        <v/>
      </c>
      <c r="S999" s="53" t="str">
        <f t="shared" si="129"/>
        <v/>
      </c>
    </row>
    <row r="1000" spans="10:19" x14ac:dyDescent="0.15">
      <c r="J1000" s="38">
        <v>991</v>
      </c>
      <c r="K1000" s="40"/>
      <c r="L1000" s="34">
        <f t="shared" si="123"/>
        <v>8.6764829499869252E-4</v>
      </c>
      <c r="M1000" s="35">
        <f t="shared" si="124"/>
        <v>5.7815043992249502E-8</v>
      </c>
      <c r="N1000" s="44">
        <f t="shared" si="122"/>
        <v>2.3583707148334444E-6</v>
      </c>
      <c r="O1000" s="45" t="e">
        <f t="shared" si="125"/>
        <v>#VALUE!</v>
      </c>
      <c r="P1000" s="52" t="str">
        <f t="shared" si="126"/>
        <v/>
      </c>
      <c r="Q1000" s="53" t="str">
        <f t="shared" si="127"/>
        <v/>
      </c>
      <c r="R1000" s="54" t="str">
        <f t="shared" si="128"/>
        <v/>
      </c>
      <c r="S1000" s="53" t="str">
        <f t="shared" si="129"/>
        <v/>
      </c>
    </row>
    <row r="1001" spans="10:19" x14ac:dyDescent="0.15">
      <c r="J1001" s="38">
        <v>992</v>
      </c>
      <c r="K1001" s="40"/>
      <c r="L1001" s="34">
        <f t="shared" si="123"/>
        <v>8.677058879262079E-4</v>
      </c>
      <c r="M1001" s="35">
        <f t="shared" si="124"/>
        <v>5.7371006104508725E-8</v>
      </c>
      <c r="N1001" s="44">
        <f t="shared" si="122"/>
        <v>2.3375505919971673E-6</v>
      </c>
      <c r="O1001" s="45" t="e">
        <f t="shared" si="125"/>
        <v>#VALUE!</v>
      </c>
      <c r="P1001" s="52" t="str">
        <f t="shared" si="126"/>
        <v/>
      </c>
      <c r="Q1001" s="53" t="str">
        <f t="shared" si="127"/>
        <v/>
      </c>
      <c r="R1001" s="54" t="str">
        <f t="shared" si="128"/>
        <v/>
      </c>
      <c r="S1001" s="53" t="str">
        <f t="shared" si="129"/>
        <v/>
      </c>
    </row>
    <row r="1002" spans="10:19" x14ac:dyDescent="0.15">
      <c r="J1002" s="38">
        <v>993</v>
      </c>
      <c r="K1002" s="40"/>
      <c r="L1002" s="34">
        <f t="shared" si="123"/>
        <v>8.6776303740034857E-4</v>
      </c>
      <c r="M1002" s="35">
        <f t="shared" si="124"/>
        <v>5.6928136558685577E-8</v>
      </c>
      <c r="N1002" s="44">
        <f t="shared" si="122"/>
        <v>2.3167841081435771E-6</v>
      </c>
      <c r="O1002" s="45" t="e">
        <f t="shared" si="125"/>
        <v>#VALUE!</v>
      </c>
      <c r="P1002" s="52" t="str">
        <f t="shared" si="126"/>
        <v/>
      </c>
      <c r="Q1002" s="53" t="str">
        <f t="shared" si="127"/>
        <v/>
      </c>
      <c r="R1002" s="54" t="str">
        <f t="shared" si="128"/>
        <v/>
      </c>
      <c r="S1002" s="53" t="str">
        <f t="shared" si="129"/>
        <v/>
      </c>
    </row>
    <row r="1003" spans="10:19" x14ac:dyDescent="0.15">
      <c r="J1003" s="38">
        <v>994</v>
      </c>
      <c r="K1003" s="40"/>
      <c r="L1003" s="34">
        <f t="shared" si="123"/>
        <v>8.6781974458740728E-4</v>
      </c>
      <c r="M1003" s="35">
        <f t="shared" si="124"/>
        <v>5.6486431259554197E-8</v>
      </c>
      <c r="N1003" s="44">
        <f t="shared" si="122"/>
        <v>2.2960710791487988E-6</v>
      </c>
      <c r="O1003" s="45" t="e">
        <f t="shared" si="125"/>
        <v>#VALUE!</v>
      </c>
      <c r="P1003" s="52" t="str">
        <f t="shared" si="126"/>
        <v/>
      </c>
      <c r="Q1003" s="53" t="str">
        <f t="shared" si="127"/>
        <v/>
      </c>
      <c r="R1003" s="54" t="str">
        <f t="shared" si="128"/>
        <v/>
      </c>
      <c r="S1003" s="53" t="str">
        <f t="shared" si="129"/>
        <v/>
      </c>
    </row>
    <row r="1004" spans="10:19" x14ac:dyDescent="0.15">
      <c r="J1004" s="38">
        <v>995</v>
      </c>
      <c r="K1004" s="40"/>
      <c r="L1004" s="34">
        <f t="shared" si="123"/>
        <v>8.6787601064959065E-4</v>
      </c>
      <c r="M1004" s="35">
        <f t="shared" si="124"/>
        <v>5.6045886129815986E-8</v>
      </c>
      <c r="N1004" s="44">
        <f t="shared" si="122"/>
        <v>2.2754113216782567E-6</v>
      </c>
      <c r="O1004" s="45" t="e">
        <f t="shared" si="125"/>
        <v>#VALUE!</v>
      </c>
      <c r="P1004" s="52" t="str">
        <f t="shared" si="126"/>
        <v/>
      </c>
      <c r="Q1004" s="53" t="str">
        <f t="shared" si="127"/>
        <v/>
      </c>
      <c r="R1004" s="54" t="str">
        <f t="shared" si="128"/>
        <v/>
      </c>
      <c r="S1004" s="53" t="str">
        <f t="shared" si="129"/>
        <v/>
      </c>
    </row>
    <row r="1005" spans="10:19" x14ac:dyDescent="0.15">
      <c r="J1005" s="38">
        <v>996</v>
      </c>
      <c r="K1005" s="40"/>
      <c r="L1005" s="34">
        <f t="shared" si="123"/>
        <v>8.6793183674503671E-4</v>
      </c>
      <c r="M1005" s="35">
        <f t="shared" si="124"/>
        <v>5.5606497110005636E-8</v>
      </c>
      <c r="N1005" s="44">
        <f t="shared" si="122"/>
        <v>2.254804653183313E-6</v>
      </c>
      <c r="O1005" s="45" t="e">
        <f t="shared" si="125"/>
        <v>#VALUE!</v>
      </c>
      <c r="P1005" s="52" t="str">
        <f t="shared" si="126"/>
        <v/>
      </c>
      <c r="Q1005" s="53" t="str">
        <f t="shared" si="127"/>
        <v/>
      </c>
      <c r="R1005" s="54" t="str">
        <f t="shared" si="128"/>
        <v/>
      </c>
      <c r="S1005" s="53" t="str">
        <f t="shared" si="129"/>
        <v/>
      </c>
    </row>
    <row r="1006" spans="10:19" x14ac:dyDescent="0.15">
      <c r="J1006" s="38">
        <v>997</v>
      </c>
      <c r="K1006" s="40"/>
      <c r="L1006" s="34">
        <f t="shared" si="123"/>
        <v>8.6798722402783315E-4</v>
      </c>
      <c r="M1006" s="35">
        <f t="shared" si="124"/>
        <v>5.5168260158397475E-8</v>
      </c>
      <c r="N1006" s="44">
        <f t="shared" si="122"/>
        <v>2.2342508918964978E-6</v>
      </c>
      <c r="O1006" s="45" t="e">
        <f t="shared" si="125"/>
        <v>#VALUE!</v>
      </c>
      <c r="P1006" s="52" t="str">
        <f t="shared" si="126"/>
        <v/>
      </c>
      <c r="Q1006" s="53" t="str">
        <f t="shared" si="127"/>
        <v/>
      </c>
      <c r="R1006" s="54" t="str">
        <f t="shared" si="128"/>
        <v/>
      </c>
      <c r="S1006" s="53" t="str">
        <f t="shared" si="129"/>
        <v/>
      </c>
    </row>
    <row r="1007" spans="10:19" x14ac:dyDescent="0.15">
      <c r="J1007" s="38">
        <v>998</v>
      </c>
      <c r="K1007" s="40"/>
      <c r="L1007" s="34">
        <f t="shared" si="123"/>
        <v>8.6804217364803483E-4</v>
      </c>
      <c r="M1007" s="35">
        <f t="shared" si="124"/>
        <v>5.4731171250912587E-8</v>
      </c>
      <c r="N1007" s="44">
        <f t="shared" si="122"/>
        <v>2.2137498568270634E-6</v>
      </c>
      <c r="O1007" s="45" t="e">
        <f t="shared" si="125"/>
        <v>#VALUE!</v>
      </c>
      <c r="P1007" s="52" t="str">
        <f t="shared" si="126"/>
        <v/>
      </c>
      <c r="Q1007" s="53" t="str">
        <f t="shared" si="127"/>
        <v/>
      </c>
      <c r="R1007" s="54" t="str">
        <f t="shared" si="128"/>
        <v/>
      </c>
      <c r="S1007" s="53" t="str">
        <f t="shared" si="129"/>
        <v/>
      </c>
    </row>
    <row r="1008" spans="10:19" x14ac:dyDescent="0.15">
      <c r="J1008" s="38">
        <v>999</v>
      </c>
      <c r="K1008" s="40"/>
      <c r="L1008" s="34">
        <f t="shared" si="123"/>
        <v>8.6809668675168065E-4</v>
      </c>
      <c r="M1008" s="35">
        <f t="shared" si="124"/>
        <v>5.4295226381026558E-8</v>
      </c>
      <c r="N1008" s="44">
        <f t="shared" si="122"/>
        <v>2.1933013677584911E-6</v>
      </c>
      <c r="O1008" s="45" t="e">
        <f t="shared" si="125"/>
        <v>#VALUE!</v>
      </c>
      <c r="P1008" s="52" t="str">
        <f t="shared" si="126"/>
        <v/>
      </c>
      <c r="Q1008" s="53" t="str">
        <f t="shared" si="127"/>
        <v/>
      </c>
      <c r="R1008" s="54" t="str">
        <f t="shared" si="128"/>
        <v/>
      </c>
      <c r="S1008" s="53" t="str">
        <f t="shared" si="129"/>
        <v/>
      </c>
    </row>
    <row r="1009" spans="10:19" x14ac:dyDescent="0.15">
      <c r="J1009" s="38">
        <v>1000</v>
      </c>
      <c r="K1009" s="75">
        <f>B27</f>
        <v>9.1448820000000004E-4</v>
      </c>
      <c r="L1009" s="34">
        <f t="shared" si="123"/>
        <v>8.6815076448081279E-4</v>
      </c>
      <c r="M1009" s="35">
        <f t="shared" si="124"/>
        <v>5.3860421559677403E-8</v>
      </c>
      <c r="N1009" s="44">
        <f t="shared" si="122"/>
        <v>2.1729052452433952E-6</v>
      </c>
      <c r="O1009" s="45" t="e">
        <f t="shared" si="125"/>
        <v>#VALUE!</v>
      </c>
      <c r="P1009" s="52" t="str">
        <f t="shared" si="126"/>
        <v/>
      </c>
      <c r="Q1009" s="53" t="str">
        <f t="shared" si="127"/>
        <v/>
      </c>
      <c r="R1009" s="54" t="str">
        <f t="shared" si="128"/>
        <v/>
      </c>
      <c r="S1009" s="53" t="str">
        <f t="shared" si="129"/>
        <v/>
      </c>
    </row>
    <row r="1010" spans="10:19" x14ac:dyDescent="0.15">
      <c r="J1010" s="38">
        <v>1001</v>
      </c>
      <c r="K1010" s="40"/>
      <c r="L1010" s="34">
        <f t="shared" si="123"/>
        <v>8.6820440797349204E-4</v>
      </c>
      <c r="M1010" s="35">
        <f t="shared" si="124"/>
        <v>5.3426752815174582E-8</v>
      </c>
      <c r="N1010" s="44">
        <f t="shared" si="122"/>
        <v>2.1525613105997281E-6</v>
      </c>
      <c r="O1010" s="45" t="e">
        <f t="shared" si="125"/>
        <v>#VALUE!</v>
      </c>
      <c r="P1010" s="52" t="str">
        <f t="shared" si="126"/>
        <v/>
      </c>
      <c r="Q1010" s="53" t="str">
        <f t="shared" si="127"/>
        <v/>
      </c>
      <c r="R1010" s="54" t="str">
        <f t="shared" si="128"/>
        <v/>
      </c>
      <c r="S1010" s="53" t="str">
        <f t="shared" si="129"/>
        <v/>
      </c>
    </row>
    <row r="1011" spans="10:19" x14ac:dyDescent="0.15">
      <c r="J1011" s="38">
        <v>1002</v>
      </c>
      <c r="K1011" s="40"/>
      <c r="L1011" s="34">
        <f t="shared" si="123"/>
        <v>8.6825761836381717E-4</v>
      </c>
      <c r="M1011" s="35">
        <f t="shared" si="124"/>
        <v>5.2994216193108114E-8</v>
      </c>
      <c r="N1011" s="44">
        <f t="shared" si="122"/>
        <v>2.1322693859069861E-6</v>
      </c>
      <c r="O1011" s="45" t="e">
        <f t="shared" si="125"/>
        <v>#VALUE!</v>
      </c>
      <c r="P1011" s="52" t="str">
        <f t="shared" si="126"/>
        <v/>
      </c>
      <c r="Q1011" s="53" t="str">
        <f t="shared" si="127"/>
        <v/>
      </c>
      <c r="R1011" s="54" t="str">
        <f t="shared" si="128"/>
        <v/>
      </c>
      <c r="S1011" s="53" t="str">
        <f t="shared" si="129"/>
        <v/>
      </c>
    </row>
    <row r="1012" spans="10:19" x14ac:dyDescent="0.15">
      <c r="J1012" s="38">
        <v>1003</v>
      </c>
      <c r="K1012" s="40"/>
      <c r="L1012" s="34">
        <f t="shared" si="123"/>
        <v>8.6831039678193995E-4</v>
      </c>
      <c r="M1012" s="35">
        <f t="shared" si="124"/>
        <v>5.2562807756258498E-8</v>
      </c>
      <c r="N1012" s="44">
        <f t="shared" si="122"/>
        <v>2.1120292940030646E-6</v>
      </c>
      <c r="O1012" s="45" t="e">
        <f t="shared" si="125"/>
        <v>#VALUE!</v>
      </c>
      <c r="P1012" s="52" t="str">
        <f t="shared" si="126"/>
        <v/>
      </c>
      <c r="Q1012" s="53" t="str">
        <f t="shared" si="127"/>
        <v/>
      </c>
      <c r="R1012" s="54" t="str">
        <f t="shared" si="128"/>
        <v/>
      </c>
      <c r="S1012" s="53" t="str">
        <f t="shared" si="129"/>
        <v/>
      </c>
    </row>
    <row r="1013" spans="10:19" x14ac:dyDescent="0.15">
      <c r="J1013" s="38">
        <v>1004</v>
      </c>
      <c r="K1013" s="40"/>
      <c r="L1013" s="34">
        <f t="shared" si="123"/>
        <v>8.6836274435408436E-4</v>
      </c>
      <c r="M1013" s="35">
        <f t="shared" si="124"/>
        <v>5.2132523584507107E-8</v>
      </c>
      <c r="N1013" s="44">
        <f t="shared" si="122"/>
        <v>2.0918408584787293E-6</v>
      </c>
      <c r="O1013" s="45" t="e">
        <f t="shared" si="125"/>
        <v>#VALUE!</v>
      </c>
      <c r="P1013" s="52" t="str">
        <f t="shared" si="126"/>
        <v/>
      </c>
      <c r="Q1013" s="53" t="str">
        <f t="shared" si="127"/>
        <v/>
      </c>
      <c r="R1013" s="54" t="str">
        <f t="shared" si="128"/>
        <v/>
      </c>
      <c r="S1013" s="53" t="str">
        <f t="shared" si="129"/>
        <v/>
      </c>
    </row>
    <row r="1014" spans="10:19" x14ac:dyDescent="0.15">
      <c r="J1014" s="38">
        <v>1005</v>
      </c>
      <c r="K1014" s="40"/>
      <c r="L1014" s="34">
        <f t="shared" si="123"/>
        <v>8.6841466220256283E-4</v>
      </c>
      <c r="M1014" s="35">
        <f t="shared" si="124"/>
        <v>5.1703359774747144E-8</v>
      </c>
      <c r="N1014" s="44">
        <f t="shared" si="122"/>
        <v>2.0717039036746883E-6</v>
      </c>
      <c r="O1014" s="45" t="e">
        <f t="shared" si="125"/>
        <v>#VALUE!</v>
      </c>
      <c r="P1014" s="52" t="str">
        <f t="shared" si="126"/>
        <v/>
      </c>
      <c r="Q1014" s="53" t="str">
        <f t="shared" si="127"/>
        <v/>
      </c>
      <c r="R1014" s="54" t="str">
        <f t="shared" si="128"/>
        <v/>
      </c>
      <c r="S1014" s="53" t="str">
        <f t="shared" si="129"/>
        <v/>
      </c>
    </row>
    <row r="1015" spans="10:19" x14ac:dyDescent="0.15">
      <c r="J1015" s="38">
        <v>1006</v>
      </c>
      <c r="K1015" s="40"/>
      <c r="L1015" s="34">
        <f t="shared" si="123"/>
        <v>8.6846615144579224E-4</v>
      </c>
      <c r="M1015" s="35">
        <f t="shared" si="124"/>
        <v>5.1275312440795133E-8</v>
      </c>
      <c r="N1015" s="44">
        <f t="shared" si="122"/>
        <v>2.0516182546790988E-6</v>
      </c>
      <c r="O1015" s="45" t="e">
        <f t="shared" si="125"/>
        <v>#VALUE!</v>
      </c>
      <c r="P1015" s="52" t="str">
        <f t="shared" si="126"/>
        <v/>
      </c>
      <c r="Q1015" s="53" t="str">
        <f t="shared" si="127"/>
        <v/>
      </c>
      <c r="R1015" s="54" t="str">
        <f t="shared" si="128"/>
        <v/>
      </c>
      <c r="S1015" s="53" t="str">
        <f t="shared" si="129"/>
        <v/>
      </c>
    </row>
    <row r="1016" spans="10:19" x14ac:dyDescent="0.15">
      <c r="J1016" s="38">
        <v>1007</v>
      </c>
      <c r="K1016" s="40"/>
      <c r="L1016" s="34">
        <f t="shared" si="123"/>
        <v>8.6851721319831281E-4</v>
      </c>
      <c r="M1016" s="35">
        <f t="shared" si="124"/>
        <v>5.084837771330296E-8</v>
      </c>
      <c r="N1016" s="44">
        <f t="shared" si="122"/>
        <v>2.0315837373212787E-6</v>
      </c>
      <c r="O1016" s="45" t="e">
        <f t="shared" si="125"/>
        <v>#VALUE!</v>
      </c>
      <c r="P1016" s="52" t="str">
        <f t="shared" si="126"/>
        <v/>
      </c>
      <c r="Q1016" s="53" t="str">
        <f t="shared" si="127"/>
        <v/>
      </c>
      <c r="R1016" s="54" t="str">
        <f t="shared" si="128"/>
        <v/>
      </c>
      <c r="S1016" s="53" t="str">
        <f t="shared" si="129"/>
        <v/>
      </c>
    </row>
    <row r="1017" spans="10:19" x14ac:dyDescent="0.15">
      <c r="J1017" s="38">
        <v>1008</v>
      </c>
      <c r="K1017" s="40"/>
      <c r="L1017" s="34">
        <f t="shared" si="123"/>
        <v>8.6856784857080324E-4</v>
      </c>
      <c r="M1017" s="35">
        <f t="shared" si="124"/>
        <v>5.0422551739670317E-8</v>
      </c>
      <c r="N1017" s="44">
        <f t="shared" si="122"/>
        <v>2.0116001781691041E-6</v>
      </c>
      <c r="O1017" s="45" t="e">
        <f t="shared" si="125"/>
        <v>#VALUE!</v>
      </c>
      <c r="P1017" s="52" t="str">
        <f t="shared" si="126"/>
        <v/>
      </c>
      <c r="Q1017" s="53" t="str">
        <f t="shared" si="127"/>
        <v/>
      </c>
      <c r="R1017" s="54" t="str">
        <f t="shared" si="128"/>
        <v/>
      </c>
      <c r="S1017" s="53" t="str">
        <f t="shared" si="129"/>
        <v/>
      </c>
    </row>
    <row r="1018" spans="10:19" x14ac:dyDescent="0.15">
      <c r="J1018" s="38">
        <v>1009</v>
      </c>
      <c r="K1018" s="40"/>
      <c r="L1018" s="34">
        <f t="shared" si="123"/>
        <v>8.686180586700979E-4</v>
      </c>
      <c r="M1018" s="35">
        <f t="shared" si="124"/>
        <v>4.9997830683958016E-8</v>
      </c>
      <c r="N1018" s="44">
        <f t="shared" si="122"/>
        <v>1.991667404525649E-6</v>
      </c>
      <c r="O1018" s="45" t="e">
        <f t="shared" si="125"/>
        <v>#VALUE!</v>
      </c>
      <c r="P1018" s="52" t="str">
        <f t="shared" si="126"/>
        <v/>
      </c>
      <c r="Q1018" s="53" t="str">
        <f t="shared" si="127"/>
        <v/>
      </c>
      <c r="R1018" s="54" t="str">
        <f t="shared" si="128"/>
        <v/>
      </c>
      <c r="S1018" s="53" t="str">
        <f t="shared" si="129"/>
        <v/>
      </c>
    </row>
    <row r="1019" spans="10:19" x14ac:dyDescent="0.15">
      <c r="J1019" s="38">
        <v>1010</v>
      </c>
      <c r="K1019" s="40"/>
      <c r="L1019" s="34">
        <f t="shared" si="123"/>
        <v>8.6866784459920389E-4</v>
      </c>
      <c r="M1019" s="35">
        <f t="shared" si="124"/>
        <v>4.9574210726801297E-8</v>
      </c>
      <c r="N1019" s="44">
        <f t="shared" si="122"/>
        <v>1.9717852444246309E-6</v>
      </c>
      <c r="O1019" s="45" t="e">
        <f t="shared" si="125"/>
        <v>#VALUE!</v>
      </c>
      <c r="P1019" s="52" t="str">
        <f t="shared" si="126"/>
        <v/>
      </c>
      <c r="Q1019" s="53" t="str">
        <f t="shared" si="127"/>
        <v/>
      </c>
      <c r="R1019" s="54" t="str">
        <f t="shared" si="128"/>
        <v/>
      </c>
      <c r="S1019" s="53" t="str">
        <f t="shared" si="129"/>
        <v/>
      </c>
    </row>
    <row r="1020" spans="10:19" x14ac:dyDescent="0.15">
      <c r="J1020" s="38">
        <v>1011</v>
      </c>
      <c r="K1020" s="40"/>
      <c r="L1020" s="34">
        <f t="shared" si="123"/>
        <v>8.687172074573167E-4</v>
      </c>
      <c r="M1020" s="35">
        <f t="shared" si="124"/>
        <v>4.9151688065324215E-8</v>
      </c>
      <c r="N1020" s="44">
        <f t="shared" si="122"/>
        <v>1.9519535266281345E-6</v>
      </c>
      <c r="O1020" s="45" t="e">
        <f t="shared" si="125"/>
        <v>#VALUE!</v>
      </c>
      <c r="P1020" s="52" t="str">
        <f t="shared" si="126"/>
        <v/>
      </c>
      <c r="Q1020" s="53" t="str">
        <f t="shared" si="127"/>
        <v/>
      </c>
      <c r="R1020" s="54" t="str">
        <f t="shared" si="128"/>
        <v/>
      </c>
      <c r="S1020" s="53" t="str">
        <f t="shared" si="129"/>
        <v/>
      </c>
    </row>
    <row r="1021" spans="10:19" x14ac:dyDescent="0.15">
      <c r="J1021" s="38">
        <v>1012</v>
      </c>
      <c r="K1021" s="40"/>
      <c r="L1021" s="34">
        <f t="shared" si="123"/>
        <v>8.6876614833983757E-4</v>
      </c>
      <c r="M1021" s="35">
        <f t="shared" si="124"/>
        <v>4.8730258913054199E-8</v>
      </c>
      <c r="N1021" s="44">
        <f t="shared" si="122"/>
        <v>1.9321720806209737E-6</v>
      </c>
      <c r="O1021" s="45" t="e">
        <f t="shared" si="125"/>
        <v>#VALUE!</v>
      </c>
      <c r="P1021" s="52" t="str">
        <f t="shared" si="126"/>
        <v/>
      </c>
      <c r="Q1021" s="53" t="str">
        <f t="shared" si="127"/>
        <v/>
      </c>
      <c r="R1021" s="54" t="str">
        <f t="shared" si="128"/>
        <v/>
      </c>
      <c r="S1021" s="53" t="str">
        <f t="shared" si="129"/>
        <v/>
      </c>
    </row>
    <row r="1022" spans="10:19" x14ac:dyDescent="0.15">
      <c r="J1022" s="38">
        <v>1013</v>
      </c>
      <c r="K1022" s="40"/>
      <c r="L1022" s="34">
        <f t="shared" si="123"/>
        <v>8.6881466833838884E-4</v>
      </c>
      <c r="M1022" s="35">
        <f t="shared" si="124"/>
        <v>4.8309919499837224E-8</v>
      </c>
      <c r="N1022" s="44">
        <f t="shared" si="122"/>
        <v>1.9124407366087398E-6</v>
      </c>
      <c r="O1022" s="45" t="e">
        <f t="shared" si="125"/>
        <v>#VALUE!</v>
      </c>
      <c r="P1022" s="52" t="str">
        <f t="shared" si="126"/>
        <v/>
      </c>
      <c r="Q1022" s="53" t="str">
        <f t="shared" si="127"/>
        <v/>
      </c>
      <c r="R1022" s="54" t="str">
        <f t="shared" si="128"/>
        <v/>
      </c>
      <c r="S1022" s="53" t="str">
        <f t="shared" si="129"/>
        <v/>
      </c>
    </row>
    <row r="1023" spans="10:19" x14ac:dyDescent="0.15">
      <c r="J1023" s="38">
        <v>1014</v>
      </c>
      <c r="K1023" s="40"/>
      <c r="L1023" s="34">
        <f t="shared" si="123"/>
        <v>8.6886276854083208E-4</v>
      </c>
      <c r="M1023" s="35">
        <f t="shared" si="124"/>
        <v>4.7890666071753439E-8</v>
      </c>
      <c r="N1023" s="44">
        <f t="shared" si="122"/>
        <v>1.8927593255118388E-6</v>
      </c>
      <c r="O1023" s="45" t="e">
        <f t="shared" si="125"/>
        <v>#VALUE!</v>
      </c>
      <c r="P1023" s="52" t="str">
        <f t="shared" si="126"/>
        <v/>
      </c>
      <c r="Q1023" s="53" t="str">
        <f t="shared" si="127"/>
        <v/>
      </c>
      <c r="R1023" s="54" t="str">
        <f t="shared" si="128"/>
        <v/>
      </c>
      <c r="S1023" s="53" t="str">
        <f t="shared" si="129"/>
        <v/>
      </c>
    </row>
    <row r="1024" spans="10:19" x14ac:dyDescent="0.15">
      <c r="J1024" s="38">
        <v>1015</v>
      </c>
      <c r="K1024" s="40"/>
      <c r="L1024" s="34">
        <f t="shared" si="123"/>
        <v>8.6891045003128142E-4</v>
      </c>
      <c r="M1024" s="35">
        <f t="shared" si="124"/>
        <v>4.7472494891033531E-8</v>
      </c>
      <c r="N1024" s="44">
        <f t="shared" si="122"/>
        <v>1.8731276789651658E-6</v>
      </c>
      <c r="O1024" s="45" t="e">
        <f t="shared" si="125"/>
        <v>#VALUE!</v>
      </c>
      <c r="P1024" s="52" t="str">
        <f t="shared" si="126"/>
        <v/>
      </c>
      <c r="Q1024" s="53" t="str">
        <f t="shared" si="127"/>
        <v/>
      </c>
      <c r="R1024" s="54" t="str">
        <f t="shared" si="128"/>
        <v/>
      </c>
      <c r="S1024" s="53" t="str">
        <f t="shared" si="129"/>
        <v/>
      </c>
    </row>
    <row r="1025" spans="10:19" x14ac:dyDescent="0.15">
      <c r="J1025" s="38">
        <v>1016</v>
      </c>
      <c r="K1025" s="40"/>
      <c r="L1025" s="34">
        <f t="shared" si="123"/>
        <v>8.6895771389012243E-4</v>
      </c>
      <c r="M1025" s="35">
        <f t="shared" si="124"/>
        <v>4.7055402235975136E-8</v>
      </c>
      <c r="N1025" s="44">
        <f t="shared" si="122"/>
        <v>1.8535456293119253E-6</v>
      </c>
      <c r="O1025" s="45" t="e">
        <f t="shared" si="125"/>
        <v>#VALUE!</v>
      </c>
      <c r="P1025" s="52" t="str">
        <f t="shared" si="126"/>
        <v/>
      </c>
      <c r="Q1025" s="53" t="str">
        <f t="shared" si="127"/>
        <v/>
      </c>
      <c r="R1025" s="54" t="str">
        <f t="shared" si="128"/>
        <v/>
      </c>
      <c r="S1025" s="53" t="str">
        <f t="shared" si="129"/>
        <v/>
      </c>
    </row>
    <row r="1026" spans="10:19" x14ac:dyDescent="0.15">
      <c r="J1026" s="38">
        <v>1017</v>
      </c>
      <c r="K1026" s="40"/>
      <c r="L1026" s="34">
        <f t="shared" si="123"/>
        <v>8.6900456119402662E-4</v>
      </c>
      <c r="M1026" s="35">
        <f t="shared" si="124"/>
        <v>4.6639384400860309E-8</v>
      </c>
      <c r="N1026" s="44">
        <f t="shared" si="122"/>
        <v>1.834013009601029E-6</v>
      </c>
      <c r="O1026" s="45" t="e">
        <f t="shared" si="125"/>
        <v>#VALUE!</v>
      </c>
      <c r="P1026" s="52" t="str">
        <f t="shared" si="126"/>
        <v/>
      </c>
      <c r="Q1026" s="53" t="str">
        <f t="shared" si="127"/>
        <v/>
      </c>
      <c r="R1026" s="54" t="str">
        <f t="shared" si="128"/>
        <v/>
      </c>
      <c r="S1026" s="53" t="str">
        <f t="shared" si="129"/>
        <v/>
      </c>
    </row>
    <row r="1027" spans="10:19" x14ac:dyDescent="0.15">
      <c r="J1027" s="38">
        <v>1018</v>
      </c>
      <c r="K1027" s="40"/>
      <c r="L1027" s="34">
        <f t="shared" si="123"/>
        <v>8.6905099301596732E-4</v>
      </c>
      <c r="M1027" s="35">
        <f t="shared" si="124"/>
        <v>4.6224437695872977E-8</v>
      </c>
      <c r="N1027" s="44">
        <f t="shared" si="122"/>
        <v>1.8145296535837345E-6</v>
      </c>
      <c r="O1027" s="45" t="e">
        <f t="shared" si="125"/>
        <v>#VALUE!</v>
      </c>
      <c r="P1027" s="52" t="str">
        <f t="shared" si="126"/>
        <v/>
      </c>
      <c r="Q1027" s="53" t="str">
        <f t="shared" si="127"/>
        <v/>
      </c>
      <c r="R1027" s="54" t="str">
        <f t="shared" si="128"/>
        <v/>
      </c>
      <c r="S1027" s="53" t="str">
        <f t="shared" si="129"/>
        <v/>
      </c>
    </row>
    <row r="1028" spans="10:19" x14ac:dyDescent="0.15">
      <c r="J1028" s="38">
        <v>1019</v>
      </c>
      <c r="K1028" s="40"/>
      <c r="L1028" s="34">
        <f t="shared" si="123"/>
        <v>8.6909701042523684E-4</v>
      </c>
      <c r="M1028" s="35">
        <f t="shared" si="124"/>
        <v>4.5810558447017314E-8</v>
      </c>
      <c r="N1028" s="44">
        <f t="shared" si="122"/>
        <v>1.7950953957086586E-6</v>
      </c>
      <c r="O1028" s="45" t="e">
        <f t="shared" si="125"/>
        <v>#VALUE!</v>
      </c>
      <c r="P1028" s="52" t="str">
        <f t="shared" si="126"/>
        <v/>
      </c>
      <c r="Q1028" s="53" t="str">
        <f t="shared" si="127"/>
        <v/>
      </c>
      <c r="R1028" s="54" t="str">
        <f t="shared" si="128"/>
        <v/>
      </c>
      <c r="S1028" s="53" t="str">
        <f t="shared" si="129"/>
        <v/>
      </c>
    </row>
    <row r="1029" spans="10:19" x14ac:dyDescent="0.15">
      <c r="J1029" s="38">
        <v>1020</v>
      </c>
      <c r="K1029" s="40"/>
      <c r="L1029" s="34">
        <f t="shared" si="123"/>
        <v>8.6914261448746053E-4</v>
      </c>
      <c r="M1029" s="35">
        <f t="shared" si="124"/>
        <v>4.5397742996036331E-8</v>
      </c>
      <c r="N1029" s="44">
        <f t="shared" si="122"/>
        <v>1.7757100711203672E-6</v>
      </c>
      <c r="O1029" s="45" t="e">
        <f t="shared" si="125"/>
        <v>#VALUE!</v>
      </c>
      <c r="P1029" s="52" t="str">
        <f t="shared" si="126"/>
        <v/>
      </c>
      <c r="Q1029" s="53" t="str">
        <f t="shared" si="127"/>
        <v/>
      </c>
      <c r="R1029" s="54" t="str">
        <f t="shared" si="128"/>
        <v/>
      </c>
      <c r="S1029" s="53" t="str">
        <f t="shared" si="129"/>
        <v/>
      </c>
    </row>
    <row r="1030" spans="10:19" x14ac:dyDescent="0.15">
      <c r="J1030" s="38">
        <v>1021</v>
      </c>
      <c r="K1030" s="40"/>
      <c r="L1030" s="34">
        <f t="shared" si="123"/>
        <v>8.6918780626461388E-4</v>
      </c>
      <c r="M1030" s="35">
        <f t="shared" si="124"/>
        <v>4.4985987700331059E-8</v>
      </c>
      <c r="N1030" s="44">
        <f t="shared" si="122"/>
        <v>1.7563735156546053E-6</v>
      </c>
      <c r="O1030" s="45" t="e">
        <f t="shared" si="125"/>
        <v>#VALUE!</v>
      </c>
      <c r="P1030" s="52" t="str">
        <f t="shared" si="126"/>
        <v/>
      </c>
      <c r="Q1030" s="53" t="str">
        <f t="shared" si="127"/>
        <v/>
      </c>
      <c r="R1030" s="54" t="str">
        <f t="shared" si="128"/>
        <v/>
      </c>
      <c r="S1030" s="53" t="str">
        <f t="shared" si="129"/>
        <v/>
      </c>
    </row>
    <row r="1031" spans="10:19" x14ac:dyDescent="0.15">
      <c r="J1031" s="38">
        <v>1022</v>
      </c>
      <c r="K1031" s="40"/>
      <c r="L1031" s="34">
        <f t="shared" si="123"/>
        <v>8.6923258681503705E-4</v>
      </c>
      <c r="M1031" s="35">
        <f t="shared" si="124"/>
        <v>4.457528893288012E-8</v>
      </c>
      <c r="N1031" s="44">
        <f t="shared" si="122"/>
        <v>1.7370855658354776E-6</v>
      </c>
      <c r="O1031" s="45" t="e">
        <f t="shared" si="125"/>
        <v>#VALUE!</v>
      </c>
      <c r="P1031" s="52" t="str">
        <f t="shared" si="126"/>
        <v/>
      </c>
      <c r="Q1031" s="53" t="str">
        <f t="shared" si="127"/>
        <v/>
      </c>
      <c r="R1031" s="54" t="str">
        <f t="shared" si="128"/>
        <v/>
      </c>
      <c r="S1031" s="53" t="str">
        <f t="shared" si="129"/>
        <v/>
      </c>
    </row>
    <row r="1032" spans="10:19" x14ac:dyDescent="0.15">
      <c r="J1032" s="38">
        <v>1023</v>
      </c>
      <c r="K1032" s="40"/>
      <c r="L1032" s="34">
        <f t="shared" si="123"/>
        <v>8.6927695719345166E-4</v>
      </c>
      <c r="M1032" s="35">
        <f t="shared" si="124"/>
        <v>4.4165643082159948E-8</v>
      </c>
      <c r="N1032" s="44">
        <f t="shared" si="122"/>
        <v>1.7178460588704618E-6</v>
      </c>
      <c r="O1032" s="45" t="e">
        <f t="shared" si="125"/>
        <v>#VALUE!</v>
      </c>
      <c r="P1032" s="52" t="str">
        <f t="shared" si="126"/>
        <v/>
      </c>
      <c r="Q1032" s="53" t="str">
        <f t="shared" si="127"/>
        <v/>
      </c>
      <c r="R1032" s="54" t="str">
        <f t="shared" si="128"/>
        <v/>
      </c>
      <c r="S1032" s="53" t="str">
        <f t="shared" si="129"/>
        <v/>
      </c>
    </row>
    <row r="1033" spans="10:19" x14ac:dyDescent="0.15">
      <c r="J1033" s="38">
        <v>1024</v>
      </c>
      <c r="K1033" s="40"/>
      <c r="L1033" s="34">
        <f t="shared" si="123"/>
        <v>8.6932091845097492E-4</v>
      </c>
      <c r="M1033" s="35">
        <f t="shared" si="124"/>
        <v>4.3757046552065391E-8</v>
      </c>
      <c r="N1033" s="44">
        <f t="shared" ref="N1033:N1096" si="130">(L1083-L1033)</f>
        <v>1.6986548326487815E-6</v>
      </c>
      <c r="O1033" s="45" t="e">
        <f t="shared" si="125"/>
        <v>#VALUE!</v>
      </c>
      <c r="P1033" s="52" t="str">
        <f t="shared" si="126"/>
        <v/>
      </c>
      <c r="Q1033" s="53" t="str">
        <f t="shared" si="127"/>
        <v/>
      </c>
      <c r="R1033" s="54" t="str">
        <f t="shared" si="128"/>
        <v/>
      </c>
      <c r="S1033" s="53" t="str">
        <f t="shared" si="129"/>
        <v/>
      </c>
    </row>
    <row r="1034" spans="10:19" x14ac:dyDescent="0.15">
      <c r="J1034" s="38">
        <v>1025</v>
      </c>
      <c r="K1034" s="40"/>
      <c r="L1034" s="34">
        <f t="shared" ref="L1034:L1097" si="131">$F$39*((1-$F$40*J1034)/(1+$F$41*J1034))*(J1034-$F$42)</f>
        <v>8.6936447163513553E-4</v>
      </c>
      <c r="M1034" s="35">
        <f t="shared" ref="M1034:M1097" si="132">$F$39*((1-2*$F$40*J1034-$F$40*$F$41*(J1034^2)+($F$41+$F$40)*$F$42)/(1+$F$41*J1034)^2)</f>
        <v>4.3349495761830673E-8</v>
      </c>
      <c r="N1034" s="44">
        <f t="shared" si="130"/>
        <v>1.6795117257380459E-6</v>
      </c>
      <c r="O1034" s="45" t="e">
        <f t="shared" ref="O1034:O1097" si="133">IF(N1034&lt;=$B$49,1+O1033,0)</f>
        <v>#VALUE!</v>
      </c>
      <c r="P1034" s="52" t="str">
        <f t="shared" ref="P1034:P1097" si="134">IF(J1034&lt;=$F$42,J1034,"")</f>
        <v/>
      </c>
      <c r="Q1034" s="53" t="str">
        <f t="shared" ref="Q1034:Q1097" si="135">IF(J1034&lt;=$F$42,L1034,"")</f>
        <v/>
      </c>
      <c r="R1034" s="54" t="str">
        <f t="shared" ref="R1034:R1097" si="136">IF(AND(J1034&gt;=$F$42,J1034&lt;=200),J1034,"")</f>
        <v/>
      </c>
      <c r="S1034" s="53" t="str">
        <f t="shared" ref="S1034:S1097" si="137">IF(AND(J1034&gt;=$F$42,J1034&lt;=200),L1034,"")</f>
        <v/>
      </c>
    </row>
    <row r="1035" spans="10:19" x14ac:dyDescent="0.15">
      <c r="J1035" s="38">
        <v>1026</v>
      </c>
      <c r="K1035" s="40"/>
      <c r="L1035" s="34">
        <f t="shared" si="131"/>
        <v>8.6940761778988988E-4</v>
      </c>
      <c r="M1035" s="35">
        <f t="shared" si="132"/>
        <v>4.2942987145951157E-8</v>
      </c>
      <c r="N1035" s="44">
        <f t="shared" si="130"/>
        <v>1.6604165773785031E-6</v>
      </c>
      <c r="O1035" s="45" t="e">
        <f t="shared" si="133"/>
        <v>#VALUE!</v>
      </c>
      <c r="P1035" s="52" t="str">
        <f t="shared" si="134"/>
        <v/>
      </c>
      <c r="Q1035" s="53" t="str">
        <f t="shared" si="135"/>
        <v/>
      </c>
      <c r="R1035" s="54" t="str">
        <f t="shared" si="136"/>
        <v/>
      </c>
      <c r="S1035" s="53" t="str">
        <f t="shared" si="137"/>
        <v/>
      </c>
    </row>
    <row r="1036" spans="10:19" x14ac:dyDescent="0.15">
      <c r="J1036" s="38">
        <v>1027</v>
      </c>
      <c r="K1036" s="40"/>
      <c r="L1036" s="34">
        <f t="shared" si="131"/>
        <v>8.6945035795563531E-4</v>
      </c>
      <c r="M1036" s="35">
        <f t="shared" si="132"/>
        <v>4.2537517154105047E-8</v>
      </c>
      <c r="N1036" s="44">
        <f t="shared" si="130"/>
        <v>1.6413692274832572E-6</v>
      </c>
      <c r="O1036" s="45" t="e">
        <f t="shared" si="133"/>
        <v>#VALUE!</v>
      </c>
      <c r="P1036" s="52" t="str">
        <f t="shared" si="134"/>
        <v/>
      </c>
      <c r="Q1036" s="53" t="str">
        <f t="shared" si="135"/>
        <v/>
      </c>
      <c r="R1036" s="54" t="str">
        <f t="shared" si="136"/>
        <v/>
      </c>
      <c r="S1036" s="53" t="str">
        <f t="shared" si="137"/>
        <v/>
      </c>
    </row>
    <row r="1037" spans="10:19" x14ac:dyDescent="0.15">
      <c r="J1037" s="38">
        <v>1028</v>
      </c>
      <c r="K1037" s="40"/>
      <c r="L1037" s="34">
        <f t="shared" si="131"/>
        <v>8.6949269316922734E-4</v>
      </c>
      <c r="M1037" s="35">
        <f t="shared" si="132"/>
        <v>4.2133082251076273E-8</v>
      </c>
      <c r="N1037" s="44">
        <f t="shared" si="130"/>
        <v>1.6223695166305702E-6</v>
      </c>
      <c r="O1037" s="45" t="e">
        <f t="shared" si="133"/>
        <v>#VALUE!</v>
      </c>
      <c r="P1037" s="52" t="str">
        <f t="shared" si="134"/>
        <v/>
      </c>
      <c r="Q1037" s="53" t="str">
        <f t="shared" si="135"/>
        <v/>
      </c>
      <c r="R1037" s="54" t="str">
        <f t="shared" si="136"/>
        <v/>
      </c>
      <c r="S1037" s="53" t="str">
        <f t="shared" si="137"/>
        <v/>
      </c>
    </row>
    <row r="1038" spans="10:19" x14ac:dyDescent="0.15">
      <c r="J1038" s="38">
        <v>1029</v>
      </c>
      <c r="K1038" s="40"/>
      <c r="L1038" s="34">
        <f t="shared" si="131"/>
        <v>8.6953462446399347E-4</v>
      </c>
      <c r="M1038" s="35">
        <f t="shared" si="132"/>
        <v>4.1729678916677042E-8</v>
      </c>
      <c r="N1038" s="44">
        <f t="shared" si="130"/>
        <v>1.6034172860649462E-6</v>
      </c>
      <c r="O1038" s="45" t="e">
        <f t="shared" si="133"/>
        <v>#VALUE!</v>
      </c>
      <c r="P1038" s="52" t="str">
        <f t="shared" si="134"/>
        <v/>
      </c>
      <c r="Q1038" s="53" t="str">
        <f t="shared" si="135"/>
        <v/>
      </c>
      <c r="R1038" s="54" t="str">
        <f t="shared" si="136"/>
        <v/>
      </c>
      <c r="S1038" s="53" t="str">
        <f t="shared" si="137"/>
        <v/>
      </c>
    </row>
    <row r="1039" spans="10:19" x14ac:dyDescent="0.15">
      <c r="J1039" s="38">
        <v>1030</v>
      </c>
      <c r="K1039" s="40"/>
      <c r="L1039" s="34">
        <f t="shared" si="131"/>
        <v>8.6957615286974827E-4</v>
      </c>
      <c r="M1039" s="35">
        <f t="shared" si="132"/>
        <v>4.1327303645671468E-8</v>
      </c>
      <c r="N1039" s="44">
        <f t="shared" si="130"/>
        <v>1.584512377690952E-6</v>
      </c>
      <c r="O1039" s="45" t="e">
        <f t="shared" si="133"/>
        <v>#VALUE!</v>
      </c>
      <c r="P1039" s="52" t="str">
        <f t="shared" si="134"/>
        <v/>
      </c>
      <c r="Q1039" s="53" t="str">
        <f t="shared" si="135"/>
        <v/>
      </c>
      <c r="R1039" s="54" t="str">
        <f t="shared" si="136"/>
        <v/>
      </c>
      <c r="S1039" s="53" t="str">
        <f t="shared" si="137"/>
        <v/>
      </c>
    </row>
    <row r="1040" spans="10:19" x14ac:dyDescent="0.15">
      <c r="J1040" s="38">
        <v>1031</v>
      </c>
      <c r="K1040" s="40"/>
      <c r="L1040" s="34">
        <f t="shared" si="131"/>
        <v>8.6961727941280891E-4</v>
      </c>
      <c r="M1040" s="35">
        <f t="shared" si="132"/>
        <v>4.0925952947699402E-8</v>
      </c>
      <c r="N1040" s="44">
        <f t="shared" si="130"/>
        <v>1.5656546340700721E-6</v>
      </c>
      <c r="O1040" s="45" t="e">
        <f t="shared" si="133"/>
        <v>#VALUE!</v>
      </c>
      <c r="P1040" s="52" t="str">
        <f t="shared" si="134"/>
        <v/>
      </c>
      <c r="Q1040" s="53" t="str">
        <f t="shared" si="135"/>
        <v/>
      </c>
      <c r="R1040" s="54" t="str">
        <f t="shared" si="136"/>
        <v/>
      </c>
      <c r="S1040" s="53" t="str">
        <f t="shared" si="137"/>
        <v/>
      </c>
    </row>
    <row r="1041" spans="10:19" x14ac:dyDescent="0.15">
      <c r="J1041" s="38">
        <v>1032</v>
      </c>
      <c r="K1041" s="40"/>
      <c r="L1041" s="34">
        <f t="shared" si="131"/>
        <v>8.6965800511600944E-4</v>
      </c>
      <c r="M1041" s="35">
        <f t="shared" si="132"/>
        <v>4.0525623347200655E-8</v>
      </c>
      <c r="N1041" s="44">
        <f t="shared" si="130"/>
        <v>1.5468438984192999E-6</v>
      </c>
      <c r="O1041" s="45" t="e">
        <f t="shared" si="133"/>
        <v>#VALUE!</v>
      </c>
      <c r="P1041" s="52" t="str">
        <f t="shared" si="134"/>
        <v/>
      </c>
      <c r="Q1041" s="53" t="str">
        <f t="shared" si="135"/>
        <v/>
      </c>
      <c r="R1041" s="54" t="str">
        <f t="shared" si="136"/>
        <v/>
      </c>
      <c r="S1041" s="53" t="str">
        <f t="shared" si="137"/>
        <v/>
      </c>
    </row>
    <row r="1042" spans="10:19" x14ac:dyDescent="0.15">
      <c r="J1042" s="38">
        <v>1033</v>
      </c>
      <c r="K1042" s="40"/>
      <c r="L1042" s="34">
        <f t="shared" si="131"/>
        <v>8.6969833099871576E-4</v>
      </c>
      <c r="M1042" s="35">
        <f t="shared" si="132"/>
        <v>4.0126311383339876E-8</v>
      </c>
      <c r="N1042" s="44">
        <f t="shared" si="130"/>
        <v>1.5280800146054993E-6</v>
      </c>
      <c r="O1042" s="45" t="e">
        <f t="shared" si="133"/>
        <v>#VALUE!</v>
      </c>
      <c r="P1042" s="52" t="str">
        <f t="shared" si="134"/>
        <v/>
      </c>
      <c r="Q1042" s="53" t="str">
        <f t="shared" si="135"/>
        <v/>
      </c>
      <c r="R1042" s="54" t="str">
        <f t="shared" si="136"/>
        <v/>
      </c>
      <c r="S1042" s="53" t="str">
        <f t="shared" si="137"/>
        <v/>
      </c>
    </row>
    <row r="1043" spans="10:19" x14ac:dyDescent="0.15">
      <c r="J1043" s="38">
        <v>1034</v>
      </c>
      <c r="K1043" s="40"/>
      <c r="L1043" s="34">
        <f t="shared" si="131"/>
        <v>8.6973825807683941E-4</v>
      </c>
      <c r="M1043" s="35">
        <f t="shared" si="132"/>
        <v>3.9728013609931568E-8</v>
      </c>
      <c r="N1043" s="44">
        <f t="shared" si="130"/>
        <v>1.5093628271450801E-6</v>
      </c>
      <c r="O1043" s="45" t="e">
        <f t="shared" si="133"/>
        <v>#VALUE!</v>
      </c>
      <c r="P1043" s="52" t="str">
        <f t="shared" si="134"/>
        <v/>
      </c>
      <c r="Q1043" s="53" t="str">
        <f t="shared" si="135"/>
        <v/>
      </c>
      <c r="R1043" s="54" t="str">
        <f t="shared" si="136"/>
        <v/>
      </c>
      <c r="S1043" s="53" t="str">
        <f t="shared" si="137"/>
        <v/>
      </c>
    </row>
    <row r="1044" spans="10:19" x14ac:dyDescent="0.15">
      <c r="J1044" s="38">
        <v>1035</v>
      </c>
      <c r="K1044" s="40"/>
      <c r="L1044" s="34">
        <f t="shared" si="131"/>
        <v>8.6977778736285478E-4</v>
      </c>
      <c r="M1044" s="35">
        <f t="shared" si="132"/>
        <v>3.9330726595366034E-8</v>
      </c>
      <c r="N1044" s="44">
        <f t="shared" si="130"/>
        <v>1.4906921811965162E-6</v>
      </c>
      <c r="O1044" s="45" t="e">
        <f t="shared" si="133"/>
        <v>#VALUE!</v>
      </c>
      <c r="P1044" s="52" t="str">
        <f t="shared" si="134"/>
        <v/>
      </c>
      <c r="Q1044" s="53" t="str">
        <f t="shared" si="135"/>
        <v/>
      </c>
      <c r="R1044" s="54" t="str">
        <f t="shared" si="136"/>
        <v/>
      </c>
      <c r="S1044" s="53" t="str">
        <f t="shared" si="137"/>
        <v/>
      </c>
    </row>
    <row r="1045" spans="10:19" x14ac:dyDescent="0.15">
      <c r="J1045" s="38">
        <v>1036</v>
      </c>
      <c r="K1045" s="40"/>
      <c r="L1045" s="34">
        <f t="shared" si="131"/>
        <v>8.698169198658104E-4</v>
      </c>
      <c r="M1045" s="35">
        <f t="shared" si="132"/>
        <v>3.8934446922535101E-8</v>
      </c>
      <c r="N1045" s="44">
        <f t="shared" si="130"/>
        <v>1.4720679225614305E-6</v>
      </c>
      <c r="O1045" s="45" t="e">
        <f t="shared" si="133"/>
        <v>#VALUE!</v>
      </c>
      <c r="P1045" s="52" t="str">
        <f t="shared" si="134"/>
        <v/>
      </c>
      <c r="Q1045" s="53" t="str">
        <f t="shared" si="135"/>
        <v/>
      </c>
      <c r="R1045" s="54" t="str">
        <f t="shared" si="136"/>
        <v/>
      </c>
      <c r="S1045" s="53" t="str">
        <f t="shared" si="137"/>
        <v/>
      </c>
    </row>
    <row r="1046" spans="10:19" x14ac:dyDescent="0.15">
      <c r="J1046" s="38">
        <v>1037</v>
      </c>
      <c r="K1046" s="40"/>
      <c r="L1046" s="34">
        <f t="shared" si="131"/>
        <v>8.6985565659134607E-4</v>
      </c>
      <c r="M1046" s="35">
        <f t="shared" si="132"/>
        <v>3.853917118875894E-8</v>
      </c>
      <c r="N1046" s="44">
        <f t="shared" si="130"/>
        <v>1.4534898976788484E-6</v>
      </c>
      <c r="O1046" s="45" t="e">
        <f t="shared" si="133"/>
        <v>#VALUE!</v>
      </c>
      <c r="P1046" s="52" t="str">
        <f t="shared" si="134"/>
        <v/>
      </c>
      <c r="Q1046" s="53" t="str">
        <f t="shared" si="135"/>
        <v/>
      </c>
      <c r="R1046" s="54" t="str">
        <f t="shared" si="136"/>
        <v/>
      </c>
      <c r="S1046" s="53" t="str">
        <f t="shared" si="137"/>
        <v/>
      </c>
    </row>
    <row r="1047" spans="10:19" x14ac:dyDescent="0.15">
      <c r="J1047" s="38">
        <v>1038</v>
      </c>
      <c r="K1047" s="40"/>
      <c r="L1047" s="34">
        <f t="shared" si="131"/>
        <v>8.69893998541705E-4</v>
      </c>
      <c r="M1047" s="35">
        <f t="shared" si="132"/>
        <v>3.8144896005712868E-8</v>
      </c>
      <c r="N1047" s="44">
        <f t="shared" si="130"/>
        <v>1.4349579536233545E-6</v>
      </c>
      <c r="O1047" s="45" t="e">
        <f t="shared" si="133"/>
        <v>#VALUE!</v>
      </c>
      <c r="P1047" s="52" t="str">
        <f t="shared" si="134"/>
        <v/>
      </c>
      <c r="Q1047" s="53" t="str">
        <f t="shared" si="135"/>
        <v/>
      </c>
      <c r="R1047" s="54" t="str">
        <f t="shared" si="136"/>
        <v/>
      </c>
      <c r="S1047" s="53" t="str">
        <f t="shared" si="137"/>
        <v/>
      </c>
    </row>
    <row r="1048" spans="10:19" x14ac:dyDescent="0.15">
      <c r="J1048" s="38">
        <v>1039</v>
      </c>
      <c r="K1048" s="40"/>
      <c r="L1048" s="34">
        <f t="shared" si="131"/>
        <v>8.6993194671574942E-4</v>
      </c>
      <c r="M1048" s="35">
        <f t="shared" si="132"/>
        <v>3.7751617999354723E-8</v>
      </c>
      <c r="N1048" s="44">
        <f t="shared" si="130"/>
        <v>1.4164719381015147E-6</v>
      </c>
      <c r="O1048" s="45" t="e">
        <f t="shared" si="133"/>
        <v>#VALUE!</v>
      </c>
      <c r="P1048" s="52" t="str">
        <f t="shared" si="134"/>
        <v/>
      </c>
      <c r="Q1048" s="53" t="str">
        <f t="shared" si="135"/>
        <v/>
      </c>
      <c r="R1048" s="54" t="str">
        <f t="shared" si="136"/>
        <v/>
      </c>
      <c r="S1048" s="53" t="str">
        <f t="shared" si="137"/>
        <v/>
      </c>
    </row>
    <row r="1049" spans="10:19" x14ac:dyDescent="0.15">
      <c r="J1049" s="38">
        <v>1040</v>
      </c>
      <c r="K1049" s="40"/>
      <c r="L1049" s="34">
        <f t="shared" si="131"/>
        <v>8.6996950210897555E-4</v>
      </c>
      <c r="M1049" s="35">
        <f t="shared" si="132"/>
        <v>3.7359333809852781E-8</v>
      </c>
      <c r="N1049" s="44">
        <f t="shared" si="130"/>
        <v>1.3980316994473231E-6</v>
      </c>
      <c r="O1049" s="45" t="e">
        <f t="shared" si="133"/>
        <v>#VALUE!</v>
      </c>
      <c r="P1049" s="52" t="str">
        <f t="shared" si="134"/>
        <v/>
      </c>
      <c r="Q1049" s="53" t="str">
        <f t="shared" si="135"/>
        <v/>
      </c>
      <c r="R1049" s="54" t="str">
        <f t="shared" si="136"/>
        <v/>
      </c>
      <c r="S1049" s="53" t="str">
        <f t="shared" si="137"/>
        <v/>
      </c>
    </row>
    <row r="1050" spans="10:19" x14ac:dyDescent="0.15">
      <c r="J1050" s="38">
        <v>1041</v>
      </c>
      <c r="K1050" s="40"/>
      <c r="L1050" s="34">
        <f t="shared" si="131"/>
        <v>8.7000666571352596E-4</v>
      </c>
      <c r="M1050" s="35">
        <f t="shared" si="132"/>
        <v>3.6968040091514039E-8</v>
      </c>
      <c r="N1050" s="44">
        <f t="shared" si="130"/>
        <v>1.3796370866213338E-6</v>
      </c>
      <c r="O1050" s="45" t="e">
        <f t="shared" si="133"/>
        <v>#VALUE!</v>
      </c>
      <c r="P1050" s="52" t="str">
        <f t="shared" si="134"/>
        <v/>
      </c>
      <c r="Q1050" s="53" t="str">
        <f t="shared" si="135"/>
        <v/>
      </c>
      <c r="R1050" s="54" t="str">
        <f t="shared" si="136"/>
        <v/>
      </c>
      <c r="S1050" s="53" t="str">
        <f t="shared" si="137"/>
        <v/>
      </c>
    </row>
    <row r="1051" spans="10:19" x14ac:dyDescent="0.15">
      <c r="J1051" s="38">
        <v>1042</v>
      </c>
      <c r="K1051" s="40"/>
      <c r="L1051" s="34">
        <f t="shared" si="131"/>
        <v>8.7004343851820507E-4</v>
      </c>
      <c r="M1051" s="35">
        <f t="shared" si="132"/>
        <v>3.6577733512712606E-8</v>
      </c>
      <c r="N1051" s="44">
        <f t="shared" si="130"/>
        <v>1.3612879492067584E-6</v>
      </c>
      <c r="O1051" s="45" t="e">
        <f t="shared" si="133"/>
        <v>#VALUE!</v>
      </c>
      <c r="P1051" s="52" t="str">
        <f t="shared" si="134"/>
        <v/>
      </c>
      <c r="Q1051" s="53" t="str">
        <f t="shared" si="135"/>
        <v/>
      </c>
      <c r="R1051" s="54" t="str">
        <f t="shared" si="136"/>
        <v/>
      </c>
      <c r="S1051" s="53" t="str">
        <f t="shared" si="137"/>
        <v/>
      </c>
    </row>
    <row r="1052" spans="10:19" x14ac:dyDescent="0.15">
      <c r="J1052" s="38">
        <v>1043</v>
      </c>
      <c r="K1052" s="40"/>
      <c r="L1052" s="34">
        <f t="shared" si="131"/>
        <v>8.7007982150849215E-4</v>
      </c>
      <c r="M1052" s="35">
        <f t="shared" si="132"/>
        <v>3.618841075581909E-8</v>
      </c>
      <c r="N1052" s="44">
        <f t="shared" si="130"/>
        <v>1.3429841374059965E-6</v>
      </c>
      <c r="O1052" s="45" t="e">
        <f t="shared" si="133"/>
        <v>#VALUE!</v>
      </c>
      <c r="P1052" s="52" t="str">
        <f t="shared" si="134"/>
        <v/>
      </c>
      <c r="Q1052" s="53" t="str">
        <f t="shared" si="135"/>
        <v/>
      </c>
      <c r="R1052" s="54" t="str">
        <f t="shared" si="136"/>
        <v/>
      </c>
      <c r="S1052" s="53" t="str">
        <f t="shared" si="137"/>
        <v/>
      </c>
    </row>
    <row r="1053" spans="10:19" x14ac:dyDescent="0.15">
      <c r="J1053" s="38">
        <v>1044</v>
      </c>
      <c r="K1053" s="40"/>
      <c r="L1053" s="34">
        <f t="shared" si="131"/>
        <v>8.7011581566655608E-4</v>
      </c>
      <c r="M1053" s="35">
        <f t="shared" si="132"/>
        <v>3.5800068517129878E-8</v>
      </c>
      <c r="N1053" s="44">
        <f t="shared" si="130"/>
        <v>1.3247255020381416E-6</v>
      </c>
      <c r="O1053" s="45" t="e">
        <f t="shared" si="133"/>
        <v>#VALUE!</v>
      </c>
      <c r="P1053" s="52" t="str">
        <f t="shared" si="134"/>
        <v/>
      </c>
      <c r="Q1053" s="53" t="str">
        <f t="shared" si="135"/>
        <v/>
      </c>
      <c r="R1053" s="54" t="str">
        <f t="shared" si="136"/>
        <v/>
      </c>
      <c r="S1053" s="53" t="str">
        <f t="shared" si="137"/>
        <v/>
      </c>
    </row>
    <row r="1054" spans="10:19" x14ac:dyDescent="0.15">
      <c r="J1054" s="38">
        <v>1045</v>
      </c>
      <c r="K1054" s="40"/>
      <c r="L1054" s="34">
        <f t="shared" si="131"/>
        <v>8.7015142197126891E-4</v>
      </c>
      <c r="M1054" s="35">
        <f t="shared" si="132"/>
        <v>3.5412703506797218E-8</v>
      </c>
      <c r="N1054" s="44">
        <f t="shared" si="130"/>
        <v>1.3065118945348618E-6</v>
      </c>
      <c r="O1054" s="45" t="e">
        <f t="shared" si="133"/>
        <v>#VALUE!</v>
      </c>
      <c r="P1054" s="52" t="str">
        <f t="shared" si="134"/>
        <v/>
      </c>
      <c r="Q1054" s="53" t="str">
        <f t="shared" si="135"/>
        <v/>
      </c>
      <c r="R1054" s="54" t="str">
        <f t="shared" si="136"/>
        <v/>
      </c>
      <c r="S1054" s="53" t="str">
        <f t="shared" si="137"/>
        <v/>
      </c>
    </row>
    <row r="1055" spans="10:19" x14ac:dyDescent="0.15">
      <c r="J1055" s="38">
        <v>1046</v>
      </c>
      <c r="K1055" s="40"/>
      <c r="L1055" s="34">
        <f t="shared" si="131"/>
        <v>8.7018664139822002E-4</v>
      </c>
      <c r="M1055" s="35">
        <f t="shared" si="132"/>
        <v>3.5026312448759457E-8</v>
      </c>
      <c r="N1055" s="44">
        <f t="shared" si="130"/>
        <v>1.2883431669387727E-6</v>
      </c>
      <c r="O1055" s="45" t="e">
        <f t="shared" si="133"/>
        <v>#VALUE!</v>
      </c>
      <c r="P1055" s="52" t="str">
        <f t="shared" si="134"/>
        <v/>
      </c>
      <c r="Q1055" s="53" t="str">
        <f t="shared" si="135"/>
        <v/>
      </c>
      <c r="R1055" s="54" t="str">
        <f t="shared" si="136"/>
        <v/>
      </c>
      <c r="S1055" s="53" t="str">
        <f t="shared" si="137"/>
        <v/>
      </c>
    </row>
    <row r="1056" spans="10:19" x14ac:dyDescent="0.15">
      <c r="J1056" s="38">
        <v>1047</v>
      </c>
      <c r="K1056" s="40"/>
      <c r="L1056" s="34">
        <f t="shared" si="131"/>
        <v>8.7022147491972964E-4</v>
      </c>
      <c r="M1056" s="35">
        <f t="shared" si="132"/>
        <v>3.4640892080671793E-8</v>
      </c>
      <c r="N1056" s="44">
        <f t="shared" si="130"/>
        <v>1.2702191718994265E-6</v>
      </c>
      <c r="O1056" s="45" t="e">
        <f t="shared" si="133"/>
        <v>#VALUE!</v>
      </c>
      <c r="P1056" s="52" t="str">
        <f t="shared" si="134"/>
        <v/>
      </c>
      <c r="Q1056" s="53" t="str">
        <f t="shared" si="135"/>
        <v/>
      </c>
      <c r="R1056" s="54" t="str">
        <f t="shared" si="136"/>
        <v/>
      </c>
      <c r="S1056" s="53" t="str">
        <f t="shared" si="137"/>
        <v/>
      </c>
    </row>
    <row r="1057" spans="10:19" x14ac:dyDescent="0.15">
      <c r="J1057" s="38">
        <v>1048</v>
      </c>
      <c r="K1057" s="40"/>
      <c r="L1057" s="34">
        <f t="shared" si="131"/>
        <v>8.7025592350486189E-4</v>
      </c>
      <c r="M1057" s="35">
        <f t="shared" si="132"/>
        <v>3.4256439153837386E-8</v>
      </c>
      <c r="N1057" s="44">
        <f t="shared" si="130"/>
        <v>1.252139762671035E-6</v>
      </c>
      <c r="O1057" s="45" t="e">
        <f t="shared" si="133"/>
        <v>#VALUE!</v>
      </c>
      <c r="P1057" s="52" t="str">
        <f t="shared" si="134"/>
        <v/>
      </c>
      <c r="Q1057" s="53" t="str">
        <f t="shared" si="135"/>
        <v/>
      </c>
      <c r="R1057" s="54" t="str">
        <f t="shared" si="136"/>
        <v/>
      </c>
      <c r="S1057" s="53" t="str">
        <f t="shared" si="137"/>
        <v/>
      </c>
    </row>
    <row r="1058" spans="10:19" x14ac:dyDescent="0.15">
      <c r="J1058" s="38">
        <v>1049</v>
      </c>
      <c r="K1058" s="40"/>
      <c r="L1058" s="34">
        <f t="shared" si="131"/>
        <v>8.7028998811943914E-4</v>
      </c>
      <c r="M1058" s="35">
        <f t="shared" si="132"/>
        <v>3.3872950433138912E-8</v>
      </c>
      <c r="N1058" s="44">
        <f t="shared" si="130"/>
        <v>1.2341047931094338E-6</v>
      </c>
      <c r="O1058" s="45" t="e">
        <f t="shared" si="133"/>
        <v>#VALUE!</v>
      </c>
      <c r="P1058" s="52" t="str">
        <f t="shared" si="134"/>
        <v/>
      </c>
      <c r="Q1058" s="53" t="str">
        <f t="shared" si="135"/>
        <v/>
      </c>
      <c r="R1058" s="54" t="str">
        <f t="shared" si="136"/>
        <v/>
      </c>
      <c r="S1058" s="53" t="str">
        <f t="shared" si="137"/>
        <v/>
      </c>
    </row>
    <row r="1059" spans="10:19" x14ac:dyDescent="0.15">
      <c r="J1059" s="38">
        <v>1050</v>
      </c>
      <c r="K1059" s="40"/>
      <c r="L1059" s="34">
        <f t="shared" si="131"/>
        <v>8.7032366972605618E-4</v>
      </c>
      <c r="M1059" s="35">
        <f t="shared" si="132"/>
        <v>3.3490422696970519E-8</v>
      </c>
      <c r="N1059" s="44">
        <f t="shared" si="130"/>
        <v>1.2161141176672031E-6</v>
      </c>
      <c r="O1059" s="45" t="e">
        <f t="shared" si="133"/>
        <v>#VALUE!</v>
      </c>
      <c r="P1059" s="52" t="str">
        <f t="shared" si="134"/>
        <v/>
      </c>
      <c r="Q1059" s="53" t="str">
        <f t="shared" si="135"/>
        <v/>
      </c>
      <c r="R1059" s="54" t="str">
        <f t="shared" si="136"/>
        <v/>
      </c>
      <c r="S1059" s="53" t="str">
        <f t="shared" si="137"/>
        <v/>
      </c>
    </row>
    <row r="1060" spans="10:19" x14ac:dyDescent="0.15">
      <c r="J1060" s="38">
        <v>1051</v>
      </c>
      <c r="K1060" s="40"/>
      <c r="L1060" s="34">
        <f t="shared" si="131"/>
        <v>8.7035696928409176E-4</v>
      </c>
      <c r="M1060" s="35">
        <f t="shared" si="132"/>
        <v>3.3108852737170228E-8</v>
      </c>
      <c r="N1060" s="44">
        <f t="shared" si="130"/>
        <v>1.1981675913947526E-6</v>
      </c>
      <c r="O1060" s="45" t="e">
        <f t="shared" si="133"/>
        <v>#VALUE!</v>
      </c>
      <c r="P1060" s="52" t="str">
        <f t="shared" si="134"/>
        <v/>
      </c>
      <c r="Q1060" s="53" t="str">
        <f t="shared" si="135"/>
        <v/>
      </c>
      <c r="R1060" s="54" t="str">
        <f t="shared" si="136"/>
        <v/>
      </c>
      <c r="S1060" s="53" t="str">
        <f t="shared" si="137"/>
        <v/>
      </c>
    </row>
    <row r="1061" spans="10:19" x14ac:dyDescent="0.15">
      <c r="J1061" s="38">
        <v>1052</v>
      </c>
      <c r="K1061" s="40"/>
      <c r="L1061" s="34">
        <f t="shared" si="131"/>
        <v>8.7038988774972416E-4</v>
      </c>
      <c r="M1061" s="35">
        <f t="shared" si="132"/>
        <v>3.2728237358952485E-8</v>
      </c>
      <c r="N1061" s="44">
        <f t="shared" si="130"/>
        <v>1.1802650699332734E-6</v>
      </c>
      <c r="O1061" s="45" t="e">
        <f t="shared" si="133"/>
        <v>#VALUE!</v>
      </c>
      <c r="P1061" s="52" t="str">
        <f t="shared" si="134"/>
        <v/>
      </c>
      <c r="Q1061" s="53" t="str">
        <f t="shared" si="135"/>
        <v/>
      </c>
      <c r="R1061" s="54" t="str">
        <f t="shared" si="136"/>
        <v/>
      </c>
      <c r="S1061" s="53" t="str">
        <f t="shared" si="137"/>
        <v/>
      </c>
    </row>
    <row r="1062" spans="10:19" x14ac:dyDescent="0.15">
      <c r="J1062" s="38">
        <v>1053</v>
      </c>
      <c r="K1062" s="40"/>
      <c r="L1062" s="34">
        <f t="shared" si="131"/>
        <v>8.7042242607594301E-4</v>
      </c>
      <c r="M1062" s="35">
        <f t="shared" si="132"/>
        <v>3.2348573380841531E-8</v>
      </c>
      <c r="N1062" s="44">
        <f t="shared" si="130"/>
        <v>1.1624064095144132E-6</v>
      </c>
      <c r="O1062" s="45" t="e">
        <f t="shared" si="133"/>
        <v>#VALUE!</v>
      </c>
      <c r="P1062" s="52" t="str">
        <f t="shared" si="134"/>
        <v/>
      </c>
      <c r="Q1062" s="53" t="str">
        <f t="shared" si="135"/>
        <v/>
      </c>
      <c r="R1062" s="54" t="str">
        <f t="shared" si="136"/>
        <v/>
      </c>
      <c r="S1062" s="53" t="str">
        <f t="shared" si="137"/>
        <v/>
      </c>
    </row>
    <row r="1063" spans="10:19" x14ac:dyDescent="0.15">
      <c r="J1063" s="38">
        <v>1054</v>
      </c>
      <c r="K1063" s="40"/>
      <c r="L1063" s="34">
        <f t="shared" si="131"/>
        <v>8.7045458521256309E-4</v>
      </c>
      <c r="M1063" s="35">
        <f t="shared" si="132"/>
        <v>3.1969857634604693E-8</v>
      </c>
      <c r="N1063" s="44">
        <f t="shared" si="130"/>
        <v>1.1445914669563732E-6</v>
      </c>
      <c r="O1063" s="45" t="e">
        <f t="shared" si="133"/>
        <v>#VALUE!</v>
      </c>
      <c r="P1063" s="52" t="str">
        <f t="shared" si="134"/>
        <v/>
      </c>
      <c r="Q1063" s="53" t="str">
        <f t="shared" si="135"/>
        <v/>
      </c>
      <c r="R1063" s="54" t="str">
        <f t="shared" si="136"/>
        <v/>
      </c>
      <c r="S1063" s="53" t="str">
        <f t="shared" si="137"/>
        <v/>
      </c>
    </row>
    <row r="1064" spans="10:19" x14ac:dyDescent="0.15">
      <c r="J1064" s="38">
        <v>1055</v>
      </c>
      <c r="K1064" s="40"/>
      <c r="L1064" s="34">
        <f t="shared" si="131"/>
        <v>8.7048636610623752E-4</v>
      </c>
      <c r="M1064" s="35">
        <f t="shared" si="132"/>
        <v>3.1592086965186443E-8</v>
      </c>
      <c r="N1064" s="44">
        <f t="shared" si="130"/>
        <v>1.126820099661089E-6</v>
      </c>
      <c r="O1064" s="45" t="e">
        <f t="shared" si="133"/>
        <v>#VALUE!</v>
      </c>
      <c r="P1064" s="52" t="str">
        <f t="shared" si="134"/>
        <v/>
      </c>
      <c r="Q1064" s="53" t="str">
        <f t="shared" si="135"/>
        <v/>
      </c>
      <c r="R1064" s="54" t="str">
        <f t="shared" si="136"/>
        <v/>
      </c>
      <c r="S1064" s="53" t="str">
        <f t="shared" si="137"/>
        <v/>
      </c>
    </row>
    <row r="1065" spans="10:19" x14ac:dyDescent="0.15">
      <c r="J1065" s="38">
        <v>1056</v>
      </c>
      <c r="K1065" s="40"/>
      <c r="L1065" s="34">
        <f t="shared" si="131"/>
        <v>8.7051776970047134E-4</v>
      </c>
      <c r="M1065" s="35">
        <f t="shared" si="132"/>
        <v>3.1215258230642606E-8</v>
      </c>
      <c r="N1065" s="44">
        <f t="shared" si="130"/>
        <v>1.1090921656111948E-6</v>
      </c>
      <c r="O1065" s="45" t="e">
        <f t="shared" si="133"/>
        <v>#VALUE!</v>
      </c>
      <c r="P1065" s="52" t="str">
        <f t="shared" si="134"/>
        <v/>
      </c>
      <c r="Q1065" s="53" t="str">
        <f t="shared" si="135"/>
        <v/>
      </c>
      <c r="R1065" s="54" t="str">
        <f t="shared" si="136"/>
        <v/>
      </c>
      <c r="S1065" s="53" t="str">
        <f t="shared" si="137"/>
        <v/>
      </c>
    </row>
    <row r="1066" spans="10:19" x14ac:dyDescent="0.15">
      <c r="J1066" s="38">
        <v>1057</v>
      </c>
      <c r="K1066" s="40"/>
      <c r="L1066" s="34">
        <f t="shared" si="131"/>
        <v>8.7054879693563409E-4</v>
      </c>
      <c r="M1066" s="35">
        <f t="shared" si="132"/>
        <v>3.0839368302075058E-8</v>
      </c>
      <c r="N1066" s="44">
        <f t="shared" si="130"/>
        <v>1.0914075233676383E-6</v>
      </c>
      <c r="O1066" s="45" t="e">
        <f t="shared" si="133"/>
        <v>#VALUE!</v>
      </c>
      <c r="P1066" s="52" t="str">
        <f t="shared" si="134"/>
        <v/>
      </c>
      <c r="Q1066" s="53" t="str">
        <f t="shared" si="135"/>
        <v/>
      </c>
      <c r="R1066" s="54" t="str">
        <f t="shared" si="136"/>
        <v/>
      </c>
      <c r="S1066" s="53" t="str">
        <f t="shared" si="137"/>
        <v/>
      </c>
    </row>
    <row r="1067" spans="10:19" x14ac:dyDescent="0.15">
      <c r="J1067" s="38">
        <v>1058</v>
      </c>
      <c r="K1067" s="40"/>
      <c r="L1067" s="34">
        <f t="shared" si="131"/>
        <v>8.7057944874897235E-4</v>
      </c>
      <c r="M1067" s="35">
        <f t="shared" si="132"/>
        <v>3.0464414063566825E-8</v>
      </c>
      <c r="N1067" s="44">
        <f t="shared" si="130"/>
        <v>1.0737660320680542E-6</v>
      </c>
      <c r="O1067" s="45" t="e">
        <f t="shared" si="133"/>
        <v>#VALUE!</v>
      </c>
      <c r="P1067" s="52" t="str">
        <f t="shared" si="134"/>
        <v/>
      </c>
      <c r="Q1067" s="53" t="str">
        <f t="shared" si="135"/>
        <v/>
      </c>
      <c r="R1067" s="54" t="str">
        <f t="shared" si="136"/>
        <v/>
      </c>
      <c r="S1067" s="53" t="str">
        <f t="shared" si="137"/>
        <v/>
      </c>
    </row>
    <row r="1068" spans="10:19" x14ac:dyDescent="0.15">
      <c r="J1068" s="38">
        <v>1059</v>
      </c>
      <c r="K1068" s="40"/>
      <c r="L1068" s="34">
        <f t="shared" si="131"/>
        <v>8.7060972607462355E-4</v>
      </c>
      <c r="M1068" s="35">
        <f t="shared" si="132"/>
        <v>3.0090392412117362E-8</v>
      </c>
      <c r="N1068" s="44">
        <f t="shared" si="130"/>
        <v>1.0561675514210184E-6</v>
      </c>
      <c r="O1068" s="45" t="e">
        <f t="shared" si="133"/>
        <v>#VALUE!</v>
      </c>
      <c r="P1068" s="52" t="str">
        <f t="shared" si="134"/>
        <v/>
      </c>
      <c r="Q1068" s="53" t="str">
        <f t="shared" si="135"/>
        <v/>
      </c>
      <c r="R1068" s="54" t="str">
        <f t="shared" si="136"/>
        <v/>
      </c>
      <c r="S1068" s="53" t="str">
        <f t="shared" si="137"/>
        <v/>
      </c>
    </row>
    <row r="1069" spans="10:19" x14ac:dyDescent="0.15">
      <c r="J1069" s="38">
        <v>1060</v>
      </c>
      <c r="K1069" s="40"/>
      <c r="L1069" s="34">
        <f t="shared" si="131"/>
        <v>8.7063962984362852E-4</v>
      </c>
      <c r="M1069" s="35">
        <f t="shared" si="132"/>
        <v>2.9717300257578508E-8</v>
      </c>
      <c r="N1069" s="44">
        <f t="shared" si="130"/>
        <v>1.0386119417050716E-6</v>
      </c>
      <c r="O1069" s="45" t="e">
        <f t="shared" si="133"/>
        <v>#VALUE!</v>
      </c>
      <c r="P1069" s="52" t="str">
        <f t="shared" si="134"/>
        <v/>
      </c>
      <c r="Q1069" s="53" t="str">
        <f t="shared" si="135"/>
        <v/>
      </c>
      <c r="R1069" s="54" t="str">
        <f t="shared" si="136"/>
        <v/>
      </c>
      <c r="S1069" s="53" t="str">
        <f t="shared" si="137"/>
        <v/>
      </c>
    </row>
    <row r="1070" spans="10:19" x14ac:dyDescent="0.15">
      <c r="J1070" s="38">
        <v>1061</v>
      </c>
      <c r="K1070" s="40"/>
      <c r="L1070" s="34">
        <f t="shared" si="131"/>
        <v>8.7066916098394484E-4</v>
      </c>
      <c r="M1070" s="35">
        <f t="shared" si="132"/>
        <v>2.9345134522590594E-8</v>
      </c>
      <c r="N1070" s="44">
        <f t="shared" si="130"/>
        <v>1.0210990637662259E-6</v>
      </c>
      <c r="O1070" s="45" t="e">
        <f t="shared" si="133"/>
        <v>#VALUE!</v>
      </c>
      <c r="P1070" s="52" t="str">
        <f t="shared" si="134"/>
        <v/>
      </c>
      <c r="Q1070" s="53" t="str">
        <f t="shared" si="135"/>
        <v/>
      </c>
      <c r="R1070" s="54" t="str">
        <f t="shared" si="136"/>
        <v/>
      </c>
      <c r="S1070" s="53" t="str">
        <f t="shared" si="137"/>
        <v/>
      </c>
    </row>
    <row r="1071" spans="10:19" x14ac:dyDescent="0.15">
      <c r="J1071" s="38">
        <v>1062</v>
      </c>
      <c r="K1071" s="40"/>
      <c r="L1071" s="34">
        <f t="shared" si="131"/>
        <v>8.7069832042045855E-4</v>
      </c>
      <c r="M1071" s="35">
        <f t="shared" si="132"/>
        <v>2.8973892142519081E-8</v>
      </c>
      <c r="N1071" s="44">
        <f t="shared" si="130"/>
        <v>1.0036287790140619E-6</v>
      </c>
      <c r="O1071" s="45" t="e">
        <f t="shared" si="133"/>
        <v>#VALUE!</v>
      </c>
      <c r="P1071" s="52" t="str">
        <f t="shared" si="134"/>
        <v/>
      </c>
      <c r="Q1071" s="53" t="str">
        <f t="shared" si="135"/>
        <v/>
      </c>
      <c r="R1071" s="54" t="str">
        <f t="shared" si="136"/>
        <v/>
      </c>
      <c r="S1071" s="53" t="str">
        <f t="shared" si="137"/>
        <v/>
      </c>
    </row>
    <row r="1072" spans="10:19" x14ac:dyDescent="0.15">
      <c r="J1072" s="38">
        <v>1063</v>
      </c>
      <c r="K1072" s="40"/>
      <c r="L1072" s="34">
        <f t="shared" si="131"/>
        <v>8.7072710907499758E-4</v>
      </c>
      <c r="M1072" s="35">
        <f t="shared" si="132"/>
        <v>2.8603570065391193E-8</v>
      </c>
      <c r="N1072" s="44">
        <f t="shared" si="130"/>
        <v>9.8620094942086095E-7</v>
      </c>
      <c r="O1072" s="45" t="e">
        <f t="shared" si="133"/>
        <v>#VALUE!</v>
      </c>
      <c r="P1072" s="52" t="str">
        <f t="shared" si="134"/>
        <v/>
      </c>
      <c r="Q1072" s="53" t="str">
        <f t="shared" si="135"/>
        <v/>
      </c>
      <c r="R1072" s="54" t="str">
        <f t="shared" si="136"/>
        <v/>
      </c>
      <c r="S1072" s="53" t="str">
        <f t="shared" si="137"/>
        <v/>
      </c>
    </row>
    <row r="1073" spans="10:19" x14ac:dyDescent="0.15">
      <c r="J1073" s="38">
        <v>1064</v>
      </c>
      <c r="K1073" s="40"/>
      <c r="L1073" s="34">
        <f t="shared" si="131"/>
        <v>8.7075552786634392E-4</v>
      </c>
      <c r="M1073" s="35">
        <f t="shared" si="132"/>
        <v>2.8234165251833516E-8</v>
      </c>
      <c r="N1073" s="44">
        <f t="shared" si="130"/>
        <v>9.6881543751618435E-7</v>
      </c>
      <c r="O1073" s="45" t="e">
        <f t="shared" si="133"/>
        <v>#VALUE!</v>
      </c>
      <c r="P1073" s="52" t="str">
        <f t="shared" si="134"/>
        <v/>
      </c>
      <c r="Q1073" s="53" t="str">
        <f t="shared" si="135"/>
        <v/>
      </c>
      <c r="R1073" s="54" t="str">
        <f t="shared" si="136"/>
        <v/>
      </c>
      <c r="S1073" s="53" t="str">
        <f t="shared" si="137"/>
        <v/>
      </c>
    </row>
    <row r="1074" spans="10:19" x14ac:dyDescent="0.15">
      <c r="J1074" s="38">
        <v>1065</v>
      </c>
      <c r="K1074" s="40"/>
      <c r="L1074" s="34">
        <f t="shared" si="131"/>
        <v>8.7078357771024659E-4</v>
      </c>
      <c r="M1074" s="35">
        <f t="shared" si="132"/>
        <v>2.7865674675009451E-8</v>
      </c>
      <c r="N1074" s="44">
        <f t="shared" si="130"/>
        <v>9.5147210638698177E-7</v>
      </c>
      <c r="O1074" s="45" t="e">
        <f t="shared" si="133"/>
        <v>#VALUE!</v>
      </c>
      <c r="P1074" s="52" t="str">
        <f t="shared" si="134"/>
        <v/>
      </c>
      <c r="Q1074" s="53" t="str">
        <f t="shared" si="135"/>
        <v/>
      </c>
      <c r="R1074" s="54" t="str">
        <f t="shared" si="136"/>
        <v/>
      </c>
      <c r="S1074" s="53" t="str">
        <f t="shared" si="137"/>
        <v/>
      </c>
    </row>
    <row r="1075" spans="10:19" x14ac:dyDescent="0.15">
      <c r="J1075" s="38">
        <v>1066</v>
      </c>
      <c r="K1075" s="40"/>
      <c r="L1075" s="34">
        <f t="shared" si="131"/>
        <v>8.7081125951943435E-4</v>
      </c>
      <c r="M1075" s="35">
        <f t="shared" si="132"/>
        <v>2.7498095320557309E-8</v>
      </c>
      <c r="N1075" s="44">
        <f t="shared" si="130"/>
        <v>9.3417081967206179E-7</v>
      </c>
      <c r="O1075" s="45" t="e">
        <f t="shared" si="133"/>
        <v>#VALUE!</v>
      </c>
      <c r="P1075" s="52" t="str">
        <f t="shared" si="134"/>
        <v/>
      </c>
      <c r="Q1075" s="53" t="str">
        <f t="shared" si="135"/>
        <v/>
      </c>
      <c r="R1075" s="54" t="str">
        <f t="shared" si="136"/>
        <v/>
      </c>
      <c r="S1075" s="53" t="str">
        <f t="shared" si="137"/>
        <v/>
      </c>
    </row>
    <row r="1076" spans="10:19" x14ac:dyDescent="0.15">
      <c r="J1076" s="38">
        <v>1067</v>
      </c>
      <c r="K1076" s="40"/>
      <c r="L1076" s="34">
        <f t="shared" si="131"/>
        <v>8.7083857420362765E-4</v>
      </c>
      <c r="M1076" s="35">
        <f t="shared" si="132"/>
        <v>2.7131424186528579E-8</v>
      </c>
      <c r="N1076" s="44">
        <f t="shared" si="130"/>
        <v>9.1691144156209187E-7</v>
      </c>
      <c r="O1076" s="45" t="e">
        <f t="shared" si="133"/>
        <v>#VALUE!</v>
      </c>
      <c r="P1076" s="52" t="str">
        <f t="shared" si="134"/>
        <v/>
      </c>
      <c r="Q1076" s="53" t="str">
        <f t="shared" si="135"/>
        <v/>
      </c>
      <c r="R1076" s="54" t="str">
        <f t="shared" si="136"/>
        <v/>
      </c>
      <c r="S1076" s="53" t="str">
        <f t="shared" si="137"/>
        <v/>
      </c>
    </row>
    <row r="1077" spans="10:19" x14ac:dyDescent="0.15">
      <c r="J1077" s="38">
        <v>1068</v>
      </c>
      <c r="K1077" s="40"/>
      <c r="L1077" s="34">
        <f t="shared" si="131"/>
        <v>8.7086552266955105E-4</v>
      </c>
      <c r="M1077" s="35">
        <f t="shared" si="132"/>
        <v>2.6765658283326654E-8</v>
      </c>
      <c r="N1077" s="44">
        <f t="shared" si="130"/>
        <v>8.9969383679537E-7</v>
      </c>
      <c r="O1077" s="45" t="e">
        <f t="shared" si="133"/>
        <v>#VALUE!</v>
      </c>
      <c r="P1077" s="52" t="str">
        <f t="shared" si="134"/>
        <v/>
      </c>
      <c r="Q1077" s="53" t="str">
        <f t="shared" si="135"/>
        <v/>
      </c>
      <c r="R1077" s="54" t="str">
        <f t="shared" si="136"/>
        <v/>
      </c>
      <c r="S1077" s="53" t="str">
        <f t="shared" si="137"/>
        <v/>
      </c>
    </row>
    <row r="1078" spans="10:19" x14ac:dyDescent="0.15">
      <c r="J1078" s="38">
        <v>1069</v>
      </c>
      <c r="K1078" s="40"/>
      <c r="L1078" s="34">
        <f t="shared" si="131"/>
        <v>8.7089210582094549E-4</v>
      </c>
      <c r="M1078" s="35">
        <f t="shared" si="132"/>
        <v>2.6400794633645952E-8</v>
      </c>
      <c r="N1078" s="44">
        <f t="shared" si="130"/>
        <v>8.8251787065543943E-7</v>
      </c>
      <c r="O1078" s="45" t="e">
        <f t="shared" si="133"/>
        <v>#VALUE!</v>
      </c>
      <c r="P1078" s="52" t="str">
        <f t="shared" si="134"/>
        <v/>
      </c>
      <c r="Q1078" s="53" t="str">
        <f t="shared" si="135"/>
        <v/>
      </c>
      <c r="R1078" s="54" t="str">
        <f t="shared" si="136"/>
        <v/>
      </c>
      <c r="S1078" s="53" t="str">
        <f t="shared" si="137"/>
        <v/>
      </c>
    </row>
    <row r="1079" spans="10:19" x14ac:dyDescent="0.15">
      <c r="J1079" s="38">
        <v>1070</v>
      </c>
      <c r="K1079" s="40"/>
      <c r="L1079" s="34">
        <f t="shared" si="131"/>
        <v>8.709183245585809E-4</v>
      </c>
      <c r="M1079" s="35">
        <f t="shared" si="132"/>
        <v>2.6036830272411231E-8</v>
      </c>
      <c r="N1079" s="44">
        <f t="shared" si="130"/>
        <v>8.6538340896870347E-7</v>
      </c>
      <c r="O1079" s="45" t="e">
        <f t="shared" si="133"/>
        <v>#VALUE!</v>
      </c>
      <c r="P1079" s="52" t="str">
        <f t="shared" si="134"/>
        <v/>
      </c>
      <c r="Q1079" s="53" t="str">
        <f t="shared" si="135"/>
        <v/>
      </c>
      <c r="R1079" s="54" t="str">
        <f t="shared" si="136"/>
        <v/>
      </c>
      <c r="S1079" s="53" t="str">
        <f t="shared" si="137"/>
        <v/>
      </c>
    </row>
    <row r="1080" spans="10:19" x14ac:dyDescent="0.15">
      <c r="J1080" s="38">
        <v>1071</v>
      </c>
      <c r="K1080" s="40"/>
      <c r="L1080" s="34">
        <f t="shared" si="131"/>
        <v>8.7094417978026849E-4</v>
      </c>
      <c r="M1080" s="35">
        <f t="shared" si="132"/>
        <v>2.5673762246717466E-8</v>
      </c>
      <c r="N1080" s="44">
        <f t="shared" si="130"/>
        <v>8.4829031810106439E-7</v>
      </c>
      <c r="O1080" s="45" t="e">
        <f t="shared" si="133"/>
        <v>#VALUE!</v>
      </c>
      <c r="P1080" s="52" t="str">
        <f t="shared" si="134"/>
        <v/>
      </c>
      <c r="Q1080" s="53" t="str">
        <f t="shared" si="135"/>
        <v/>
      </c>
      <c r="R1080" s="54" t="str">
        <f t="shared" si="136"/>
        <v/>
      </c>
      <c r="S1080" s="53" t="str">
        <f t="shared" si="137"/>
        <v/>
      </c>
    </row>
    <row r="1081" spans="10:19" x14ac:dyDescent="0.15">
      <c r="J1081" s="38">
        <v>1072</v>
      </c>
      <c r="K1081" s="40"/>
      <c r="L1081" s="34">
        <f t="shared" si="131"/>
        <v>8.7096967238087253E-4</v>
      </c>
      <c r="M1081" s="35">
        <f t="shared" si="132"/>
        <v>2.5311587615769864E-8</v>
      </c>
      <c r="N1081" s="44">
        <f t="shared" si="130"/>
        <v>8.3123846495662245E-7</v>
      </c>
      <c r="O1081" s="45" t="e">
        <f t="shared" si="133"/>
        <v>#VALUE!</v>
      </c>
      <c r="P1081" s="52" t="str">
        <f t="shared" si="134"/>
        <v/>
      </c>
      <c r="Q1081" s="53" t="str">
        <f t="shared" si="135"/>
        <v/>
      </c>
      <c r="R1081" s="54" t="str">
        <f t="shared" si="136"/>
        <v/>
      </c>
      <c r="S1081" s="53" t="str">
        <f t="shared" si="137"/>
        <v/>
      </c>
    </row>
    <row r="1082" spans="10:19" x14ac:dyDescent="0.15">
      <c r="J1082" s="38">
        <v>1073</v>
      </c>
      <c r="K1082" s="40"/>
      <c r="L1082" s="34">
        <f t="shared" si="131"/>
        <v>8.7099480325232212E-4</v>
      </c>
      <c r="M1082" s="35">
        <f t="shared" si="132"/>
        <v>2.4950303450824355E-8</v>
      </c>
      <c r="N1082" s="44">
        <f t="shared" si="130"/>
        <v>8.1422771697442324E-7</v>
      </c>
      <c r="O1082" s="45" t="e">
        <f t="shared" si="133"/>
        <v>#VALUE!</v>
      </c>
      <c r="P1082" s="52" t="str">
        <f t="shared" si="134"/>
        <v/>
      </c>
      <c r="Q1082" s="53" t="str">
        <f t="shared" si="135"/>
        <v/>
      </c>
      <c r="R1082" s="54" t="str">
        <f t="shared" si="136"/>
        <v/>
      </c>
      <c r="S1082" s="53" t="str">
        <f t="shared" si="137"/>
        <v/>
      </c>
    </row>
    <row r="1083" spans="10:19" x14ac:dyDescent="0.15">
      <c r="J1083" s="38">
        <v>1074</v>
      </c>
      <c r="K1083" s="40"/>
      <c r="L1083" s="34">
        <f t="shared" si="131"/>
        <v>8.710195732836237E-4</v>
      </c>
      <c r="M1083" s="35">
        <f t="shared" si="132"/>
        <v>2.4589906835128369E-8</v>
      </c>
      <c r="N1083" s="44">
        <f t="shared" si="130"/>
        <v>7.9725794212563879E-7</v>
      </c>
      <c r="O1083" s="45" t="e">
        <f t="shared" si="133"/>
        <v>#VALUE!</v>
      </c>
      <c r="P1083" s="52" t="str">
        <f t="shared" si="134"/>
        <v/>
      </c>
      <c r="Q1083" s="53" t="str">
        <f t="shared" si="135"/>
        <v/>
      </c>
      <c r="R1083" s="54" t="str">
        <f t="shared" si="136"/>
        <v/>
      </c>
      <c r="S1083" s="53" t="str">
        <f t="shared" si="137"/>
        <v/>
      </c>
    </row>
    <row r="1084" spans="10:19" x14ac:dyDescent="0.15">
      <c r="J1084" s="38">
        <v>1075</v>
      </c>
      <c r="K1084" s="40"/>
      <c r="L1084" s="34">
        <f t="shared" si="131"/>
        <v>8.7104398336087358E-4</v>
      </c>
      <c r="M1084" s="35">
        <f t="shared" si="132"/>
        <v>2.4230394863861969E-8</v>
      </c>
      <c r="N1084" s="44">
        <f t="shared" si="130"/>
        <v>7.8032900890998968E-7</v>
      </c>
      <c r="O1084" s="45" t="e">
        <f t="shared" si="133"/>
        <v>#VALUE!</v>
      </c>
      <c r="P1084" s="52" t="str">
        <f t="shared" si="134"/>
        <v/>
      </c>
      <c r="Q1084" s="53" t="str">
        <f t="shared" si="135"/>
        <v/>
      </c>
      <c r="R1084" s="54" t="str">
        <f t="shared" si="136"/>
        <v/>
      </c>
      <c r="S1084" s="53" t="str">
        <f t="shared" si="137"/>
        <v/>
      </c>
    </row>
    <row r="1085" spans="10:19" x14ac:dyDescent="0.15">
      <c r="J1085" s="38">
        <v>1076</v>
      </c>
      <c r="K1085" s="40"/>
      <c r="L1085" s="34">
        <f t="shared" si="131"/>
        <v>8.7106803436726838E-4</v>
      </c>
      <c r="M1085" s="35">
        <f t="shared" si="132"/>
        <v>2.3871764644079325E-8</v>
      </c>
      <c r="N1085" s="44">
        <f t="shared" si="130"/>
        <v>7.6344078635628716E-7</v>
      </c>
      <c r="O1085" s="45" t="e">
        <f t="shared" si="133"/>
        <v>#VALUE!</v>
      </c>
      <c r="P1085" s="52" t="str">
        <f t="shared" si="134"/>
        <v/>
      </c>
      <c r="Q1085" s="53" t="str">
        <f t="shared" si="135"/>
        <v/>
      </c>
      <c r="R1085" s="54" t="str">
        <f t="shared" si="136"/>
        <v/>
      </c>
      <c r="S1085" s="53" t="str">
        <f t="shared" si="137"/>
        <v/>
      </c>
    </row>
    <row r="1086" spans="10:19" x14ac:dyDescent="0.15">
      <c r="J1086" s="38">
        <v>1077</v>
      </c>
      <c r="K1086" s="40"/>
      <c r="L1086" s="34">
        <f t="shared" si="131"/>
        <v>8.7109172718311857E-4</v>
      </c>
      <c r="M1086" s="35">
        <f t="shared" si="132"/>
        <v>2.3514013294650481E-8</v>
      </c>
      <c r="N1086" s="44">
        <f t="shared" si="130"/>
        <v>7.4659314401668685E-7</v>
      </c>
      <c r="O1086" s="45" t="e">
        <f t="shared" si="133"/>
        <v>#VALUE!</v>
      </c>
      <c r="P1086" s="52" t="str">
        <f t="shared" si="134"/>
        <v/>
      </c>
      <c r="Q1086" s="53" t="str">
        <f t="shared" si="135"/>
        <v/>
      </c>
      <c r="R1086" s="54" t="str">
        <f t="shared" si="136"/>
        <v/>
      </c>
      <c r="S1086" s="53" t="str">
        <f t="shared" si="137"/>
        <v/>
      </c>
    </row>
    <row r="1087" spans="10:19" x14ac:dyDescent="0.15">
      <c r="J1087" s="38">
        <v>1078</v>
      </c>
      <c r="K1087" s="40"/>
      <c r="L1087" s="34">
        <f t="shared" si="131"/>
        <v>8.7111506268585791E-4</v>
      </c>
      <c r="M1087" s="35">
        <f t="shared" si="132"/>
        <v>2.3157137946203552E-8</v>
      </c>
      <c r="N1087" s="44">
        <f t="shared" si="130"/>
        <v>7.2978595196647195E-7</v>
      </c>
      <c r="O1087" s="45" t="e">
        <f t="shared" si="133"/>
        <v>#VALUE!</v>
      </c>
      <c r="P1087" s="52" t="str">
        <f t="shared" si="134"/>
        <v/>
      </c>
      <c r="Q1087" s="53" t="str">
        <f t="shared" si="135"/>
        <v/>
      </c>
      <c r="R1087" s="54" t="str">
        <f t="shared" si="136"/>
        <v/>
      </c>
      <c r="S1087" s="53" t="str">
        <f t="shared" si="137"/>
        <v/>
      </c>
    </row>
    <row r="1088" spans="10:19" x14ac:dyDescent="0.15">
      <c r="J1088" s="38">
        <v>1079</v>
      </c>
      <c r="K1088" s="40"/>
      <c r="L1088" s="34">
        <f t="shared" si="131"/>
        <v>8.7113804175005841E-4</v>
      </c>
      <c r="M1088" s="35">
        <f t="shared" si="132"/>
        <v>2.2801135741067193E-8</v>
      </c>
      <c r="N1088" s="44">
        <f t="shared" si="130"/>
        <v>7.1301908079949954E-7</v>
      </c>
      <c r="O1088" s="45" t="e">
        <f t="shared" si="133"/>
        <v>#VALUE!</v>
      </c>
      <c r="P1088" s="52" t="str">
        <f t="shared" si="134"/>
        <v/>
      </c>
      <c r="Q1088" s="53" t="str">
        <f t="shared" si="135"/>
        <v/>
      </c>
      <c r="R1088" s="54" t="str">
        <f t="shared" si="136"/>
        <v/>
      </c>
      <c r="S1088" s="53" t="str">
        <f t="shared" si="137"/>
        <v/>
      </c>
    </row>
    <row r="1089" spans="10:19" x14ac:dyDescent="0.15">
      <c r="J1089" s="38">
        <v>1080</v>
      </c>
      <c r="K1089" s="40"/>
      <c r="L1089" s="34">
        <f t="shared" si="131"/>
        <v>8.7116066524743922E-4</v>
      </c>
      <c r="M1089" s="35">
        <f t="shared" si="132"/>
        <v>2.244600383321325E-8</v>
      </c>
      <c r="N1089" s="44">
        <f t="shared" si="130"/>
        <v>6.9629240162744164E-7</v>
      </c>
      <c r="O1089" s="45" t="e">
        <f t="shared" si="133"/>
        <v>#VALUE!</v>
      </c>
      <c r="P1089" s="52" t="str">
        <f t="shared" si="134"/>
        <v/>
      </c>
      <c r="Q1089" s="53" t="str">
        <f t="shared" si="135"/>
        <v/>
      </c>
      <c r="R1089" s="54" t="str">
        <f t="shared" si="136"/>
        <v/>
      </c>
      <c r="S1089" s="53" t="str">
        <f t="shared" si="137"/>
        <v/>
      </c>
    </row>
    <row r="1090" spans="10:19" x14ac:dyDescent="0.15">
      <c r="J1090" s="38">
        <v>1081</v>
      </c>
      <c r="K1090" s="40"/>
      <c r="L1090" s="34">
        <f t="shared" si="131"/>
        <v>8.7118293404687898E-4</v>
      </c>
      <c r="M1090" s="35">
        <f t="shared" si="132"/>
        <v>2.2091739388200053E-8</v>
      </c>
      <c r="N1090" s="44">
        <f t="shared" si="130"/>
        <v>6.7960578607674949E-7</v>
      </c>
      <c r="O1090" s="45" t="e">
        <f t="shared" si="133"/>
        <v>#VALUE!</v>
      </c>
      <c r="P1090" s="52" t="str">
        <f t="shared" si="134"/>
        <v/>
      </c>
      <c r="Q1090" s="53" t="str">
        <f t="shared" si="135"/>
        <v/>
      </c>
      <c r="R1090" s="54" t="str">
        <f t="shared" si="136"/>
        <v/>
      </c>
      <c r="S1090" s="53" t="str">
        <f t="shared" si="137"/>
        <v/>
      </c>
    </row>
    <row r="1091" spans="10:19" x14ac:dyDescent="0.15">
      <c r="J1091" s="38">
        <v>1082</v>
      </c>
      <c r="K1091" s="40"/>
      <c r="L1091" s="34">
        <f t="shared" si="131"/>
        <v>8.7120484901442874E-4</v>
      </c>
      <c r="M1091" s="35">
        <f t="shared" si="132"/>
        <v>2.1738339583115826E-8</v>
      </c>
      <c r="N1091" s="44">
        <f t="shared" si="130"/>
        <v>6.6295910628518407E-7</v>
      </c>
      <c r="O1091" s="45" t="e">
        <f t="shared" si="133"/>
        <v>#VALUE!</v>
      </c>
      <c r="P1091" s="52" t="str">
        <f t="shared" si="134"/>
        <v/>
      </c>
      <c r="Q1091" s="53" t="str">
        <f t="shared" si="135"/>
        <v/>
      </c>
      <c r="R1091" s="54" t="str">
        <f t="shared" si="136"/>
        <v/>
      </c>
      <c r="S1091" s="53" t="str">
        <f t="shared" si="137"/>
        <v/>
      </c>
    </row>
    <row r="1092" spans="10:19" x14ac:dyDescent="0.15">
      <c r="J1092" s="38">
        <v>1083</v>
      </c>
      <c r="K1092" s="40"/>
      <c r="L1092" s="34">
        <f t="shared" si="131"/>
        <v>8.7122641101332126E-4</v>
      </c>
      <c r="M1092" s="35">
        <f t="shared" si="132"/>
        <v>2.1385801606522326E-8</v>
      </c>
      <c r="N1092" s="44">
        <f t="shared" si="130"/>
        <v>6.4635223490138241E-7</v>
      </c>
      <c r="O1092" s="45" t="e">
        <f t="shared" si="133"/>
        <v>#VALUE!</v>
      </c>
      <c r="P1092" s="52" t="str">
        <f t="shared" si="134"/>
        <v/>
      </c>
      <c r="Q1092" s="53" t="str">
        <f t="shared" si="135"/>
        <v/>
      </c>
      <c r="R1092" s="54" t="str">
        <f t="shared" si="136"/>
        <v/>
      </c>
      <c r="S1092" s="53" t="str">
        <f t="shared" si="137"/>
        <v/>
      </c>
    </row>
    <row r="1093" spans="10:19" x14ac:dyDescent="0.15">
      <c r="J1093" s="38">
        <v>1084</v>
      </c>
      <c r="K1093" s="40"/>
      <c r="L1093" s="34">
        <f t="shared" si="131"/>
        <v>8.7124762090398449E-4</v>
      </c>
      <c r="M1093" s="35">
        <f t="shared" si="132"/>
        <v>2.1034122658399061E-8</v>
      </c>
      <c r="N1093" s="44">
        <f t="shared" si="130"/>
        <v>6.2978504508041239E-7</v>
      </c>
      <c r="O1093" s="45" t="e">
        <f t="shared" si="133"/>
        <v>#VALUE!</v>
      </c>
      <c r="P1093" s="52" t="str">
        <f t="shared" si="134"/>
        <v/>
      </c>
      <c r="Q1093" s="53" t="str">
        <f t="shared" si="135"/>
        <v/>
      </c>
      <c r="R1093" s="54" t="str">
        <f t="shared" si="136"/>
        <v/>
      </c>
      <c r="S1093" s="53" t="str">
        <f t="shared" si="137"/>
        <v/>
      </c>
    </row>
    <row r="1094" spans="10:19" x14ac:dyDescent="0.15">
      <c r="J1094" s="38">
        <v>1085</v>
      </c>
      <c r="K1094" s="40"/>
      <c r="L1094" s="34">
        <f t="shared" si="131"/>
        <v>8.712684795440513E-4</v>
      </c>
      <c r="M1094" s="35">
        <f t="shared" si="132"/>
        <v>2.0683299950087677E-8</v>
      </c>
      <c r="N1094" s="44">
        <f t="shared" si="130"/>
        <v>6.1325741048279692E-7</v>
      </c>
      <c r="O1094" s="45" t="e">
        <f t="shared" si="133"/>
        <v>#VALUE!</v>
      </c>
      <c r="P1094" s="52" t="str">
        <f t="shared" si="134"/>
        <v/>
      </c>
      <c r="Q1094" s="53" t="str">
        <f t="shared" si="135"/>
        <v/>
      </c>
      <c r="R1094" s="54" t="str">
        <f t="shared" si="136"/>
        <v/>
      </c>
      <c r="S1094" s="53" t="str">
        <f t="shared" si="137"/>
        <v/>
      </c>
    </row>
    <row r="1095" spans="10:19" x14ac:dyDescent="0.15">
      <c r="J1095" s="38">
        <v>1086</v>
      </c>
      <c r="K1095" s="40"/>
      <c r="L1095" s="34">
        <f t="shared" si="131"/>
        <v>8.7128898778837183E-4</v>
      </c>
      <c r="M1095" s="35">
        <f t="shared" si="132"/>
        <v>2.0333330704236563E-8</v>
      </c>
      <c r="N1095" s="44">
        <f t="shared" si="130"/>
        <v>5.9676920527136981E-7</v>
      </c>
      <c r="O1095" s="45" t="e">
        <f t="shared" si="133"/>
        <v>#VALUE!</v>
      </c>
      <c r="P1095" s="52" t="str">
        <f t="shared" si="134"/>
        <v/>
      </c>
      <c r="Q1095" s="53" t="str">
        <f t="shared" si="135"/>
        <v/>
      </c>
      <c r="R1095" s="54" t="str">
        <f t="shared" si="136"/>
        <v/>
      </c>
      <c r="S1095" s="53" t="str">
        <f t="shared" si="137"/>
        <v/>
      </c>
    </row>
    <row r="1096" spans="10:19" x14ac:dyDescent="0.15">
      <c r="J1096" s="38">
        <v>1087</v>
      </c>
      <c r="K1096" s="40"/>
      <c r="L1096" s="34">
        <f t="shared" si="131"/>
        <v>8.7130914648902492E-4</v>
      </c>
      <c r="M1096" s="35">
        <f t="shared" si="132"/>
        <v>1.9984212154746097E-8</v>
      </c>
      <c r="N1096" s="44">
        <f t="shared" si="130"/>
        <v>5.8032030410856521E-7</v>
      </c>
      <c r="O1096" s="45" t="e">
        <f t="shared" si="133"/>
        <v>#VALUE!</v>
      </c>
      <c r="P1096" s="52" t="str">
        <f t="shared" si="134"/>
        <v/>
      </c>
      <c r="Q1096" s="53" t="str">
        <f t="shared" si="135"/>
        <v/>
      </c>
      <c r="R1096" s="54" t="str">
        <f t="shared" si="136"/>
        <v/>
      </c>
      <c r="S1096" s="53" t="str">
        <f t="shared" si="137"/>
        <v/>
      </c>
    </row>
    <row r="1097" spans="10:19" x14ac:dyDescent="0.15">
      <c r="J1097" s="38">
        <v>1088</v>
      </c>
      <c r="K1097" s="40"/>
      <c r="L1097" s="34">
        <f t="shared" si="131"/>
        <v>8.7132895649532835E-4</v>
      </c>
      <c r="M1097" s="35">
        <f t="shared" si="132"/>
        <v>1.9635941546713712E-8</v>
      </c>
      <c r="N1097" s="44">
        <f t="shared" ref="N1097:N1160" si="138">(L1147-L1097)</f>
        <v>5.63910582155225E-7</v>
      </c>
      <c r="O1097" s="45" t="e">
        <f t="shared" si="133"/>
        <v>#VALUE!</v>
      </c>
      <c r="P1097" s="52" t="str">
        <f t="shared" si="134"/>
        <v/>
      </c>
      <c r="Q1097" s="53" t="str">
        <f t="shared" si="135"/>
        <v/>
      </c>
      <c r="R1097" s="54" t="str">
        <f t="shared" si="136"/>
        <v/>
      </c>
      <c r="S1097" s="53" t="str">
        <f t="shared" si="137"/>
        <v/>
      </c>
    </row>
    <row r="1098" spans="10:19" x14ac:dyDescent="0.15">
      <c r="J1098" s="38">
        <v>1089</v>
      </c>
      <c r="K1098" s="40"/>
      <c r="L1098" s="34">
        <f t="shared" ref="L1098:L1161" si="139">$F$39*((1-$F$40*J1098)/(1+$F$41*J1098))*(J1098-$F$42)</f>
        <v>8.7134841865385093E-4</v>
      </c>
      <c r="M1098" s="35">
        <f t="shared" ref="M1098:M1161" si="140">$F$39*((1-2*$F$40*J1098-$F$40*$F$41*(J1098^2)+($F$41+$F$40)*$F$42)/(1+$F$41*J1098)^2)</f>
        <v>1.9288516136379811E-8</v>
      </c>
      <c r="N1098" s="44">
        <f t="shared" si="138"/>
        <v>5.4753991506691253E-7</v>
      </c>
      <c r="O1098" s="45" t="e">
        <f t="shared" ref="O1098:O1161" si="141">IF(N1098&lt;=$B$49,1+O1097,0)</f>
        <v>#VALUE!</v>
      </c>
      <c r="P1098" s="52" t="str">
        <f t="shared" ref="P1098:P1161" si="142">IF(J1098&lt;=$F$42,J1098,"")</f>
        <v/>
      </c>
      <c r="Q1098" s="53" t="str">
        <f t="shared" ref="Q1098:Q1161" si="143">IF(J1098&lt;=$F$42,L1098,"")</f>
        <v/>
      </c>
      <c r="R1098" s="54" t="str">
        <f t="shared" ref="R1098:R1161" si="144">IF(AND(J1098&gt;=$F$42,J1098&lt;=200),J1098,"")</f>
        <v/>
      </c>
      <c r="S1098" s="53" t="str">
        <f t="shared" ref="S1098:S1161" si="145">IF(AND(J1098&gt;=$F$42,J1098&lt;=200),L1098,"")</f>
        <v/>
      </c>
    </row>
    <row r="1099" spans="10:19" x14ac:dyDescent="0.15">
      <c r="J1099" s="38">
        <v>1090</v>
      </c>
      <c r="K1099" s="40"/>
      <c r="L1099" s="34">
        <f t="shared" si="139"/>
        <v>8.7136753380842287E-4</v>
      </c>
      <c r="M1099" s="35">
        <f t="shared" si="140"/>
        <v>1.894193319107354E-8</v>
      </c>
      <c r="N1099" s="44">
        <f t="shared" si="138"/>
        <v>5.312081789928284E-7</v>
      </c>
      <c r="O1099" s="45" t="e">
        <f t="shared" si="141"/>
        <v>#VALUE!</v>
      </c>
      <c r="P1099" s="52" t="str">
        <f t="shared" si="142"/>
        <v/>
      </c>
      <c r="Q1099" s="53" t="str">
        <f t="shared" si="143"/>
        <v/>
      </c>
      <c r="R1099" s="54" t="str">
        <f t="shared" si="144"/>
        <v/>
      </c>
      <c r="S1099" s="53" t="str">
        <f t="shared" si="145"/>
        <v/>
      </c>
    </row>
    <row r="1100" spans="10:19" x14ac:dyDescent="0.15">
      <c r="J1100" s="38">
        <v>1091</v>
      </c>
      <c r="K1100" s="40"/>
      <c r="L1100" s="34">
        <f t="shared" si="139"/>
        <v>8.713863028001473E-4</v>
      </c>
      <c r="M1100" s="35">
        <f t="shared" si="140"/>
        <v>1.8596189989159157E-8</v>
      </c>
      <c r="N1100" s="44">
        <f t="shared" si="138"/>
        <v>5.1491525057234099E-7</v>
      </c>
      <c r="O1100" s="45" t="e">
        <f t="shared" si="141"/>
        <v>#VALUE!</v>
      </c>
      <c r="P1100" s="52" t="str">
        <f t="shared" si="142"/>
        <v/>
      </c>
      <c r="Q1100" s="53" t="str">
        <f t="shared" si="143"/>
        <v/>
      </c>
      <c r="R1100" s="54" t="str">
        <f t="shared" si="144"/>
        <v/>
      </c>
      <c r="S1100" s="53" t="str">
        <f t="shared" si="145"/>
        <v/>
      </c>
    </row>
    <row r="1101" spans="10:19" x14ac:dyDescent="0.15">
      <c r="J1101" s="38">
        <v>1092</v>
      </c>
      <c r="K1101" s="40"/>
      <c r="L1101" s="34">
        <f t="shared" si="139"/>
        <v>8.7140472646741183E-4</v>
      </c>
      <c r="M1101" s="35">
        <f t="shared" si="140"/>
        <v>1.8251283819982553E-8</v>
      </c>
      <c r="N1101" s="44">
        <f t="shared" si="138"/>
        <v>4.9866100693292652E-7</v>
      </c>
      <c r="O1101" s="45" t="e">
        <f t="shared" si="141"/>
        <v>#VALUE!</v>
      </c>
      <c r="P1101" s="52" t="str">
        <f t="shared" si="142"/>
        <v/>
      </c>
      <c r="Q1101" s="53" t="str">
        <f t="shared" si="143"/>
        <v/>
      </c>
      <c r="R1101" s="54" t="str">
        <f t="shared" si="144"/>
        <v/>
      </c>
      <c r="S1101" s="53" t="str">
        <f t="shared" si="145"/>
        <v/>
      </c>
    </row>
    <row r="1102" spans="10:19" x14ac:dyDescent="0.15">
      <c r="J1102" s="38">
        <v>1093</v>
      </c>
      <c r="K1102" s="40"/>
      <c r="L1102" s="34">
        <f t="shared" si="139"/>
        <v>8.7142280564589814E-4</v>
      </c>
      <c r="M1102" s="35">
        <f t="shared" si="140"/>
        <v>1.7907211983818141E-8</v>
      </c>
      <c r="N1102" s="44">
        <f t="shared" si="138"/>
        <v>4.8244532568854272E-7</v>
      </c>
      <c r="O1102" s="45" t="e">
        <f t="shared" si="141"/>
        <v>#VALUE!</v>
      </c>
      <c r="P1102" s="52" t="str">
        <f t="shared" si="142"/>
        <v/>
      </c>
      <c r="Q1102" s="53" t="str">
        <f t="shared" si="143"/>
        <v/>
      </c>
      <c r="R1102" s="54" t="str">
        <f t="shared" si="144"/>
        <v/>
      </c>
      <c r="S1102" s="53" t="str">
        <f t="shared" si="145"/>
        <v/>
      </c>
    </row>
    <row r="1103" spans="10:19" x14ac:dyDescent="0.15">
      <c r="J1103" s="38">
        <v>1094</v>
      </c>
      <c r="K1103" s="40"/>
      <c r="L1103" s="34">
        <f t="shared" si="139"/>
        <v>8.7144054116859422E-4</v>
      </c>
      <c r="M1103" s="35">
        <f t="shared" si="140"/>
        <v>1.7563971791815996E-8</v>
      </c>
      <c r="N1103" s="44">
        <f t="shared" si="138"/>
        <v>4.6626808493648465E-7</v>
      </c>
      <c r="O1103" s="45" t="e">
        <f t="shared" si="141"/>
        <v>#VALUE!</v>
      </c>
      <c r="P1103" s="52" t="str">
        <f t="shared" si="142"/>
        <v/>
      </c>
      <c r="Q1103" s="53" t="str">
        <f t="shared" si="143"/>
        <v/>
      </c>
      <c r="R1103" s="54" t="str">
        <f t="shared" si="144"/>
        <v/>
      </c>
      <c r="S1103" s="53" t="str">
        <f t="shared" si="145"/>
        <v/>
      </c>
    </row>
    <row r="1104" spans="10:19" x14ac:dyDescent="0.15">
      <c r="J1104" s="38">
        <v>1095</v>
      </c>
      <c r="K1104" s="40"/>
      <c r="L1104" s="34">
        <f t="shared" si="139"/>
        <v>8.7145793386580377E-4</v>
      </c>
      <c r="M1104" s="35">
        <f t="shared" si="140"/>
        <v>1.7221560565949437E-8</v>
      </c>
      <c r="N1104" s="44">
        <f t="shared" si="138"/>
        <v>4.5012916325575837E-7</v>
      </c>
      <c r="O1104" s="45" t="e">
        <f t="shared" si="141"/>
        <v>#VALUE!</v>
      </c>
      <c r="P1104" s="52" t="str">
        <f t="shared" si="142"/>
        <v/>
      </c>
      <c r="Q1104" s="53" t="str">
        <f t="shared" si="143"/>
        <v/>
      </c>
      <c r="R1104" s="54" t="str">
        <f t="shared" si="144"/>
        <v/>
      </c>
      <c r="S1104" s="53" t="str">
        <f t="shared" si="145"/>
        <v/>
      </c>
    </row>
    <row r="1105" spans="10:19" x14ac:dyDescent="0.15">
      <c r="J1105" s="38">
        <v>1096</v>
      </c>
      <c r="K1105" s="40"/>
      <c r="L1105" s="34">
        <f t="shared" si="139"/>
        <v>8.714749845651588E-4</v>
      </c>
      <c r="M1105" s="35">
        <f t="shared" si="140"/>
        <v>1.6879975638962584E-8</v>
      </c>
      <c r="N1105" s="44">
        <f t="shared" si="138"/>
        <v>4.3402843970361156E-7</v>
      </c>
      <c r="O1105" s="45" t="e">
        <f t="shared" si="141"/>
        <v>#VALUE!</v>
      </c>
      <c r="P1105" s="52" t="str">
        <f t="shared" si="142"/>
        <v/>
      </c>
      <c r="Q1105" s="53" t="str">
        <f t="shared" si="143"/>
        <v/>
      </c>
      <c r="R1105" s="54" t="str">
        <f t="shared" si="144"/>
        <v/>
      </c>
      <c r="S1105" s="53" t="str">
        <f t="shared" si="145"/>
        <v/>
      </c>
    </row>
    <row r="1106" spans="10:19" x14ac:dyDescent="0.15">
      <c r="J1106" s="38">
        <v>1097</v>
      </c>
      <c r="K1106" s="40"/>
      <c r="L1106" s="34">
        <f t="shared" si="139"/>
        <v>8.7149169409162907E-4</v>
      </c>
      <c r="M1106" s="35">
        <f t="shared" si="140"/>
        <v>1.6539214354318612E-8</v>
      </c>
      <c r="N1106" s="44">
        <f t="shared" si="138"/>
        <v>4.1796579381509977E-7</v>
      </c>
      <c r="O1106" s="45" t="e">
        <f t="shared" si="141"/>
        <v>#VALUE!</v>
      </c>
      <c r="P1106" s="52" t="str">
        <f t="shared" si="142"/>
        <v/>
      </c>
      <c r="Q1106" s="53" t="str">
        <f t="shared" si="143"/>
        <v/>
      </c>
      <c r="R1106" s="54" t="str">
        <f t="shared" si="144"/>
        <v/>
      </c>
      <c r="S1106" s="53" t="str">
        <f t="shared" si="145"/>
        <v/>
      </c>
    </row>
    <row r="1107" spans="10:19" x14ac:dyDescent="0.15">
      <c r="J1107" s="38">
        <v>1098</v>
      </c>
      <c r="K1107" s="40"/>
      <c r="L1107" s="34">
        <f t="shared" si="139"/>
        <v>8.7150806326753293E-4</v>
      </c>
      <c r="M1107" s="35">
        <f t="shared" si="140"/>
        <v>1.6199274066148012E-8</v>
      </c>
      <c r="N1107" s="44">
        <f t="shared" si="138"/>
        <v>4.0194110559940016E-7</v>
      </c>
      <c r="O1107" s="45" t="e">
        <f t="shared" si="141"/>
        <v>#VALUE!</v>
      </c>
      <c r="P1107" s="52" t="str">
        <f t="shared" si="142"/>
        <v/>
      </c>
      <c r="Q1107" s="53" t="str">
        <f t="shared" si="143"/>
        <v/>
      </c>
      <c r="R1107" s="54" t="str">
        <f t="shared" si="144"/>
        <v/>
      </c>
      <c r="S1107" s="53" t="str">
        <f t="shared" si="145"/>
        <v/>
      </c>
    </row>
    <row r="1108" spans="10:19" x14ac:dyDescent="0.15">
      <c r="J1108" s="38">
        <v>1099</v>
      </c>
      <c r="K1108" s="40"/>
      <c r="L1108" s="34">
        <f t="shared" si="139"/>
        <v>8.7152409291254857E-4</v>
      </c>
      <c r="M1108" s="35">
        <f t="shared" si="140"/>
        <v>1.5860152139197209E-8</v>
      </c>
      <c r="N1108" s="44">
        <f t="shared" si="138"/>
        <v>3.8595425553829363E-7</v>
      </c>
      <c r="O1108" s="45" t="e">
        <f t="shared" si="141"/>
        <v>#VALUE!</v>
      </c>
      <c r="P1108" s="52" t="str">
        <f t="shared" si="142"/>
        <v/>
      </c>
      <c r="Q1108" s="53" t="str">
        <f t="shared" si="143"/>
        <v/>
      </c>
      <c r="R1108" s="54" t="str">
        <f t="shared" si="144"/>
        <v/>
      </c>
      <c r="S1108" s="53" t="str">
        <f t="shared" si="145"/>
        <v/>
      </c>
    </row>
    <row r="1109" spans="10:19" x14ac:dyDescent="0.15">
      <c r="J1109" s="38">
        <v>1100</v>
      </c>
      <c r="K1109" s="40"/>
      <c r="L1109" s="34">
        <f t="shared" si="139"/>
        <v>8.7153978384372339E-4</v>
      </c>
      <c r="M1109" s="35">
        <f t="shared" si="140"/>
        <v>1.5521845948777571E-8</v>
      </c>
      <c r="N1109" s="44">
        <f t="shared" si="138"/>
        <v>3.7000512458377956E-7</v>
      </c>
      <c r="O1109" s="45" t="e">
        <f t="shared" si="141"/>
        <v>#VALUE!</v>
      </c>
      <c r="P1109" s="52" t="str">
        <f t="shared" si="142"/>
        <v/>
      </c>
      <c r="Q1109" s="53" t="str">
        <f t="shared" si="143"/>
        <v/>
      </c>
      <c r="R1109" s="54" t="str">
        <f t="shared" si="144"/>
        <v/>
      </c>
      <c r="S1109" s="53" t="str">
        <f t="shared" si="145"/>
        <v/>
      </c>
    </row>
    <row r="1110" spans="10:19" x14ac:dyDescent="0.15">
      <c r="J1110" s="38">
        <v>1101</v>
      </c>
      <c r="K1110" s="40"/>
      <c r="L1110" s="34">
        <f t="shared" si="139"/>
        <v>8.7155513687548652E-4</v>
      </c>
      <c r="M1110" s="35">
        <f t="shared" si="140"/>
        <v>1.5184352880714513E-8</v>
      </c>
      <c r="N1110" s="44">
        <f t="shared" si="138"/>
        <v>3.5409359415471478E-7</v>
      </c>
      <c r="O1110" s="45" t="e">
        <f t="shared" si="141"/>
        <v>#VALUE!</v>
      </c>
      <c r="P1110" s="52" t="str">
        <f t="shared" si="142"/>
        <v/>
      </c>
      <c r="Q1110" s="53" t="str">
        <f t="shared" si="143"/>
        <v/>
      </c>
      <c r="R1110" s="54" t="str">
        <f t="shared" si="144"/>
        <v/>
      </c>
      <c r="S1110" s="53" t="str">
        <f t="shared" si="145"/>
        <v/>
      </c>
    </row>
    <row r="1111" spans="10:19" x14ac:dyDescent="0.15">
      <c r="J1111" s="38">
        <v>1102</v>
      </c>
      <c r="K1111" s="40"/>
      <c r="L1111" s="34">
        <f t="shared" si="139"/>
        <v>8.7157015281965743E-4</v>
      </c>
      <c r="M1111" s="35">
        <f t="shared" si="140"/>
        <v>1.4847670331297104E-8</v>
      </c>
      <c r="N1111" s="44">
        <f t="shared" si="138"/>
        <v>3.3821954613648831E-7</v>
      </c>
      <c r="O1111" s="45" t="e">
        <f t="shared" si="141"/>
        <v>#VALUE!</v>
      </c>
      <c r="P1111" s="52" t="str">
        <f t="shared" si="142"/>
        <v/>
      </c>
      <c r="Q1111" s="53" t="str">
        <f t="shared" si="143"/>
        <v/>
      </c>
      <c r="R1111" s="54" t="str">
        <f t="shared" si="144"/>
        <v/>
      </c>
      <c r="S1111" s="53" t="str">
        <f t="shared" si="145"/>
        <v/>
      </c>
    </row>
    <row r="1112" spans="10:19" x14ac:dyDescent="0.15">
      <c r="J1112" s="38">
        <v>1103</v>
      </c>
      <c r="K1112" s="40"/>
      <c r="L1112" s="34">
        <f t="shared" si="139"/>
        <v>8.7158483248545742E-4</v>
      </c>
      <c r="M1112" s="35">
        <f t="shared" si="140"/>
        <v>1.4511795707227835E-8</v>
      </c>
      <c r="N1112" s="44">
        <f t="shared" si="138"/>
        <v>3.2238286287831087E-7</v>
      </c>
      <c r="O1112" s="45" t="e">
        <f t="shared" si="141"/>
        <v>#VALUE!</v>
      </c>
      <c r="P1112" s="52" t="str">
        <f t="shared" si="142"/>
        <v/>
      </c>
      <c r="Q1112" s="53" t="str">
        <f t="shared" si="143"/>
        <v/>
      </c>
      <c r="R1112" s="54" t="str">
        <f t="shared" si="144"/>
        <v/>
      </c>
      <c r="S1112" s="53" t="str">
        <f t="shared" si="145"/>
        <v/>
      </c>
    </row>
    <row r="1113" spans="10:19" x14ac:dyDescent="0.15">
      <c r="J1113" s="38">
        <v>1104</v>
      </c>
      <c r="K1113" s="40"/>
      <c r="L1113" s="34">
        <f t="shared" si="139"/>
        <v>8.7159917667951946E-4</v>
      </c>
      <c r="M1113" s="35">
        <f t="shared" si="140"/>
        <v>1.4176726425572541E-8</v>
      </c>
      <c r="N1113" s="44">
        <f t="shared" si="138"/>
        <v>3.0658342718963699E-7</v>
      </c>
      <c r="O1113" s="45" t="e">
        <f t="shared" si="141"/>
        <v>#VALUE!</v>
      </c>
      <c r="P1113" s="52" t="str">
        <f t="shared" si="142"/>
        <v/>
      </c>
      <c r="Q1113" s="53" t="str">
        <f t="shared" si="143"/>
        <v/>
      </c>
      <c r="R1113" s="54" t="str">
        <f t="shared" si="144"/>
        <v/>
      </c>
      <c r="S1113" s="53" t="str">
        <f t="shared" si="145"/>
        <v/>
      </c>
    </row>
    <row r="1114" spans="10:19" x14ac:dyDescent="0.15">
      <c r="J1114" s="38">
        <v>1105</v>
      </c>
      <c r="K1114" s="40"/>
      <c r="L1114" s="34">
        <f t="shared" si="139"/>
        <v>8.7161318620589861E-4</v>
      </c>
      <c r="M1114" s="35">
        <f t="shared" si="140"/>
        <v>1.3842459913710959E-8</v>
      </c>
      <c r="N1114" s="44">
        <f t="shared" si="138"/>
        <v>2.9082112234016504E-7</v>
      </c>
      <c r="O1114" s="45" t="e">
        <f t="shared" si="141"/>
        <v>#VALUE!</v>
      </c>
      <c r="P1114" s="52" t="str">
        <f t="shared" si="142"/>
        <v/>
      </c>
      <c r="Q1114" s="53" t="str">
        <f t="shared" si="143"/>
        <v/>
      </c>
      <c r="R1114" s="54" t="str">
        <f t="shared" si="144"/>
        <v/>
      </c>
      <c r="S1114" s="53" t="str">
        <f t="shared" si="145"/>
        <v/>
      </c>
    </row>
    <row r="1115" spans="10:19" x14ac:dyDescent="0.15">
      <c r="J1115" s="38">
        <v>1106</v>
      </c>
      <c r="K1115" s="40"/>
      <c r="L1115" s="34">
        <f t="shared" si="139"/>
        <v>8.7162686186608254E-4</v>
      </c>
      <c r="M1115" s="35">
        <f t="shared" si="140"/>
        <v>1.3508993609287134E-8</v>
      </c>
      <c r="N1115" s="44">
        <f t="shared" si="138"/>
        <v>2.750958320560425E-7</v>
      </c>
      <c r="O1115" s="45" t="e">
        <f t="shared" si="141"/>
        <v>#VALUE!</v>
      </c>
      <c r="P1115" s="52" t="str">
        <f t="shared" si="142"/>
        <v/>
      </c>
      <c r="Q1115" s="53" t="str">
        <f t="shared" si="143"/>
        <v/>
      </c>
      <c r="R1115" s="54" t="str">
        <f t="shared" si="144"/>
        <v/>
      </c>
      <c r="S1115" s="53" t="str">
        <f t="shared" si="145"/>
        <v/>
      </c>
    </row>
    <row r="1116" spans="10:19" x14ac:dyDescent="0.15">
      <c r="J1116" s="38">
        <v>1107</v>
      </c>
      <c r="K1116" s="40"/>
      <c r="L1116" s="34">
        <f t="shared" si="139"/>
        <v>8.7164020445900173E-4</v>
      </c>
      <c r="M1116" s="35">
        <f t="shared" si="140"/>
        <v>1.3176324960160536E-8</v>
      </c>
      <c r="N1116" s="44">
        <f t="shared" si="138"/>
        <v>2.5940744051834806E-7</v>
      </c>
      <c r="O1116" s="45" t="e">
        <f t="shared" si="141"/>
        <v>#VALUE!</v>
      </c>
      <c r="P1116" s="52" t="str">
        <f t="shared" si="142"/>
        <v/>
      </c>
      <c r="Q1116" s="53" t="str">
        <f t="shared" si="143"/>
        <v/>
      </c>
      <c r="R1116" s="54" t="str">
        <f t="shared" si="144"/>
        <v/>
      </c>
      <c r="S1116" s="53" t="str">
        <f t="shared" si="145"/>
        <v/>
      </c>
    </row>
    <row r="1117" spans="10:19" x14ac:dyDescent="0.15">
      <c r="J1117" s="38">
        <v>1108</v>
      </c>
      <c r="K1117" s="40"/>
      <c r="L1117" s="34">
        <f t="shared" si="139"/>
        <v>8.716532147810404E-4</v>
      </c>
      <c r="M1117" s="35">
        <f t="shared" si="140"/>
        <v>1.2844451424357027E-8</v>
      </c>
      <c r="N1117" s="44">
        <f t="shared" si="138"/>
        <v>2.4375583236016431E-7</v>
      </c>
      <c r="O1117" s="45" t="e">
        <f t="shared" si="141"/>
        <v>#VALUE!</v>
      </c>
      <c r="P1117" s="52" t="str">
        <f t="shared" si="142"/>
        <v/>
      </c>
      <c r="Q1117" s="53" t="str">
        <f t="shared" si="143"/>
        <v/>
      </c>
      <c r="R1117" s="54" t="str">
        <f t="shared" si="144"/>
        <v/>
      </c>
      <c r="S1117" s="53" t="str">
        <f t="shared" si="145"/>
        <v/>
      </c>
    </row>
    <row r="1118" spans="10:19" x14ac:dyDescent="0.15">
      <c r="J1118" s="38">
        <v>1109</v>
      </c>
      <c r="K1118" s="40"/>
      <c r="L1118" s="34">
        <f t="shared" si="139"/>
        <v>8.7166589362604456E-4</v>
      </c>
      <c r="M1118" s="35">
        <f t="shared" si="140"/>
        <v>1.2513370470020433E-8</v>
      </c>
      <c r="N1118" s="44">
        <f t="shared" si="138"/>
        <v>2.2814089266625249E-7</v>
      </c>
      <c r="O1118" s="45" t="e">
        <f t="shared" si="141"/>
        <v>#VALUE!</v>
      </c>
      <c r="P1118" s="52" t="str">
        <f t="shared" si="142"/>
        <v/>
      </c>
      <c r="Q1118" s="53" t="str">
        <f t="shared" si="143"/>
        <v/>
      </c>
      <c r="R1118" s="54" t="str">
        <f t="shared" si="144"/>
        <v/>
      </c>
      <c r="S1118" s="53" t="str">
        <f t="shared" si="145"/>
        <v/>
      </c>
    </row>
    <row r="1119" spans="10:19" x14ac:dyDescent="0.15">
      <c r="J1119" s="38">
        <v>1110</v>
      </c>
      <c r="K1119" s="40"/>
      <c r="L1119" s="34">
        <f t="shared" si="139"/>
        <v>8.7167824178533359E-4</v>
      </c>
      <c r="M1119" s="35">
        <f t="shared" si="140"/>
        <v>1.2183079575364147E-8</v>
      </c>
      <c r="N1119" s="44">
        <f t="shared" si="138"/>
        <v>2.1256250696979982E-7</v>
      </c>
      <c r="O1119" s="45" t="e">
        <f t="shared" si="141"/>
        <v>#VALUE!</v>
      </c>
      <c r="P1119" s="52" t="str">
        <f t="shared" si="142"/>
        <v/>
      </c>
      <c r="Q1119" s="53" t="str">
        <f t="shared" si="143"/>
        <v/>
      </c>
      <c r="R1119" s="54" t="str">
        <f t="shared" si="144"/>
        <v/>
      </c>
      <c r="S1119" s="53" t="str">
        <f t="shared" si="145"/>
        <v/>
      </c>
    </row>
    <row r="1120" spans="10:19" x14ac:dyDescent="0.15">
      <c r="J1120" s="38">
        <v>1111</v>
      </c>
      <c r="K1120" s="40"/>
      <c r="L1120" s="34">
        <f t="shared" si="139"/>
        <v>8.7169026004771106E-4</v>
      </c>
      <c r="M1120" s="35">
        <f t="shared" si="140"/>
        <v>1.1853576228623265E-8</v>
      </c>
      <c r="N1120" s="44">
        <f t="shared" si="138"/>
        <v>1.9702056124905852E-7</v>
      </c>
      <c r="O1120" s="45" t="e">
        <f t="shared" si="141"/>
        <v>#VALUE!</v>
      </c>
      <c r="P1120" s="52" t="str">
        <f t="shared" si="142"/>
        <v/>
      </c>
      <c r="Q1120" s="53" t="str">
        <f t="shared" si="143"/>
        <v/>
      </c>
      <c r="R1120" s="54" t="str">
        <f t="shared" si="144"/>
        <v/>
      </c>
      <c r="S1120" s="53" t="str">
        <f t="shared" si="145"/>
        <v/>
      </c>
    </row>
    <row r="1121" spans="10:19" x14ac:dyDescent="0.15">
      <c r="J1121" s="38">
        <v>1112</v>
      </c>
      <c r="K1121" s="40"/>
      <c r="L1121" s="34">
        <f t="shared" si="139"/>
        <v>8.7170194919947261E-4</v>
      </c>
      <c r="M1121" s="35">
        <f t="shared" si="140"/>
        <v>1.1524857928006661E-8</v>
      </c>
      <c r="N1121" s="44">
        <f t="shared" si="138"/>
        <v>1.8151494192821319E-7</v>
      </c>
      <c r="O1121" s="45" t="e">
        <f t="shared" si="141"/>
        <v>#VALUE!</v>
      </c>
      <c r="P1121" s="52" t="str">
        <f t="shared" si="142"/>
        <v/>
      </c>
      <c r="Q1121" s="53" t="str">
        <f t="shared" si="143"/>
        <v/>
      </c>
      <c r="R1121" s="54" t="str">
        <f t="shared" si="144"/>
        <v/>
      </c>
      <c r="S1121" s="53" t="str">
        <f t="shared" si="145"/>
        <v/>
      </c>
    </row>
    <row r="1122" spans="10:19" x14ac:dyDescent="0.15">
      <c r="J1122" s="38">
        <v>1113</v>
      </c>
      <c r="K1122" s="40"/>
      <c r="L1122" s="34">
        <f t="shared" si="139"/>
        <v>8.7171331002441844E-4</v>
      </c>
      <c r="M1122" s="35">
        <f t="shared" si="140"/>
        <v>1.119692218164956E-8</v>
      </c>
      <c r="N1122" s="44">
        <f t="shared" si="138"/>
        <v>1.6604553587195973E-7</v>
      </c>
      <c r="O1122" s="45" t="e">
        <f t="shared" si="141"/>
        <v>#VALUE!</v>
      </c>
      <c r="P1122" s="52" t="str">
        <f t="shared" si="142"/>
        <v/>
      </c>
      <c r="Q1122" s="53" t="str">
        <f t="shared" si="143"/>
        <v/>
      </c>
      <c r="R1122" s="54" t="str">
        <f t="shared" si="144"/>
        <v/>
      </c>
      <c r="S1122" s="53" t="str">
        <f t="shared" si="145"/>
        <v/>
      </c>
    </row>
    <row r="1123" spans="10:19" x14ac:dyDescent="0.15">
      <c r="J1123" s="38">
        <v>1114</v>
      </c>
      <c r="K1123" s="40"/>
      <c r="L1123" s="34">
        <f t="shared" si="139"/>
        <v>8.717243433038601E-4</v>
      </c>
      <c r="M1123" s="35">
        <f t="shared" si="140"/>
        <v>1.0869766507566405E-8</v>
      </c>
      <c r="N1123" s="44">
        <f t="shared" si="138"/>
        <v>1.5061223038734858E-7</v>
      </c>
      <c r="O1123" s="45" t="e">
        <f t="shared" si="141"/>
        <v>#VALUE!</v>
      </c>
      <c r="P1123" s="52" t="str">
        <f t="shared" si="142"/>
        <v/>
      </c>
      <c r="Q1123" s="53" t="str">
        <f t="shared" si="143"/>
        <v/>
      </c>
      <c r="R1123" s="54" t="str">
        <f t="shared" si="144"/>
        <v/>
      </c>
      <c r="S1123" s="53" t="str">
        <f t="shared" si="145"/>
        <v/>
      </c>
    </row>
    <row r="1124" spans="10:19" x14ac:dyDescent="0.15">
      <c r="J1124" s="38">
        <v>1115</v>
      </c>
      <c r="K1124" s="40"/>
      <c r="L1124" s="34">
        <f t="shared" si="139"/>
        <v>8.7173504981663357E-4</v>
      </c>
      <c r="M1124" s="35">
        <f t="shared" si="140"/>
        <v>1.0543388433603791E-8</v>
      </c>
      <c r="N1124" s="44">
        <f t="shared" si="138"/>
        <v>1.3521491321749624E-7</v>
      </c>
      <c r="O1124" s="45" t="e">
        <f t="shared" si="141"/>
        <v>#VALUE!</v>
      </c>
      <c r="P1124" s="52" t="str">
        <f t="shared" si="142"/>
        <v/>
      </c>
      <c r="Q1124" s="53" t="str">
        <f t="shared" si="143"/>
        <v/>
      </c>
      <c r="R1124" s="54" t="str">
        <f t="shared" si="144"/>
        <v/>
      </c>
      <c r="S1124" s="53" t="str">
        <f t="shared" si="145"/>
        <v/>
      </c>
    </row>
    <row r="1125" spans="10:19" x14ac:dyDescent="0.15">
      <c r="J1125" s="38">
        <v>1116</v>
      </c>
      <c r="K1125" s="40"/>
      <c r="L1125" s="34">
        <f t="shared" si="139"/>
        <v>8.7174543033910641E-4</v>
      </c>
      <c r="M1125" s="35">
        <f t="shared" si="140"/>
        <v>1.0217785497393774E-8</v>
      </c>
      <c r="N1125" s="44">
        <f t="shared" si="138"/>
        <v>1.1985347254245271E-7</v>
      </c>
      <c r="O1125" s="45" t="e">
        <f t="shared" si="141"/>
        <v>#VALUE!</v>
      </c>
      <c r="P1125" s="52" t="str">
        <f t="shared" si="142"/>
        <v/>
      </c>
      <c r="Q1125" s="53" t="str">
        <f t="shared" si="143"/>
        <v/>
      </c>
      <c r="R1125" s="54" t="str">
        <f t="shared" si="144"/>
        <v/>
      </c>
      <c r="S1125" s="53" t="str">
        <f t="shared" si="145"/>
        <v/>
      </c>
    </row>
    <row r="1126" spans="10:19" x14ac:dyDescent="0.15">
      <c r="J1126" s="38">
        <v>1117</v>
      </c>
      <c r="K1126" s="40"/>
      <c r="L1126" s="34">
        <f t="shared" si="139"/>
        <v>8.7175548564518974E-4</v>
      </c>
      <c r="M1126" s="35">
        <f t="shared" si="140"/>
        <v>9.892955246307447E-9</v>
      </c>
      <c r="N1126" s="44">
        <f t="shared" si="138"/>
        <v>1.0452779697584045E-7</v>
      </c>
      <c r="O1126" s="45" t="e">
        <f t="shared" si="141"/>
        <v>#VALUE!</v>
      </c>
      <c r="P1126" s="52" t="str">
        <f t="shared" si="142"/>
        <v/>
      </c>
      <c r="Q1126" s="53" t="str">
        <f t="shared" si="143"/>
        <v/>
      </c>
      <c r="R1126" s="54" t="str">
        <f t="shared" si="144"/>
        <v/>
      </c>
      <c r="S1126" s="53" t="str">
        <f t="shared" si="145"/>
        <v/>
      </c>
    </row>
    <row r="1127" spans="10:19" x14ac:dyDescent="0.15">
      <c r="J1127" s="38">
        <v>1118</v>
      </c>
      <c r="K1127" s="40"/>
      <c r="L1127" s="34">
        <f t="shared" si="139"/>
        <v>8.7176521650634642E-4</v>
      </c>
      <c r="M1127" s="35">
        <f t="shared" si="140"/>
        <v>9.568895237408766E-9</v>
      </c>
      <c r="N1127" s="44">
        <f t="shared" si="138"/>
        <v>8.9237775563661727E-8</v>
      </c>
      <c r="O1127" s="45" t="e">
        <f t="shared" si="141"/>
        <v>#VALUE!</v>
      </c>
      <c r="P1127" s="52" t="str">
        <f t="shared" si="142"/>
        <v/>
      </c>
      <c r="Q1127" s="53" t="str">
        <f t="shared" si="143"/>
        <v/>
      </c>
      <c r="R1127" s="54" t="str">
        <f t="shared" si="144"/>
        <v/>
      </c>
      <c r="S1127" s="53" t="str">
        <f t="shared" si="145"/>
        <v/>
      </c>
    </row>
    <row r="1128" spans="10:19" x14ac:dyDescent="0.15">
      <c r="J1128" s="38">
        <v>1119</v>
      </c>
      <c r="K1128" s="40"/>
      <c r="L1128" s="34">
        <f t="shared" si="139"/>
        <v>8.7177462369160093E-4</v>
      </c>
      <c r="M1128" s="35">
        <f t="shared" si="140"/>
        <v>9.2456030374085861E-9</v>
      </c>
      <c r="N1128" s="44">
        <f t="shared" si="138"/>
        <v>7.3983297782347079E-8</v>
      </c>
      <c r="O1128" s="45" t="e">
        <f t="shared" si="141"/>
        <v>#VALUE!</v>
      </c>
      <c r="P1128" s="52" t="str">
        <f t="shared" si="142"/>
        <v/>
      </c>
      <c r="Q1128" s="53" t="str">
        <f t="shared" si="143"/>
        <v/>
      </c>
      <c r="R1128" s="54" t="str">
        <f t="shared" si="144"/>
        <v/>
      </c>
      <c r="S1128" s="53" t="str">
        <f t="shared" si="145"/>
        <v/>
      </c>
    </row>
    <row r="1129" spans="10:19" x14ac:dyDescent="0.15">
      <c r="J1129" s="38">
        <v>1120</v>
      </c>
      <c r="K1129" s="40"/>
      <c r="L1129" s="34">
        <f t="shared" si="139"/>
        <v>8.717837079675496E-4</v>
      </c>
      <c r="M1129" s="35">
        <f t="shared" si="140"/>
        <v>8.9230762226189902E-9</v>
      </c>
      <c r="N1129" s="44">
        <f t="shared" si="138"/>
        <v>5.876425353539428E-8</v>
      </c>
      <c r="O1129" s="45" t="e">
        <f t="shared" si="141"/>
        <v>#VALUE!</v>
      </c>
      <c r="P1129" s="52" t="str">
        <f t="shared" si="142"/>
        <v/>
      </c>
      <c r="Q1129" s="53" t="str">
        <f t="shared" si="143"/>
        <v/>
      </c>
      <c r="R1129" s="54" t="str">
        <f t="shared" si="144"/>
        <v/>
      </c>
      <c r="S1129" s="53" t="str">
        <f t="shared" si="145"/>
        <v/>
      </c>
    </row>
    <row r="1130" spans="10:19" x14ac:dyDescent="0.15">
      <c r="J1130" s="38">
        <v>1121</v>
      </c>
      <c r="K1130" s="40"/>
      <c r="L1130" s="34">
        <f t="shared" si="139"/>
        <v>8.7179247009836955E-4</v>
      </c>
      <c r="M1130" s="35">
        <f t="shared" si="140"/>
        <v>8.6013123789078844E-9</v>
      </c>
      <c r="N1130" s="44">
        <f t="shared" si="138"/>
        <v>4.3580533152826235E-8</v>
      </c>
      <c r="O1130" s="45" t="e">
        <f t="shared" si="141"/>
        <v>#VALUE!</v>
      </c>
      <c r="P1130" s="52" t="str">
        <f t="shared" si="142"/>
        <v/>
      </c>
      <c r="Q1130" s="53" t="str">
        <f t="shared" si="143"/>
        <v/>
      </c>
      <c r="R1130" s="54" t="str">
        <f t="shared" si="144"/>
        <v/>
      </c>
      <c r="S1130" s="53" t="str">
        <f t="shared" si="145"/>
        <v/>
      </c>
    </row>
    <row r="1131" spans="10:19" x14ac:dyDescent="0.15">
      <c r="J1131" s="38">
        <v>1122</v>
      </c>
      <c r="K1131" s="40"/>
      <c r="L1131" s="34">
        <f t="shared" si="139"/>
        <v>8.7180091084582915E-4</v>
      </c>
      <c r="M1131" s="35">
        <f t="shared" si="140"/>
        <v>8.2803091016538563E-9</v>
      </c>
      <c r="N1131" s="44">
        <f t="shared" si="138"/>
        <v>2.8432027388372062E-8</v>
      </c>
      <c r="O1131" s="45" t="e">
        <f t="shared" si="141"/>
        <v>#VALUE!</v>
      </c>
      <c r="P1131" s="52" t="str">
        <f t="shared" si="142"/>
        <v/>
      </c>
      <c r="Q1131" s="53" t="str">
        <f t="shared" si="143"/>
        <v/>
      </c>
      <c r="R1131" s="54" t="str">
        <f t="shared" si="144"/>
        <v/>
      </c>
      <c r="S1131" s="53" t="str">
        <f t="shared" si="145"/>
        <v/>
      </c>
    </row>
    <row r="1132" spans="10:19" x14ac:dyDescent="0.15">
      <c r="J1132" s="38">
        <v>1123</v>
      </c>
      <c r="K1132" s="40"/>
      <c r="L1132" s="34">
        <f t="shared" si="139"/>
        <v>8.7180903096929655E-4</v>
      </c>
      <c r="M1132" s="35">
        <f t="shared" si="140"/>
        <v>7.9600639957011923E-9</v>
      </c>
      <c r="N1132" s="44">
        <f t="shared" si="138"/>
        <v>1.3318627417732362E-8</v>
      </c>
      <c r="O1132" s="45" t="e">
        <f t="shared" si="141"/>
        <v>#VALUE!</v>
      </c>
      <c r="P1132" s="52" t="str">
        <f t="shared" si="142"/>
        <v/>
      </c>
      <c r="Q1132" s="53" t="str">
        <f t="shared" si="143"/>
        <v/>
      </c>
      <c r="R1132" s="54" t="str">
        <f t="shared" si="144"/>
        <v/>
      </c>
      <c r="S1132" s="53" t="str">
        <f t="shared" si="145"/>
        <v/>
      </c>
    </row>
    <row r="1133" spans="10:19" x14ac:dyDescent="0.15">
      <c r="J1133" s="38">
        <v>1124</v>
      </c>
      <c r="K1133" s="40"/>
      <c r="L1133" s="34">
        <f t="shared" si="139"/>
        <v>8.7181683122574934E-4</v>
      </c>
      <c r="M1133" s="35">
        <f t="shared" si="140"/>
        <v>7.6405746753151261E-9</v>
      </c>
      <c r="N1133" s="44">
        <f t="shared" si="138"/>
        <v>-1.7597751623965596E-9</v>
      </c>
      <c r="O1133" s="45" t="e">
        <f t="shared" si="141"/>
        <v>#VALUE!</v>
      </c>
      <c r="P1133" s="52" t="str">
        <f t="shared" si="142"/>
        <v/>
      </c>
      <c r="Q1133" s="53" t="str">
        <f t="shared" si="143"/>
        <v/>
      </c>
      <c r="R1133" s="54" t="str">
        <f t="shared" si="144"/>
        <v/>
      </c>
      <c r="S1133" s="53" t="str">
        <f t="shared" si="145"/>
        <v/>
      </c>
    </row>
    <row r="1134" spans="10:19" x14ac:dyDescent="0.15">
      <c r="J1134" s="38">
        <v>1125</v>
      </c>
      <c r="K1134" s="40"/>
      <c r="L1134" s="34">
        <f t="shared" si="139"/>
        <v>8.7182431236978357E-4</v>
      </c>
      <c r="M1134" s="35">
        <f t="shared" si="140"/>
        <v>7.3218387641375871E-9</v>
      </c>
      <c r="N1134" s="44">
        <f t="shared" si="138"/>
        <v>-1.6803288338008981E-8</v>
      </c>
      <c r="O1134" s="45" t="e">
        <f t="shared" si="141"/>
        <v>#VALUE!</v>
      </c>
      <c r="P1134" s="52" t="str">
        <f t="shared" si="142"/>
        <v/>
      </c>
      <c r="Q1134" s="53" t="str">
        <f t="shared" si="143"/>
        <v/>
      </c>
      <c r="R1134" s="54" t="str">
        <f t="shared" si="144"/>
        <v/>
      </c>
      <c r="S1134" s="53" t="str">
        <f t="shared" si="145"/>
        <v/>
      </c>
    </row>
    <row r="1135" spans="10:19" x14ac:dyDescent="0.15">
      <c r="J1135" s="38">
        <v>1126</v>
      </c>
      <c r="K1135" s="40"/>
      <c r="L1135" s="34">
        <f t="shared" si="139"/>
        <v>8.7183147515362467E-4</v>
      </c>
      <c r="M1135" s="35">
        <f t="shared" si="140"/>
        <v>7.0038538951428699E-9</v>
      </c>
      <c r="N1135" s="44">
        <f t="shared" si="138"/>
        <v>-3.1812019678440287E-8</v>
      </c>
      <c r="O1135" s="45" t="e">
        <f t="shared" si="141"/>
        <v>#VALUE!</v>
      </c>
      <c r="P1135" s="52" t="str">
        <f t="shared" si="142"/>
        <v/>
      </c>
      <c r="Q1135" s="53" t="str">
        <f t="shared" si="143"/>
        <v/>
      </c>
      <c r="R1135" s="54" t="str">
        <f t="shared" si="144"/>
        <v/>
      </c>
      <c r="S1135" s="53" t="str">
        <f t="shared" si="145"/>
        <v/>
      </c>
    </row>
    <row r="1136" spans="10:19" x14ac:dyDescent="0.15">
      <c r="J1136" s="38">
        <v>1127</v>
      </c>
      <c r="K1136" s="40"/>
      <c r="L1136" s="34">
        <f t="shared" si="139"/>
        <v>8.7183832032713526E-4</v>
      </c>
      <c r="M1136" s="35">
        <f t="shared" si="140"/>
        <v>6.6866177105937554E-9</v>
      </c>
      <c r="N1136" s="44">
        <f t="shared" si="138"/>
        <v>-4.6786076339511151E-8</v>
      </c>
      <c r="O1136" s="45" t="e">
        <f t="shared" si="141"/>
        <v>#VALUE!</v>
      </c>
      <c r="P1136" s="52" t="str">
        <f t="shared" si="142"/>
        <v/>
      </c>
      <c r="Q1136" s="53" t="str">
        <f t="shared" si="143"/>
        <v/>
      </c>
      <c r="R1136" s="54" t="str">
        <f t="shared" si="144"/>
        <v/>
      </c>
      <c r="S1136" s="53" t="str">
        <f t="shared" si="145"/>
        <v/>
      </c>
    </row>
    <row r="1137" spans="10:19" x14ac:dyDescent="0.15">
      <c r="J1137" s="38">
        <v>1128</v>
      </c>
      <c r="K1137" s="40"/>
      <c r="L1137" s="34">
        <f t="shared" si="139"/>
        <v>8.7184484863782438E-4</v>
      </c>
      <c r="M1137" s="35">
        <f t="shared" si="140"/>
        <v>6.3701278619978118E-9</v>
      </c>
      <c r="N1137" s="44">
        <f t="shared" si="138"/>
        <v>-6.1725565063635961E-8</v>
      </c>
      <c r="O1137" s="45" t="e">
        <f t="shared" si="141"/>
        <v>#VALUE!</v>
      </c>
      <c r="P1137" s="52" t="str">
        <f t="shared" si="142"/>
        <v/>
      </c>
      <c r="Q1137" s="53" t="str">
        <f t="shared" si="143"/>
        <v/>
      </c>
      <c r="R1137" s="54" t="str">
        <f t="shared" si="144"/>
        <v/>
      </c>
      <c r="S1137" s="53" t="str">
        <f t="shared" si="145"/>
        <v/>
      </c>
    </row>
    <row r="1138" spans="10:19" x14ac:dyDescent="0.15">
      <c r="J1138" s="38">
        <v>1129</v>
      </c>
      <c r="K1138" s="40"/>
      <c r="L1138" s="34">
        <f t="shared" si="139"/>
        <v>8.7185106083085791E-4</v>
      </c>
      <c r="M1138" s="35">
        <f t="shared" si="140"/>
        <v>6.0543820100638724E-9</v>
      </c>
      <c r="N1138" s="44">
        <f t="shared" si="138"/>
        <v>-7.663059218318384E-8</v>
      </c>
      <c r="O1138" s="45" t="e">
        <f t="shared" si="141"/>
        <v>#VALUE!</v>
      </c>
      <c r="P1138" s="52" t="str">
        <f t="shared" si="142"/>
        <v/>
      </c>
      <c r="Q1138" s="53" t="str">
        <f t="shared" si="143"/>
        <v/>
      </c>
      <c r="R1138" s="54" t="str">
        <f t="shared" si="144"/>
        <v/>
      </c>
      <c r="S1138" s="53" t="str">
        <f t="shared" si="145"/>
        <v/>
      </c>
    </row>
    <row r="1139" spans="10:19" x14ac:dyDescent="0.15">
      <c r="J1139" s="38">
        <v>1130</v>
      </c>
      <c r="K1139" s="40"/>
      <c r="L1139" s="34">
        <f t="shared" si="139"/>
        <v>8.7185695764906666E-4</v>
      </c>
      <c r="M1139" s="35">
        <f t="shared" si="140"/>
        <v>5.7393778246588097E-9</v>
      </c>
      <c r="N1139" s="44">
        <f t="shared" si="138"/>
        <v>-9.1501263622213377E-8</v>
      </c>
      <c r="O1139" s="45" t="e">
        <f t="shared" si="141"/>
        <v>#VALUE!</v>
      </c>
      <c r="P1139" s="52" t="str">
        <f t="shared" si="142"/>
        <v/>
      </c>
      <c r="Q1139" s="53" t="str">
        <f t="shared" si="143"/>
        <v/>
      </c>
      <c r="R1139" s="54" t="str">
        <f t="shared" si="144"/>
        <v/>
      </c>
      <c r="S1139" s="53" t="str">
        <f t="shared" si="145"/>
        <v/>
      </c>
    </row>
    <row r="1140" spans="10:19" x14ac:dyDescent="0.15">
      <c r="J1140" s="38">
        <v>1131</v>
      </c>
      <c r="K1140" s="40"/>
      <c r="L1140" s="34">
        <f t="shared" si="139"/>
        <v>8.7186253983295573E-4</v>
      </c>
      <c r="M1140" s="35">
        <f t="shared" si="140"/>
        <v>5.4251129847646353E-9</v>
      </c>
      <c r="N1140" s="44">
        <f t="shared" si="138"/>
        <v>-1.0633768489733998E-7</v>
      </c>
      <c r="O1140" s="45" t="e">
        <f t="shared" si="141"/>
        <v>#VALUE!</v>
      </c>
      <c r="P1140" s="52" t="str">
        <f t="shared" si="142"/>
        <v/>
      </c>
      <c r="Q1140" s="53" t="str">
        <f t="shared" si="143"/>
        <v/>
      </c>
      <c r="R1140" s="54" t="str">
        <f t="shared" si="144"/>
        <v/>
      </c>
      <c r="S1140" s="53" t="str">
        <f t="shared" si="145"/>
        <v/>
      </c>
    </row>
    <row r="1141" spans="10:19" x14ac:dyDescent="0.15">
      <c r="J1141" s="38">
        <v>1132</v>
      </c>
      <c r="K1141" s="40"/>
      <c r="L1141" s="34">
        <f t="shared" si="139"/>
        <v>8.7186780812071392E-4</v>
      </c>
      <c r="M1141" s="35">
        <f t="shared" si="140"/>
        <v>5.1115851784356966E-9</v>
      </c>
      <c r="N1141" s="44">
        <f t="shared" si="138"/>
        <v>-1.211399611215306E-7</v>
      </c>
      <c r="O1141" s="45" t="e">
        <f t="shared" si="141"/>
        <v>#VALUE!</v>
      </c>
      <c r="P1141" s="52" t="str">
        <f t="shared" si="142"/>
        <v/>
      </c>
      <c r="Q1141" s="53" t="str">
        <f t="shared" si="143"/>
        <v/>
      </c>
      <c r="R1141" s="54" t="str">
        <f t="shared" si="144"/>
        <v/>
      </c>
      <c r="S1141" s="53" t="str">
        <f t="shared" si="145"/>
        <v/>
      </c>
    </row>
    <row r="1142" spans="10:19" x14ac:dyDescent="0.15">
      <c r="J1142" s="38">
        <v>1133</v>
      </c>
      <c r="K1142" s="40"/>
      <c r="L1142" s="34">
        <f t="shared" si="139"/>
        <v>8.7187276324822264E-4</v>
      </c>
      <c r="M1142" s="35">
        <f t="shared" si="140"/>
        <v>4.7987921027560512E-9</v>
      </c>
      <c r="N1142" s="44">
        <f t="shared" si="138"/>
        <v>-1.3590819700334475E-7</v>
      </c>
      <c r="O1142" s="45" t="e">
        <f t="shared" si="141"/>
        <v>#VALUE!</v>
      </c>
      <c r="P1142" s="52" t="str">
        <f t="shared" si="142"/>
        <v/>
      </c>
      <c r="Q1142" s="53" t="str">
        <f t="shared" si="143"/>
        <v/>
      </c>
      <c r="R1142" s="54" t="str">
        <f t="shared" si="144"/>
        <v/>
      </c>
      <c r="S1142" s="53" t="str">
        <f t="shared" si="145"/>
        <v/>
      </c>
    </row>
    <row r="1143" spans="10:19" x14ac:dyDescent="0.15">
      <c r="J1143" s="38">
        <v>1134</v>
      </c>
      <c r="K1143" s="40"/>
      <c r="L1143" s="34">
        <f t="shared" si="139"/>
        <v>8.7187740594906491E-4</v>
      </c>
      <c r="M1143" s="35">
        <f t="shared" si="140"/>
        <v>4.4867314637973887E-9</v>
      </c>
      <c r="N1143" s="44">
        <f t="shared" si="138"/>
        <v>-1.5064249685116295E-7</v>
      </c>
      <c r="O1143" s="45" t="e">
        <f t="shared" si="141"/>
        <v>#VALUE!</v>
      </c>
      <c r="P1143" s="52" t="str">
        <f t="shared" si="142"/>
        <v/>
      </c>
      <c r="Q1143" s="53" t="str">
        <f t="shared" si="143"/>
        <v/>
      </c>
      <c r="R1143" s="54" t="str">
        <f t="shared" si="144"/>
        <v/>
      </c>
      <c r="S1143" s="53" t="str">
        <f t="shared" si="145"/>
        <v/>
      </c>
    </row>
    <row r="1144" spans="10:19" x14ac:dyDescent="0.15">
      <c r="J1144" s="38">
        <v>1135</v>
      </c>
      <c r="K1144" s="40"/>
      <c r="L1144" s="34">
        <f t="shared" si="139"/>
        <v>8.718817369545341E-4</v>
      </c>
      <c r="M1144" s="35">
        <f t="shared" si="140"/>
        <v>4.1754009765767884E-9</v>
      </c>
      <c r="N1144" s="44">
        <f t="shared" si="138"/>
        <v>-1.6534296457405406E-7</v>
      </c>
      <c r="O1144" s="45" t="e">
        <f t="shared" si="141"/>
        <v>#VALUE!</v>
      </c>
      <c r="P1144" s="52" t="str">
        <f t="shared" si="142"/>
        <v/>
      </c>
      <c r="Q1144" s="53" t="str">
        <f t="shared" si="143"/>
        <v/>
      </c>
      <c r="R1144" s="54" t="str">
        <f t="shared" si="144"/>
        <v/>
      </c>
      <c r="S1144" s="53" t="str">
        <f t="shared" si="145"/>
        <v/>
      </c>
    </row>
    <row r="1145" spans="10:19" x14ac:dyDescent="0.15">
      <c r="J1145" s="38">
        <v>1136</v>
      </c>
      <c r="K1145" s="40"/>
      <c r="L1145" s="34">
        <f t="shared" si="139"/>
        <v>8.718857569936432E-4</v>
      </c>
      <c r="M1145" s="35">
        <f t="shared" si="140"/>
        <v>3.8647983650149788E-9</v>
      </c>
      <c r="N1145" s="44">
        <f t="shared" si="138"/>
        <v>-1.8000970368329313E-7</v>
      </c>
      <c r="O1145" s="45" t="e">
        <f t="shared" si="141"/>
        <v>#VALUE!</v>
      </c>
      <c r="P1145" s="52" t="str">
        <f t="shared" si="142"/>
        <v/>
      </c>
      <c r="Q1145" s="53" t="str">
        <f t="shared" si="143"/>
        <v/>
      </c>
      <c r="R1145" s="54" t="str">
        <f t="shared" si="144"/>
        <v/>
      </c>
      <c r="S1145" s="53" t="str">
        <f t="shared" si="145"/>
        <v/>
      </c>
    </row>
    <row r="1146" spans="10:19" x14ac:dyDescent="0.15">
      <c r="J1146" s="38">
        <v>1137</v>
      </c>
      <c r="K1146" s="40"/>
      <c r="L1146" s="34">
        <f t="shared" si="139"/>
        <v>8.7188946679313348E-4</v>
      </c>
      <c r="M1146" s="35">
        <f t="shared" si="140"/>
        <v>3.5549213618947641E-9</v>
      </c>
      <c r="N1146" s="44">
        <f t="shared" si="138"/>
        <v>-1.9464281729496356E-7</v>
      </c>
      <c r="O1146" s="45" t="e">
        <f t="shared" si="141"/>
        <v>#VALUE!</v>
      </c>
      <c r="P1146" s="52" t="str">
        <f t="shared" si="142"/>
        <v/>
      </c>
      <c r="Q1146" s="53" t="str">
        <f t="shared" si="143"/>
        <v/>
      </c>
      <c r="R1146" s="54" t="str">
        <f t="shared" si="144"/>
        <v/>
      </c>
      <c r="S1146" s="53" t="str">
        <f t="shared" si="145"/>
        <v/>
      </c>
    </row>
    <row r="1147" spans="10:19" x14ac:dyDescent="0.15">
      <c r="J1147" s="38">
        <v>1138</v>
      </c>
      <c r="K1147" s="40"/>
      <c r="L1147" s="34">
        <f t="shared" si="139"/>
        <v>8.7189286707748358E-4</v>
      </c>
      <c r="M1147" s="35">
        <f t="shared" si="140"/>
        <v>3.2457677088195454E-9</v>
      </c>
      <c r="N1147" s="44">
        <f t="shared" si="138"/>
        <v>-2.0924240813071596E-7</v>
      </c>
      <c r="O1147" s="45" t="e">
        <f t="shared" si="141"/>
        <v>#VALUE!</v>
      </c>
      <c r="P1147" s="52" t="str">
        <f t="shared" si="142"/>
        <v/>
      </c>
      <c r="Q1147" s="53" t="str">
        <f t="shared" si="143"/>
        <v/>
      </c>
      <c r="R1147" s="54" t="str">
        <f t="shared" si="144"/>
        <v/>
      </c>
      <c r="S1147" s="53" t="str">
        <f t="shared" si="145"/>
        <v/>
      </c>
    </row>
    <row r="1148" spans="10:19" x14ac:dyDescent="0.15">
      <c r="J1148" s="38">
        <v>1139</v>
      </c>
      <c r="K1148" s="40"/>
      <c r="L1148" s="34">
        <f t="shared" si="139"/>
        <v>8.7189595856891784E-4</v>
      </c>
      <c r="M1148" s="35">
        <f t="shared" si="140"/>
        <v>2.9373351561722263E-9</v>
      </c>
      <c r="N1148" s="44">
        <f t="shared" si="138"/>
        <v>-2.2380857852058716E-7</v>
      </c>
      <c r="O1148" s="45" t="e">
        <f t="shared" si="141"/>
        <v>#VALUE!</v>
      </c>
      <c r="P1148" s="52" t="str">
        <f t="shared" si="142"/>
        <v/>
      </c>
      <c r="Q1148" s="53" t="str">
        <f t="shared" si="143"/>
        <v/>
      </c>
      <c r="R1148" s="54" t="str">
        <f t="shared" si="144"/>
        <v/>
      </c>
      <c r="S1148" s="53" t="str">
        <f t="shared" si="145"/>
        <v/>
      </c>
    </row>
    <row r="1149" spans="10:19" x14ac:dyDescent="0.15">
      <c r="J1149" s="38">
        <v>1140</v>
      </c>
      <c r="K1149" s="40"/>
      <c r="L1149" s="34">
        <f t="shared" si="139"/>
        <v>8.718987419874157E-4</v>
      </c>
      <c r="M1149" s="35">
        <f t="shared" si="140"/>
        <v>2.629621463074341E-9</v>
      </c>
      <c r="N1149" s="44">
        <f t="shared" si="138"/>
        <v>-2.3834143040462642E-7</v>
      </c>
      <c r="O1149" s="45" t="e">
        <f t="shared" si="141"/>
        <v>#VALUE!</v>
      </c>
      <c r="P1149" s="52" t="str">
        <f t="shared" si="142"/>
        <v/>
      </c>
      <c r="Q1149" s="53" t="str">
        <f t="shared" si="143"/>
        <v/>
      </c>
      <c r="R1149" s="54" t="str">
        <f t="shared" si="144"/>
        <v/>
      </c>
      <c r="S1149" s="53" t="str">
        <f t="shared" si="145"/>
        <v/>
      </c>
    </row>
    <row r="1150" spans="10:19" x14ac:dyDescent="0.15">
      <c r="J1150" s="38">
        <v>1141</v>
      </c>
      <c r="K1150" s="40"/>
      <c r="L1150" s="34">
        <f t="shared" si="139"/>
        <v>8.7190121805071964E-4</v>
      </c>
      <c r="M1150" s="35">
        <f t="shared" si="140"/>
        <v>2.3226243973453034E-9</v>
      </c>
      <c r="N1150" s="44">
        <f t="shared" si="138"/>
        <v>-2.5284106533365446E-7</v>
      </c>
      <c r="O1150" s="45" t="e">
        <f t="shared" si="141"/>
        <v>#VALUE!</v>
      </c>
      <c r="P1150" s="52" t="str">
        <f t="shared" si="142"/>
        <v/>
      </c>
      <c r="Q1150" s="53" t="str">
        <f t="shared" si="143"/>
        <v/>
      </c>
      <c r="R1150" s="54" t="str">
        <f t="shared" si="144"/>
        <v/>
      </c>
      <c r="S1150" s="53" t="str">
        <f t="shared" si="145"/>
        <v/>
      </c>
    </row>
    <row r="1151" spans="10:19" x14ac:dyDescent="0.15">
      <c r="J1151" s="38">
        <v>1142</v>
      </c>
      <c r="K1151" s="40"/>
      <c r="L1151" s="34">
        <f t="shared" si="139"/>
        <v>8.7190338747434475E-4</v>
      </c>
      <c r="M1151" s="35">
        <f t="shared" si="140"/>
        <v>2.0163417354619569E-9</v>
      </c>
      <c r="N1151" s="44">
        <f t="shared" si="138"/>
        <v>-2.6730758447327495E-7</v>
      </c>
      <c r="O1151" s="45" t="e">
        <f t="shared" si="141"/>
        <v>#VALUE!</v>
      </c>
      <c r="P1151" s="52" t="str">
        <f t="shared" si="142"/>
        <v/>
      </c>
      <c r="Q1151" s="53" t="str">
        <f t="shared" si="143"/>
        <v/>
      </c>
      <c r="R1151" s="54" t="str">
        <f t="shared" si="144"/>
        <v/>
      </c>
      <c r="S1151" s="53" t="str">
        <f t="shared" si="145"/>
        <v/>
      </c>
    </row>
    <row r="1152" spans="10:19" x14ac:dyDescent="0.15">
      <c r="J1152" s="38">
        <v>1143</v>
      </c>
      <c r="K1152" s="40"/>
      <c r="L1152" s="34">
        <f t="shared" si="139"/>
        <v>8.7190525097158669E-4</v>
      </c>
      <c r="M1152" s="35">
        <f t="shared" si="140"/>
        <v>1.7107712625181567E-9</v>
      </c>
      <c r="N1152" s="44">
        <f t="shared" si="138"/>
        <v>-2.8174108860257348E-7</v>
      </c>
      <c r="O1152" s="45" t="e">
        <f t="shared" si="141"/>
        <v>#VALUE!</v>
      </c>
      <c r="P1152" s="52" t="str">
        <f t="shared" si="142"/>
        <v/>
      </c>
      <c r="Q1152" s="53" t="str">
        <f t="shared" si="143"/>
        <v/>
      </c>
      <c r="R1152" s="54" t="str">
        <f t="shared" si="144"/>
        <v/>
      </c>
      <c r="S1152" s="53" t="str">
        <f t="shared" si="145"/>
        <v/>
      </c>
    </row>
    <row r="1153" spans="10:19" x14ac:dyDescent="0.15">
      <c r="J1153" s="38">
        <v>1144</v>
      </c>
      <c r="K1153" s="40"/>
      <c r="L1153" s="34">
        <f t="shared" si="139"/>
        <v>8.7190680925353071E-4</v>
      </c>
      <c r="M1153" s="35">
        <f t="shared" si="140"/>
        <v>1.4059107721850233E-9</v>
      </c>
      <c r="N1153" s="44">
        <f t="shared" si="138"/>
        <v>-2.9614167811888806E-7</v>
      </c>
      <c r="O1153" s="45" t="e">
        <f t="shared" si="141"/>
        <v>#VALUE!</v>
      </c>
      <c r="P1153" s="52" t="str">
        <f t="shared" si="142"/>
        <v/>
      </c>
      <c r="Q1153" s="53" t="str">
        <f t="shared" si="143"/>
        <v/>
      </c>
      <c r="R1153" s="54" t="str">
        <f t="shared" si="144"/>
        <v/>
      </c>
      <c r="S1153" s="53" t="str">
        <f t="shared" si="145"/>
        <v/>
      </c>
    </row>
    <row r="1154" spans="10:19" x14ac:dyDescent="0.15">
      <c r="J1154" s="38">
        <v>1145</v>
      </c>
      <c r="K1154" s="40"/>
      <c r="L1154" s="34">
        <f t="shared" si="139"/>
        <v>8.7190806302905953E-4</v>
      </c>
      <c r="M1154" s="35">
        <f t="shared" si="140"/>
        <v>1.1017580666708435E-9</v>
      </c>
      <c r="N1154" s="44">
        <f t="shared" si="138"/>
        <v>-3.1050945303715861E-7</v>
      </c>
      <c r="O1154" s="45" t="e">
        <f t="shared" si="141"/>
        <v>#VALUE!</v>
      </c>
      <c r="P1154" s="52" t="str">
        <f t="shared" si="142"/>
        <v/>
      </c>
      <c r="Q1154" s="53" t="str">
        <f t="shared" si="143"/>
        <v/>
      </c>
      <c r="R1154" s="54" t="str">
        <f t="shared" si="144"/>
        <v/>
      </c>
      <c r="S1154" s="53" t="str">
        <f t="shared" si="145"/>
        <v/>
      </c>
    </row>
    <row r="1155" spans="10:19" x14ac:dyDescent="0.15">
      <c r="J1155" s="38">
        <v>1146</v>
      </c>
      <c r="K1155" s="40"/>
      <c r="L1155" s="34">
        <f t="shared" si="139"/>
        <v>8.7190901300486241E-4</v>
      </c>
      <c r="M1155" s="35">
        <f t="shared" si="140"/>
        <v>7.9831095668157859E-10</v>
      </c>
      <c r="N1155" s="44">
        <f t="shared" si="138"/>
        <v>-3.2484451299263743E-7</v>
      </c>
      <c r="O1155" s="45" t="e">
        <f t="shared" si="141"/>
        <v>#VALUE!</v>
      </c>
      <c r="P1155" s="52" t="str">
        <f t="shared" si="142"/>
        <v/>
      </c>
      <c r="Q1155" s="53" t="str">
        <f t="shared" si="143"/>
        <v/>
      </c>
      <c r="R1155" s="54" t="str">
        <f t="shared" si="144"/>
        <v/>
      </c>
      <c r="S1155" s="53" t="str">
        <f t="shared" si="145"/>
        <v/>
      </c>
    </row>
    <row r="1156" spans="10:19" x14ac:dyDescent="0.15">
      <c r="J1156" s="38">
        <v>1147</v>
      </c>
      <c r="K1156" s="40"/>
      <c r="L1156" s="34">
        <f t="shared" si="139"/>
        <v>8.7190965988544417E-4</v>
      </c>
      <c r="M1156" s="35">
        <f t="shared" si="140"/>
        <v>4.9556726138146656E-10</v>
      </c>
      <c r="N1156" s="44">
        <f t="shared" si="138"/>
        <v>-3.3914695724392499E-7</v>
      </c>
      <c r="O1156" s="45" t="e">
        <f t="shared" si="141"/>
        <v>#VALUE!</v>
      </c>
      <c r="P1156" s="52" t="str">
        <f t="shared" si="142"/>
        <v/>
      </c>
      <c r="Q1156" s="53" t="str">
        <f t="shared" si="143"/>
        <v/>
      </c>
      <c r="R1156" s="54" t="str">
        <f t="shared" si="144"/>
        <v/>
      </c>
      <c r="S1156" s="53" t="str">
        <f t="shared" si="145"/>
        <v/>
      </c>
    </row>
    <row r="1157" spans="10:19" x14ac:dyDescent="0.15">
      <c r="J1157" s="38">
        <v>1148</v>
      </c>
      <c r="K1157" s="40"/>
      <c r="L1157" s="34">
        <f t="shared" si="139"/>
        <v>8.7191000437313233E-4</v>
      </c>
      <c r="M1157" s="35">
        <f t="shared" si="140"/>
        <v>1.9352480835385078E-10</v>
      </c>
      <c r="N1157" s="44">
        <f t="shared" si="138"/>
        <v>-3.5341688467210256E-7</v>
      </c>
      <c r="O1157" s="45" t="e">
        <f t="shared" si="141"/>
        <v>#VALUE!</v>
      </c>
      <c r="P1157" s="52" t="str">
        <f t="shared" si="142"/>
        <v/>
      </c>
      <c r="Q1157" s="53" t="str">
        <f t="shared" si="143"/>
        <v/>
      </c>
      <c r="R1157" s="54" t="str">
        <f t="shared" si="144"/>
        <v/>
      </c>
      <c r="S1157" s="53" t="str">
        <f t="shared" si="145"/>
        <v/>
      </c>
    </row>
    <row r="1158" spans="10:19" x14ac:dyDescent="0.15">
      <c r="J1158" s="38">
        <v>1149</v>
      </c>
      <c r="K1158" s="40"/>
      <c r="L1158" s="34">
        <f t="shared" si="139"/>
        <v>8.7191004716808687E-4</v>
      </c>
      <c r="M1158" s="35">
        <f t="shared" si="140"/>
        <v>-1.0781856643786791E-10</v>
      </c>
      <c r="N1158" s="44">
        <f t="shared" si="138"/>
        <v>-3.6765439378452693E-7</v>
      </c>
      <c r="O1158" s="45" t="e">
        <f t="shared" si="141"/>
        <v>#VALUE!</v>
      </c>
      <c r="P1158" s="52" t="str">
        <f t="shared" si="142"/>
        <v/>
      </c>
      <c r="Q1158" s="53" t="str">
        <f t="shared" si="143"/>
        <v/>
      </c>
      <c r="R1158" s="54" t="str">
        <f t="shared" si="144"/>
        <v/>
      </c>
      <c r="S1158" s="53" t="str">
        <f t="shared" si="145"/>
        <v/>
      </c>
    </row>
    <row r="1159" spans="10:19" x14ac:dyDescent="0.15">
      <c r="J1159" s="38">
        <v>1150</v>
      </c>
      <c r="K1159" s="40"/>
      <c r="L1159" s="34">
        <f t="shared" si="139"/>
        <v>8.7190978896830717E-4</v>
      </c>
      <c r="M1159" s="35">
        <f t="shared" si="140"/>
        <v>-4.0846501868890429E-10</v>
      </c>
      <c r="N1159" s="44">
        <f t="shared" si="138"/>
        <v>-3.8185958271558934E-7</v>
      </c>
      <c r="O1159" s="45" t="e">
        <f t="shared" si="141"/>
        <v>#VALUE!</v>
      </c>
      <c r="P1159" s="52" t="str">
        <f t="shared" si="142"/>
        <v/>
      </c>
      <c r="Q1159" s="53" t="str">
        <f t="shared" si="143"/>
        <v/>
      </c>
      <c r="R1159" s="54" t="str">
        <f t="shared" si="144"/>
        <v/>
      </c>
      <c r="S1159" s="53" t="str">
        <f t="shared" si="145"/>
        <v/>
      </c>
    </row>
    <row r="1160" spans="10:19" x14ac:dyDescent="0.15">
      <c r="J1160" s="38">
        <v>1151</v>
      </c>
      <c r="K1160" s="40"/>
      <c r="L1160" s="34">
        <f t="shared" si="139"/>
        <v>8.7190923046964123E-4</v>
      </c>
      <c r="M1160" s="35">
        <f t="shared" si="140"/>
        <v>-7.0841669579169144E-10</v>
      </c>
      <c r="N1160" s="44">
        <f t="shared" si="138"/>
        <v>-3.960325492284502E-7</v>
      </c>
      <c r="O1160" s="45" t="e">
        <f t="shared" si="141"/>
        <v>#VALUE!</v>
      </c>
      <c r="P1160" s="52" t="str">
        <f t="shared" si="142"/>
        <v/>
      </c>
      <c r="Q1160" s="53" t="str">
        <f t="shared" si="143"/>
        <v/>
      </c>
      <c r="R1160" s="54" t="str">
        <f t="shared" si="144"/>
        <v/>
      </c>
      <c r="S1160" s="53" t="str">
        <f t="shared" si="145"/>
        <v/>
      </c>
    </row>
    <row r="1161" spans="10:19" x14ac:dyDescent="0.15">
      <c r="J1161" s="38">
        <v>1152</v>
      </c>
      <c r="K1161" s="40"/>
      <c r="L1161" s="34">
        <f t="shared" si="139"/>
        <v>8.7190837236579392E-4</v>
      </c>
      <c r="M1161" s="35">
        <f t="shared" si="140"/>
        <v>-1.0076757368742137E-9</v>
      </c>
      <c r="N1161" s="44">
        <f t="shared" ref="N1161:N1224" si="146">(L1211-L1161)</f>
        <v>-4.1017339071590646E-7</v>
      </c>
      <c r="O1161" s="45" t="e">
        <f t="shared" si="141"/>
        <v>#VALUE!</v>
      </c>
      <c r="P1161" s="52" t="str">
        <f t="shared" si="142"/>
        <v/>
      </c>
      <c r="Q1161" s="53" t="str">
        <f t="shared" si="143"/>
        <v/>
      </c>
      <c r="R1161" s="54" t="str">
        <f t="shared" si="144"/>
        <v/>
      </c>
      <c r="S1161" s="53" t="str">
        <f t="shared" si="145"/>
        <v/>
      </c>
    </row>
    <row r="1162" spans="10:19" x14ac:dyDescent="0.15">
      <c r="J1162" s="38">
        <v>1153</v>
      </c>
      <c r="K1162" s="40"/>
      <c r="L1162" s="34">
        <f t="shared" ref="L1162:L1225" si="147">$F$39*((1-$F$40*J1162)/(1+$F$41*J1162))*(J1162-$F$42)</f>
        <v>8.7190721534833573E-4</v>
      </c>
      <c r="M1162" s="35">
        <f t="shared" ref="M1162:M1225" si="148">$F$39*((1-2*$F$40*J1162-$F$40*$F$41*(J1162^2)+($F$41+$F$40)*$F$42)/(1+$F$41*J1162)^2)</f>
        <v>-1.3062442728381574E-9</v>
      </c>
      <c r="N1162" s="44">
        <f t="shared" si="146"/>
        <v>-4.2428220420559579E-7</v>
      </c>
      <c r="O1162" s="45" t="e">
        <f t="shared" ref="O1162:O1225" si="149">IF(N1162&lt;=$B$49,1+O1161,0)</f>
        <v>#VALUE!</v>
      </c>
      <c r="P1162" s="52" t="str">
        <f t="shared" ref="P1162:P1225" si="150">IF(J1162&lt;=$F$42,J1162,"")</f>
        <v/>
      </c>
      <c r="Q1162" s="53" t="str">
        <f t="shared" ref="Q1162:Q1225" si="151">IF(J1162&lt;=$F$42,L1162,"")</f>
        <v/>
      </c>
      <c r="R1162" s="54" t="str">
        <f t="shared" ref="R1162:R1225" si="152">IF(AND(J1162&gt;=$F$42,J1162&lt;=200),J1162,"")</f>
        <v/>
      </c>
      <c r="S1162" s="53" t="str">
        <f t="shared" ref="S1162:S1225" si="153">IF(AND(J1162&gt;=$F$42,J1162&lt;=200),L1162,"")</f>
        <v/>
      </c>
    </row>
    <row r="1163" spans="10:19" x14ac:dyDescent="0.15">
      <c r="J1163" s="38">
        <v>1154</v>
      </c>
      <c r="K1163" s="40"/>
      <c r="L1163" s="34">
        <f t="shared" si="147"/>
        <v>8.719057601067091E-4</v>
      </c>
      <c r="M1163" s="35">
        <f t="shared" si="148"/>
        <v>-1.6041244263967948E-9</v>
      </c>
      <c r="N1163" s="44">
        <f t="shared" si="146"/>
        <v>-4.3835908635631027E-7</v>
      </c>
      <c r="O1163" s="45" t="e">
        <f t="shared" si="149"/>
        <v>#VALUE!</v>
      </c>
      <c r="P1163" s="52" t="str">
        <f t="shared" si="150"/>
        <v/>
      </c>
      <c r="Q1163" s="53" t="str">
        <f t="shared" si="151"/>
        <v/>
      </c>
      <c r="R1163" s="54" t="str">
        <f t="shared" si="152"/>
        <v/>
      </c>
      <c r="S1163" s="53" t="str">
        <f t="shared" si="153"/>
        <v/>
      </c>
    </row>
    <row r="1164" spans="10:19" x14ac:dyDescent="0.15">
      <c r="J1164" s="38">
        <v>1155</v>
      </c>
      <c r="K1164" s="40"/>
      <c r="L1164" s="34">
        <f t="shared" si="147"/>
        <v>8.7190400732823877E-4</v>
      </c>
      <c r="M1164" s="35">
        <f t="shared" si="148"/>
        <v>-1.9013183121128243E-9</v>
      </c>
      <c r="N1164" s="44">
        <f t="shared" si="146"/>
        <v>-4.5240413346439318E-7</v>
      </c>
      <c r="O1164" s="45" t="e">
        <f t="shared" si="149"/>
        <v>#VALUE!</v>
      </c>
      <c r="P1164" s="52" t="str">
        <f t="shared" si="150"/>
        <v/>
      </c>
      <c r="Q1164" s="53" t="str">
        <f t="shared" si="151"/>
        <v/>
      </c>
      <c r="R1164" s="54" t="str">
        <f t="shared" si="152"/>
        <v/>
      </c>
      <c r="S1164" s="53" t="str">
        <f t="shared" si="153"/>
        <v/>
      </c>
    </row>
    <row r="1165" spans="10:19" x14ac:dyDescent="0.15">
      <c r="J1165" s="38">
        <v>1156</v>
      </c>
      <c r="K1165" s="40"/>
      <c r="L1165" s="34">
        <f t="shared" si="147"/>
        <v>8.7190195769813858E-4</v>
      </c>
      <c r="M1165" s="35">
        <f t="shared" si="148"/>
        <v>-2.1978280364356978E-9</v>
      </c>
      <c r="N1165" s="44">
        <f t="shared" si="146"/>
        <v>-4.6641744146211275E-7</v>
      </c>
      <c r="O1165" s="45" t="e">
        <f t="shared" si="149"/>
        <v>#VALUE!</v>
      </c>
      <c r="P1165" s="52" t="str">
        <f t="shared" si="150"/>
        <v/>
      </c>
      <c r="Q1165" s="53" t="str">
        <f t="shared" si="151"/>
        <v/>
      </c>
      <c r="R1165" s="54" t="str">
        <f t="shared" si="152"/>
        <v/>
      </c>
      <c r="S1165" s="53" t="str">
        <f t="shared" si="153"/>
        <v/>
      </c>
    </row>
    <row r="1166" spans="10:19" x14ac:dyDescent="0.15">
      <c r="J1166" s="38">
        <v>1157</v>
      </c>
      <c r="K1166" s="40"/>
      <c r="L1166" s="34">
        <f t="shared" si="147"/>
        <v>8.7189961189952008E-4</v>
      </c>
      <c r="M1166" s="35">
        <f t="shared" si="148"/>
        <v>-2.49365569773921E-9</v>
      </c>
      <c r="N1166" s="44">
        <f t="shared" si="146"/>
        <v>-4.8039910592123994E-7</v>
      </c>
      <c r="O1166" s="45" t="e">
        <f t="shared" si="149"/>
        <v>#VALUE!</v>
      </c>
      <c r="P1166" s="52" t="str">
        <f t="shared" si="150"/>
        <v/>
      </c>
      <c r="Q1166" s="53" t="str">
        <f t="shared" si="151"/>
        <v/>
      </c>
      <c r="R1166" s="54" t="str">
        <f t="shared" si="152"/>
        <v/>
      </c>
      <c r="S1166" s="53" t="str">
        <f t="shared" si="153"/>
        <v/>
      </c>
    </row>
    <row r="1167" spans="10:19" x14ac:dyDescent="0.15">
      <c r="J1167" s="38">
        <v>1158</v>
      </c>
      <c r="K1167" s="40"/>
      <c r="L1167" s="34">
        <f t="shared" si="147"/>
        <v>8.7189697061340057E-4</v>
      </c>
      <c r="M1167" s="35">
        <f t="shared" si="148"/>
        <v>-2.7888033863583987E-9</v>
      </c>
      <c r="N1167" s="44">
        <f t="shared" si="146"/>
        <v>-4.9434922205434956E-7</v>
      </c>
      <c r="O1167" s="45" t="e">
        <f t="shared" si="149"/>
        <v>#VALUE!</v>
      </c>
      <c r="P1167" s="52" t="str">
        <f t="shared" si="150"/>
        <v/>
      </c>
      <c r="Q1167" s="53" t="str">
        <f t="shared" si="151"/>
        <v/>
      </c>
      <c r="R1167" s="54" t="str">
        <f t="shared" si="152"/>
        <v/>
      </c>
      <c r="S1167" s="53" t="str">
        <f t="shared" si="153"/>
        <v/>
      </c>
    </row>
    <row r="1168" spans="10:19" x14ac:dyDescent="0.15">
      <c r="J1168" s="38">
        <v>1159</v>
      </c>
      <c r="K1168" s="40"/>
      <c r="L1168" s="34">
        <f t="shared" si="147"/>
        <v>8.7189403451871082E-4</v>
      </c>
      <c r="M1168" s="35">
        <f t="shared" si="148"/>
        <v>-3.0832731846265808E-9</v>
      </c>
      <c r="N1168" s="44">
        <f t="shared" si="146"/>
        <v>-5.0826788471536235E-7</v>
      </c>
      <c r="O1168" s="45" t="e">
        <f t="shared" si="149"/>
        <v>#VALUE!</v>
      </c>
      <c r="P1168" s="52" t="str">
        <f t="shared" si="150"/>
        <v/>
      </c>
      <c r="Q1168" s="53" t="str">
        <f t="shared" si="151"/>
        <v/>
      </c>
      <c r="R1168" s="54" t="str">
        <f t="shared" si="152"/>
        <v/>
      </c>
      <c r="S1168" s="53" t="str">
        <f t="shared" si="153"/>
        <v/>
      </c>
    </row>
    <row r="1169" spans="10:19" x14ac:dyDescent="0.15">
      <c r="J1169" s="38">
        <v>1160</v>
      </c>
      <c r="K1169" s="40"/>
      <c r="L1169" s="34">
        <f t="shared" si="147"/>
        <v>8.7189080429230339E-4</v>
      </c>
      <c r="M1169" s="35">
        <f t="shared" si="148"/>
        <v>-3.3770671669120684E-9</v>
      </c>
      <c r="N1169" s="44">
        <f t="shared" si="146"/>
        <v>-5.2215518840247228E-7</v>
      </c>
      <c r="O1169" s="45" t="e">
        <f t="shared" si="149"/>
        <v>#VALUE!</v>
      </c>
      <c r="P1169" s="52" t="str">
        <f t="shared" si="150"/>
        <v/>
      </c>
      <c r="Q1169" s="53" t="str">
        <f t="shared" si="151"/>
        <v/>
      </c>
      <c r="R1169" s="54" t="str">
        <f t="shared" si="152"/>
        <v/>
      </c>
      <c r="S1169" s="53" t="str">
        <f t="shared" si="153"/>
        <v/>
      </c>
    </row>
    <row r="1170" spans="10:19" x14ac:dyDescent="0.15">
      <c r="J1170" s="38">
        <v>1161</v>
      </c>
      <c r="K1170" s="40"/>
      <c r="L1170" s="34">
        <f t="shared" si="147"/>
        <v>8.7188728060896012E-4</v>
      </c>
      <c r="M1170" s="35">
        <f t="shared" si="148"/>
        <v>-3.6701873996546522E-9</v>
      </c>
      <c r="N1170" s="44">
        <f t="shared" si="146"/>
        <v>-5.3601122725890557E-7</v>
      </c>
      <c r="O1170" s="45" t="e">
        <f t="shared" si="149"/>
        <v>#VALUE!</v>
      </c>
      <c r="P1170" s="52" t="str">
        <f t="shared" si="150"/>
        <v/>
      </c>
      <c r="Q1170" s="53" t="str">
        <f t="shared" si="151"/>
        <v/>
      </c>
      <c r="R1170" s="54" t="str">
        <f t="shared" si="152"/>
        <v/>
      </c>
      <c r="S1170" s="53" t="str">
        <f t="shared" si="153"/>
        <v/>
      </c>
    </row>
    <row r="1171" spans="10:19" x14ac:dyDescent="0.15">
      <c r="J1171" s="38">
        <v>1162</v>
      </c>
      <c r="K1171" s="40"/>
      <c r="L1171" s="34">
        <f t="shared" si="147"/>
        <v>8.7188346414140082E-4</v>
      </c>
      <c r="M1171" s="35">
        <f t="shared" si="148"/>
        <v>-3.9626359414020277E-9</v>
      </c>
      <c r="N1171" s="44">
        <f t="shared" si="146"/>
        <v>-5.4983609507487218E-7</v>
      </c>
      <c r="O1171" s="45" t="e">
        <f t="shared" si="149"/>
        <v>#VALUE!</v>
      </c>
      <c r="P1171" s="52" t="str">
        <f t="shared" si="150"/>
        <v/>
      </c>
      <c r="Q1171" s="53" t="str">
        <f t="shared" si="151"/>
        <v/>
      </c>
      <c r="R1171" s="54" t="str">
        <f t="shared" si="152"/>
        <v/>
      </c>
      <c r="S1171" s="53" t="str">
        <f t="shared" si="153"/>
        <v/>
      </c>
    </row>
    <row r="1172" spans="10:19" x14ac:dyDescent="0.15">
      <c r="J1172" s="38">
        <v>1163</v>
      </c>
      <c r="K1172" s="40"/>
      <c r="L1172" s="34">
        <f t="shared" si="147"/>
        <v>8.718793555602904E-4</v>
      </c>
      <c r="M1172" s="35">
        <f t="shared" si="148"/>
        <v>-4.2544148428458343E-9</v>
      </c>
      <c r="N1172" s="44">
        <f t="shared" si="146"/>
        <v>-5.6362988528919217E-7</v>
      </c>
      <c r="O1172" s="45" t="e">
        <f t="shared" si="149"/>
        <v>#VALUE!</v>
      </c>
      <c r="P1172" s="52" t="str">
        <f t="shared" si="150"/>
        <v/>
      </c>
      <c r="Q1172" s="53" t="str">
        <f t="shared" si="151"/>
        <v/>
      </c>
      <c r="R1172" s="54" t="str">
        <f t="shared" si="152"/>
        <v/>
      </c>
      <c r="S1172" s="53" t="str">
        <f t="shared" si="153"/>
        <v/>
      </c>
    </row>
    <row r="1173" spans="10:19" x14ac:dyDescent="0.15">
      <c r="J1173" s="38">
        <v>1164</v>
      </c>
      <c r="K1173" s="40"/>
      <c r="L1173" s="34">
        <f t="shared" si="147"/>
        <v>8.7187495553424745E-4</v>
      </c>
      <c r="M1173" s="35">
        <f t="shared" si="148"/>
        <v>-4.5455261468577188E-9</v>
      </c>
      <c r="N1173" s="44">
        <f t="shared" si="146"/>
        <v>-5.7739269099135564E-7</v>
      </c>
      <c r="O1173" s="45" t="e">
        <f t="shared" si="149"/>
        <v>#VALUE!</v>
      </c>
      <c r="P1173" s="52" t="str">
        <f t="shared" si="150"/>
        <v/>
      </c>
      <c r="Q1173" s="53" t="str">
        <f t="shared" si="151"/>
        <v/>
      </c>
      <c r="R1173" s="54" t="str">
        <f t="shared" si="152"/>
        <v/>
      </c>
      <c r="S1173" s="53" t="str">
        <f t="shared" si="153"/>
        <v/>
      </c>
    </row>
    <row r="1174" spans="10:19" x14ac:dyDescent="0.15">
      <c r="J1174" s="38">
        <v>1165</v>
      </c>
      <c r="K1174" s="40"/>
      <c r="L1174" s="34">
        <f t="shared" si="147"/>
        <v>8.7187026472985106E-4</v>
      </c>
      <c r="M1174" s="35">
        <f t="shared" si="148"/>
        <v>-4.8359718885249407E-9</v>
      </c>
      <c r="N1174" s="44">
        <f t="shared" si="146"/>
        <v>-5.9112460492184802E-7</v>
      </c>
      <c r="O1174" s="45" t="e">
        <f t="shared" si="149"/>
        <v>#VALUE!</v>
      </c>
      <c r="P1174" s="52" t="str">
        <f t="shared" si="150"/>
        <v/>
      </c>
      <c r="Q1174" s="53" t="str">
        <f t="shared" si="151"/>
        <v/>
      </c>
      <c r="R1174" s="54" t="str">
        <f t="shared" si="152"/>
        <v/>
      </c>
      <c r="S1174" s="53" t="str">
        <f t="shared" si="153"/>
        <v/>
      </c>
    </row>
    <row r="1175" spans="10:19" x14ac:dyDescent="0.15">
      <c r="J1175" s="38">
        <v>1166</v>
      </c>
      <c r="K1175" s="40"/>
      <c r="L1175" s="34">
        <f t="shared" si="147"/>
        <v>8.7186528381164887E-4</v>
      </c>
      <c r="M1175" s="35">
        <f t="shared" si="148"/>
        <v>-5.1257540951861249E-9</v>
      </c>
      <c r="N1175" s="44">
        <f t="shared" si="146"/>
        <v>-6.0482571947399321E-7</v>
      </c>
      <c r="O1175" s="45" t="e">
        <f t="shared" si="149"/>
        <v>#VALUE!</v>
      </c>
      <c r="P1175" s="52" t="str">
        <f t="shared" si="150"/>
        <v/>
      </c>
      <c r="Q1175" s="53" t="str">
        <f t="shared" si="151"/>
        <v/>
      </c>
      <c r="R1175" s="54" t="str">
        <f t="shared" si="152"/>
        <v/>
      </c>
      <c r="S1175" s="53" t="str">
        <f t="shared" si="153"/>
        <v/>
      </c>
    </row>
    <row r="1176" spans="10:19" x14ac:dyDescent="0.15">
      <c r="J1176" s="38">
        <v>1167</v>
      </c>
      <c r="K1176" s="40"/>
      <c r="L1176" s="34">
        <f t="shared" si="147"/>
        <v>8.7186001344216558E-4</v>
      </c>
      <c r="M1176" s="35">
        <f t="shared" si="148"/>
        <v>-5.4148747864664912E-9</v>
      </c>
      <c r="N1176" s="44">
        <f t="shared" si="146"/>
        <v>-6.1849612669633881E-7</v>
      </c>
      <c r="O1176" s="45" t="e">
        <f t="shared" si="149"/>
        <v>#VALUE!</v>
      </c>
      <c r="P1176" s="52" t="str">
        <f t="shared" si="150"/>
        <v/>
      </c>
      <c r="Q1176" s="53" t="str">
        <f t="shared" si="151"/>
        <v/>
      </c>
      <c r="R1176" s="54" t="str">
        <f t="shared" si="152"/>
        <v/>
      </c>
      <c r="S1176" s="53" t="str">
        <f t="shared" si="153"/>
        <v/>
      </c>
    </row>
    <row r="1177" spans="10:19" x14ac:dyDescent="0.15">
      <c r="J1177" s="38">
        <v>1168</v>
      </c>
      <c r="K1177" s="40"/>
      <c r="L1177" s="34">
        <f t="shared" si="147"/>
        <v>8.7185445428191008E-4</v>
      </c>
      <c r="M1177" s="35">
        <f t="shared" si="148"/>
        <v>-5.7033359743130851E-9</v>
      </c>
      <c r="N1177" s="44">
        <f t="shared" si="146"/>
        <v>-6.3213591829439086E-7</v>
      </c>
      <c r="O1177" s="45" t="e">
        <f t="shared" si="149"/>
        <v>#VALUE!</v>
      </c>
      <c r="P1177" s="52" t="str">
        <f t="shared" si="150"/>
        <v/>
      </c>
      <c r="Q1177" s="53" t="str">
        <f t="shared" si="151"/>
        <v/>
      </c>
      <c r="R1177" s="54" t="str">
        <f t="shared" si="152"/>
        <v/>
      </c>
      <c r="S1177" s="53" t="str">
        <f t="shared" si="153"/>
        <v/>
      </c>
    </row>
    <row r="1178" spans="10:19" x14ac:dyDescent="0.15">
      <c r="J1178" s="38">
        <v>1169</v>
      </c>
      <c r="K1178" s="40"/>
      <c r="L1178" s="34">
        <f t="shared" si="147"/>
        <v>8.7184860698938328E-4</v>
      </c>
      <c r="M1178" s="35">
        <f t="shared" si="148"/>
        <v>-5.9911396630297998E-9</v>
      </c>
      <c r="N1178" s="44">
        <f t="shared" si="146"/>
        <v>-6.4574518563104751E-7</v>
      </c>
      <c r="O1178" s="45" t="e">
        <f t="shared" si="149"/>
        <v>#VALUE!</v>
      </c>
      <c r="P1178" s="52" t="str">
        <f t="shared" si="150"/>
        <v/>
      </c>
      <c r="Q1178" s="53" t="str">
        <f t="shared" si="151"/>
        <v/>
      </c>
      <c r="R1178" s="54" t="str">
        <f t="shared" si="152"/>
        <v/>
      </c>
      <c r="S1178" s="53" t="str">
        <f t="shared" si="153"/>
        <v/>
      </c>
    </row>
    <row r="1179" spans="10:19" x14ac:dyDescent="0.15">
      <c r="J1179" s="38">
        <v>1170</v>
      </c>
      <c r="K1179" s="40"/>
      <c r="L1179" s="34">
        <f t="shared" si="147"/>
        <v>8.7184247222108499E-4</v>
      </c>
      <c r="M1179" s="35">
        <f t="shared" si="148"/>
        <v>-6.2782878493121976E-9</v>
      </c>
      <c r="N1179" s="44">
        <f t="shared" si="146"/>
        <v>-6.5932401972865901E-7</v>
      </c>
      <c r="O1179" s="45" t="e">
        <f t="shared" si="149"/>
        <v>#VALUE!</v>
      </c>
      <c r="P1179" s="52" t="str">
        <f t="shared" si="150"/>
        <v/>
      </c>
      <c r="Q1179" s="53" t="str">
        <f t="shared" si="151"/>
        <v/>
      </c>
      <c r="R1179" s="54" t="str">
        <f t="shared" si="152"/>
        <v/>
      </c>
      <c r="S1179" s="53" t="str">
        <f t="shared" si="153"/>
        <v/>
      </c>
    </row>
    <row r="1180" spans="10:19" x14ac:dyDescent="0.15">
      <c r="J1180" s="38">
        <v>1171</v>
      </c>
      <c r="K1180" s="40"/>
      <c r="L1180" s="34">
        <f t="shared" si="147"/>
        <v>8.7183605063152238E-4</v>
      </c>
      <c r="M1180" s="35">
        <f t="shared" si="148"/>
        <v>-6.5647825222821196E-9</v>
      </c>
      <c r="N1180" s="44">
        <f t="shared" si="146"/>
        <v>-6.7287251126978663E-7</v>
      </c>
      <c r="O1180" s="45" t="e">
        <f t="shared" si="149"/>
        <v>#VALUE!</v>
      </c>
      <c r="P1180" s="52" t="str">
        <f t="shared" si="150"/>
        <v/>
      </c>
      <c r="Q1180" s="53" t="str">
        <f t="shared" si="151"/>
        <v/>
      </c>
      <c r="R1180" s="54" t="str">
        <f t="shared" si="152"/>
        <v/>
      </c>
      <c r="S1180" s="53" t="str">
        <f t="shared" si="153"/>
        <v/>
      </c>
    </row>
    <row r="1181" spans="10:19" x14ac:dyDescent="0.15">
      <c r="J1181" s="38">
        <v>1172</v>
      </c>
      <c r="K1181" s="40"/>
      <c r="L1181" s="34">
        <f t="shared" si="147"/>
        <v>8.7182934287321752E-4</v>
      </c>
      <c r="M1181" s="35">
        <f t="shared" si="148"/>
        <v>-6.8506256635221384E-9</v>
      </c>
      <c r="N1181" s="44">
        <f t="shared" si="146"/>
        <v>-6.8639075060045532E-7</v>
      </c>
      <c r="O1181" s="45" t="e">
        <f t="shared" si="149"/>
        <v>#VALUE!</v>
      </c>
      <c r="P1181" s="52" t="str">
        <f t="shared" si="150"/>
        <v/>
      </c>
      <c r="Q1181" s="53" t="str">
        <f t="shared" si="151"/>
        <v/>
      </c>
      <c r="R1181" s="54" t="str">
        <f t="shared" si="152"/>
        <v/>
      </c>
      <c r="S1181" s="53" t="str">
        <f t="shared" si="153"/>
        <v/>
      </c>
    </row>
    <row r="1182" spans="10:19" x14ac:dyDescent="0.15">
      <c r="J1182" s="38">
        <v>1173</v>
      </c>
      <c r="K1182" s="40"/>
      <c r="L1182" s="34">
        <f t="shared" si="147"/>
        <v>8.7182234959671428E-4</v>
      </c>
      <c r="M1182" s="35">
        <f t="shared" si="148"/>
        <v>-7.1358192471098645E-9</v>
      </c>
      <c r="N1182" s="44">
        <f t="shared" si="146"/>
        <v>-6.9987882773026207E-7</v>
      </c>
      <c r="O1182" s="45" t="e">
        <f t="shared" si="149"/>
        <v>#VALUE!</v>
      </c>
      <c r="P1182" s="52" t="str">
        <f t="shared" si="150"/>
        <v/>
      </c>
      <c r="Q1182" s="53" t="str">
        <f t="shared" si="151"/>
        <v/>
      </c>
      <c r="R1182" s="54" t="str">
        <f t="shared" si="152"/>
        <v/>
      </c>
      <c r="S1182" s="53" t="str">
        <f t="shared" si="153"/>
        <v/>
      </c>
    </row>
    <row r="1183" spans="10:19" x14ac:dyDescent="0.15">
      <c r="J1183" s="38">
        <v>1174</v>
      </c>
      <c r="K1183" s="40"/>
      <c r="L1183" s="34">
        <f t="shared" si="147"/>
        <v>8.7181507145058694E-4</v>
      </c>
      <c r="M1183" s="35">
        <f t="shared" si="148"/>
        <v>-7.4203652396518806E-9</v>
      </c>
      <c r="N1183" s="44">
        <f t="shared" si="146"/>
        <v>-7.1333683233443593E-7</v>
      </c>
      <c r="O1183" s="45" t="e">
        <f t="shared" si="149"/>
        <v>#VALUE!</v>
      </c>
      <c r="P1183" s="52" t="str">
        <f t="shared" si="150"/>
        <v/>
      </c>
      <c r="Q1183" s="53" t="str">
        <f t="shared" si="151"/>
        <v/>
      </c>
      <c r="R1183" s="54" t="str">
        <f t="shared" si="152"/>
        <v/>
      </c>
      <c r="S1183" s="53" t="str">
        <f t="shared" si="153"/>
        <v/>
      </c>
    </row>
    <row r="1184" spans="10:19" x14ac:dyDescent="0.15">
      <c r="J1184" s="38">
        <v>1175</v>
      </c>
      <c r="K1184" s="40"/>
      <c r="L1184" s="34">
        <f t="shared" si="147"/>
        <v>8.7180750908144556E-4</v>
      </c>
      <c r="M1184" s="35">
        <f t="shared" si="148"/>
        <v>-7.7042656003178898E-9</v>
      </c>
      <c r="N1184" s="44">
        <f t="shared" si="146"/>
        <v>-7.2676485375448852E-7</v>
      </c>
      <c r="O1184" s="45" t="e">
        <f t="shared" si="149"/>
        <v>#VALUE!</v>
      </c>
      <c r="P1184" s="52" t="str">
        <f t="shared" si="150"/>
        <v/>
      </c>
      <c r="Q1184" s="53" t="str">
        <f t="shared" si="151"/>
        <v/>
      </c>
      <c r="R1184" s="54" t="str">
        <f t="shared" si="152"/>
        <v/>
      </c>
      <c r="S1184" s="53" t="str">
        <f t="shared" si="153"/>
        <v/>
      </c>
    </row>
    <row r="1185" spans="10:19" x14ac:dyDescent="0.15">
      <c r="J1185" s="38">
        <v>1176</v>
      </c>
      <c r="K1185" s="40"/>
      <c r="L1185" s="34">
        <f t="shared" si="147"/>
        <v>8.7179966313394623E-4</v>
      </c>
      <c r="M1185" s="35">
        <f t="shared" si="148"/>
        <v>-7.9875222808741946E-9</v>
      </c>
      <c r="N1185" s="44">
        <f t="shared" si="146"/>
        <v>-7.4016298100179189E-7</v>
      </c>
      <c r="O1185" s="45" t="e">
        <f t="shared" si="149"/>
        <v>#VALUE!</v>
      </c>
      <c r="P1185" s="52" t="str">
        <f t="shared" si="150"/>
        <v/>
      </c>
      <c r="Q1185" s="53" t="str">
        <f t="shared" si="151"/>
        <v/>
      </c>
      <c r="R1185" s="54" t="str">
        <f t="shared" si="152"/>
        <v/>
      </c>
      <c r="S1185" s="53" t="str">
        <f t="shared" si="153"/>
        <v/>
      </c>
    </row>
    <row r="1186" spans="10:19" x14ac:dyDescent="0.15">
      <c r="J1186" s="38">
        <v>1177</v>
      </c>
      <c r="K1186" s="40"/>
      <c r="L1186" s="34">
        <f t="shared" si="147"/>
        <v>8.7179153425079575E-4</v>
      </c>
      <c r="M1186" s="35">
        <f t="shared" si="148"/>
        <v>-8.2701372257174006E-9</v>
      </c>
      <c r="N1186" s="44">
        <f t="shared" si="146"/>
        <v>-7.535313027557354E-7</v>
      </c>
      <c r="O1186" s="45" t="e">
        <f t="shared" si="149"/>
        <v>#VALUE!</v>
      </c>
      <c r="P1186" s="52" t="str">
        <f t="shared" si="150"/>
        <v/>
      </c>
      <c r="Q1186" s="53" t="str">
        <f t="shared" si="151"/>
        <v/>
      </c>
      <c r="R1186" s="54" t="str">
        <f t="shared" si="152"/>
        <v/>
      </c>
      <c r="S1186" s="53" t="str">
        <f t="shared" si="153"/>
        <v/>
      </c>
    </row>
    <row r="1187" spans="10:19" x14ac:dyDescent="0.15">
      <c r="J1187" s="38">
        <v>1178</v>
      </c>
      <c r="K1187" s="40"/>
      <c r="L1187" s="34">
        <f t="shared" si="147"/>
        <v>8.7178312307276075E-4</v>
      </c>
      <c r="M1187" s="35">
        <f t="shared" si="148"/>
        <v>-8.5521123719077293E-9</v>
      </c>
      <c r="N1187" s="44">
        <f t="shared" si="146"/>
        <v>-7.6686990736817093E-7</v>
      </c>
      <c r="O1187" s="45" t="e">
        <f t="shared" si="149"/>
        <v>#VALUE!</v>
      </c>
      <c r="P1187" s="52" t="str">
        <f t="shared" si="150"/>
        <v/>
      </c>
      <c r="Q1187" s="53" t="str">
        <f t="shared" si="151"/>
        <v/>
      </c>
      <c r="R1187" s="54" t="str">
        <f t="shared" si="152"/>
        <v/>
      </c>
      <c r="S1187" s="53" t="str">
        <f t="shared" si="153"/>
        <v/>
      </c>
    </row>
    <row r="1188" spans="10:19" x14ac:dyDescent="0.15">
      <c r="J1188" s="38">
        <v>1179</v>
      </c>
      <c r="K1188" s="40"/>
      <c r="L1188" s="34">
        <f t="shared" si="147"/>
        <v>8.7177443023867473E-4</v>
      </c>
      <c r="M1188" s="35">
        <f t="shared" si="148"/>
        <v>-8.8334496492022147E-9</v>
      </c>
      <c r="N1188" s="44">
        <f t="shared" si="146"/>
        <v>-7.8017888286417182E-7</v>
      </c>
      <c r="O1188" s="45" t="e">
        <f t="shared" si="149"/>
        <v>#VALUE!</v>
      </c>
      <c r="P1188" s="52" t="str">
        <f t="shared" si="150"/>
        <v/>
      </c>
      <c r="Q1188" s="53" t="str">
        <f t="shared" si="151"/>
        <v/>
      </c>
      <c r="R1188" s="54" t="str">
        <f t="shared" si="152"/>
        <v/>
      </c>
      <c r="S1188" s="53" t="str">
        <f t="shared" si="153"/>
        <v/>
      </c>
    </row>
    <row r="1189" spans="10:19" x14ac:dyDescent="0.15">
      <c r="J1189" s="38">
        <v>1180</v>
      </c>
      <c r="K1189" s="40"/>
      <c r="L1189" s="34">
        <f t="shared" si="147"/>
        <v>8.7176545638544445E-4</v>
      </c>
      <c r="M1189" s="35">
        <f t="shared" si="148"/>
        <v>-9.1141509800877244E-9</v>
      </c>
      <c r="N1189" s="44">
        <f t="shared" si="146"/>
        <v>-7.9345831694192445E-7</v>
      </c>
      <c r="O1189" s="45" t="e">
        <f t="shared" si="149"/>
        <v>#VALUE!</v>
      </c>
      <c r="P1189" s="52" t="str">
        <f t="shared" si="150"/>
        <v/>
      </c>
      <c r="Q1189" s="53" t="str">
        <f t="shared" si="151"/>
        <v/>
      </c>
      <c r="R1189" s="54" t="str">
        <f t="shared" si="152"/>
        <v/>
      </c>
      <c r="S1189" s="53" t="str">
        <f t="shared" si="153"/>
        <v/>
      </c>
    </row>
    <row r="1190" spans="10:19" x14ac:dyDescent="0.15">
      <c r="J1190" s="38">
        <v>1181</v>
      </c>
      <c r="K1190" s="40"/>
      <c r="L1190" s="34">
        <f t="shared" si="147"/>
        <v>8.7175620214805839E-4</v>
      </c>
      <c r="M1190" s="35">
        <f t="shared" si="148"/>
        <v>-9.3942182798137984E-9</v>
      </c>
      <c r="N1190" s="44">
        <f t="shared" si="146"/>
        <v>-8.0670829697663139E-7</v>
      </c>
      <c r="O1190" s="45" t="e">
        <f t="shared" si="149"/>
        <v>#VALUE!</v>
      </c>
      <c r="P1190" s="52" t="str">
        <f t="shared" si="150"/>
        <v/>
      </c>
      <c r="Q1190" s="53" t="str">
        <f t="shared" si="151"/>
        <v/>
      </c>
      <c r="R1190" s="54" t="str">
        <f t="shared" si="152"/>
        <v/>
      </c>
      <c r="S1190" s="53" t="str">
        <f t="shared" si="153"/>
        <v/>
      </c>
    </row>
    <row r="1191" spans="10:19" x14ac:dyDescent="0.15">
      <c r="J1191" s="38">
        <v>1182</v>
      </c>
      <c r="K1191" s="40"/>
      <c r="L1191" s="34">
        <f t="shared" si="147"/>
        <v>8.7174666815959239E-4</v>
      </c>
      <c r="M1191" s="35">
        <f t="shared" si="148"/>
        <v>-9.6736534564252832E-9</v>
      </c>
      <c r="N1191" s="44">
        <f t="shared" si="146"/>
        <v>-8.1992891001888505E-7</v>
      </c>
      <c r="O1191" s="45" t="e">
        <f t="shared" si="149"/>
        <v>#VALUE!</v>
      </c>
      <c r="P1191" s="52" t="str">
        <f t="shared" si="150"/>
        <v/>
      </c>
      <c r="Q1191" s="53" t="str">
        <f t="shared" si="151"/>
        <v/>
      </c>
      <c r="R1191" s="54" t="str">
        <f t="shared" si="152"/>
        <v/>
      </c>
      <c r="S1191" s="53" t="str">
        <f t="shared" si="153"/>
        <v/>
      </c>
    </row>
    <row r="1192" spans="10:19" x14ac:dyDescent="0.15">
      <c r="J1192" s="38">
        <v>1183</v>
      </c>
      <c r="K1192" s="40"/>
      <c r="L1192" s="34">
        <f t="shared" si="147"/>
        <v>8.717368550512193E-4</v>
      </c>
      <c r="M1192" s="35">
        <f t="shared" si="148"/>
        <v>-9.952458410794923E-9</v>
      </c>
      <c r="N1192" s="44">
        <f t="shared" si="146"/>
        <v>-8.331202428003056E-7</v>
      </c>
      <c r="O1192" s="45" t="e">
        <f t="shared" si="149"/>
        <v>#VALUE!</v>
      </c>
      <c r="P1192" s="52" t="str">
        <f t="shared" si="150"/>
        <v/>
      </c>
      <c r="Q1192" s="53" t="str">
        <f t="shared" si="151"/>
        <v/>
      </c>
      <c r="R1192" s="54" t="str">
        <f t="shared" si="152"/>
        <v/>
      </c>
      <c r="S1192" s="53" t="str">
        <f t="shared" si="153"/>
        <v/>
      </c>
    </row>
    <row r="1193" spans="10:19" x14ac:dyDescent="0.15">
      <c r="J1193" s="38">
        <v>1184</v>
      </c>
      <c r="K1193" s="40"/>
      <c r="L1193" s="34">
        <f t="shared" si="147"/>
        <v>8.7172676345221374E-4</v>
      </c>
      <c r="M1193" s="35">
        <f t="shared" si="148"/>
        <v>-1.0230635036655573E-8</v>
      </c>
      <c r="N1193" s="44">
        <f t="shared" si="146"/>
        <v>-8.4628238173093881E-7</v>
      </c>
      <c r="O1193" s="45" t="e">
        <f t="shared" si="149"/>
        <v>#VALUE!</v>
      </c>
      <c r="P1193" s="52" t="str">
        <f t="shared" si="150"/>
        <v/>
      </c>
      <c r="Q1193" s="53" t="str">
        <f t="shared" si="151"/>
        <v/>
      </c>
      <c r="R1193" s="54" t="str">
        <f t="shared" si="152"/>
        <v/>
      </c>
      <c r="S1193" s="53" t="str">
        <f t="shared" si="153"/>
        <v/>
      </c>
    </row>
    <row r="1194" spans="10:19" x14ac:dyDescent="0.15">
      <c r="J1194" s="38">
        <v>1185</v>
      </c>
      <c r="K1194" s="40"/>
      <c r="L1194" s="34">
        <f t="shared" si="147"/>
        <v>8.7171639398996004E-4</v>
      </c>
      <c r="M1194" s="35">
        <f t="shared" si="148"/>
        <v>-1.0508185220632482E-8</v>
      </c>
      <c r="N1194" s="44">
        <f t="shared" si="146"/>
        <v>-8.594154129018582E-7</v>
      </c>
      <c r="O1194" s="45" t="e">
        <f t="shared" si="149"/>
        <v>#VALUE!</v>
      </c>
      <c r="P1194" s="52" t="str">
        <f t="shared" si="150"/>
        <v/>
      </c>
      <c r="Q1194" s="53" t="str">
        <f t="shared" si="151"/>
        <v/>
      </c>
      <c r="R1194" s="54" t="str">
        <f t="shared" si="152"/>
        <v/>
      </c>
      <c r="S1194" s="53" t="str">
        <f t="shared" si="153"/>
        <v/>
      </c>
    </row>
    <row r="1195" spans="10:19" x14ac:dyDescent="0.15">
      <c r="J1195" s="38">
        <v>1186</v>
      </c>
      <c r="K1195" s="40"/>
      <c r="L1195" s="34">
        <f t="shared" si="147"/>
        <v>8.7170574728995991E-4</v>
      </c>
      <c r="M1195" s="35">
        <f t="shared" si="148"/>
        <v>-1.0785110842275151E-8</v>
      </c>
      <c r="N1195" s="44">
        <f t="shared" si="146"/>
        <v>-8.7251942208820075E-7</v>
      </c>
      <c r="O1195" s="45" t="e">
        <f t="shared" si="149"/>
        <v>#VALUE!</v>
      </c>
      <c r="P1195" s="52" t="str">
        <f t="shared" si="150"/>
        <v/>
      </c>
      <c r="Q1195" s="53" t="str">
        <f t="shared" si="151"/>
        <v/>
      </c>
      <c r="R1195" s="54" t="str">
        <f t="shared" si="152"/>
        <v/>
      </c>
      <c r="S1195" s="53" t="str">
        <f t="shared" si="153"/>
        <v/>
      </c>
    </row>
    <row r="1196" spans="10:19" x14ac:dyDescent="0.15">
      <c r="J1196" s="38">
        <v>1187</v>
      </c>
      <c r="K1196" s="40"/>
      <c r="L1196" s="34">
        <f t="shared" si="147"/>
        <v>8.7169482397583852E-4</v>
      </c>
      <c r="M1196" s="35">
        <f t="shared" si="148"/>
        <v>-1.1061413774089244E-8</v>
      </c>
      <c r="N1196" s="44">
        <f t="shared" si="146"/>
        <v>-8.8559449474851643E-7</v>
      </c>
      <c r="O1196" s="45" t="e">
        <f t="shared" si="149"/>
        <v>#VALUE!</v>
      </c>
      <c r="P1196" s="52" t="str">
        <f t="shared" si="150"/>
        <v/>
      </c>
      <c r="Q1196" s="53" t="str">
        <f t="shared" si="151"/>
        <v/>
      </c>
      <c r="R1196" s="54" t="str">
        <f t="shared" si="152"/>
        <v/>
      </c>
      <c r="S1196" s="53" t="str">
        <f t="shared" si="153"/>
        <v/>
      </c>
    </row>
    <row r="1197" spans="10:19" x14ac:dyDescent="0.15">
      <c r="J1197" s="38">
        <v>1188</v>
      </c>
      <c r="K1197" s="40"/>
      <c r="L1197" s="34">
        <f t="shared" si="147"/>
        <v>8.7168362466935286E-4</v>
      </c>
      <c r="M1197" s="35">
        <f t="shared" si="148"/>
        <v>-1.1337095881568222E-8</v>
      </c>
      <c r="N1197" s="44">
        <f t="shared" si="146"/>
        <v>-8.9864071602780392E-7</v>
      </c>
      <c r="O1197" s="45" t="e">
        <f t="shared" si="149"/>
        <v>#VALUE!</v>
      </c>
      <c r="P1197" s="52" t="str">
        <f t="shared" si="150"/>
        <v/>
      </c>
      <c r="Q1197" s="53" t="str">
        <f t="shared" si="151"/>
        <v/>
      </c>
      <c r="R1197" s="54" t="str">
        <f t="shared" si="152"/>
        <v/>
      </c>
      <c r="S1197" s="53" t="str">
        <f t="shared" si="153"/>
        <v/>
      </c>
    </row>
    <row r="1198" spans="10:19" x14ac:dyDescent="0.15">
      <c r="J1198" s="38">
        <v>1189</v>
      </c>
      <c r="K1198" s="40"/>
      <c r="L1198" s="34">
        <f t="shared" si="147"/>
        <v>8.7167214999039726E-4</v>
      </c>
      <c r="M1198" s="35">
        <f t="shared" si="148"/>
        <v>-1.1612159023224745E-8</v>
      </c>
      <c r="N1198" s="44">
        <f t="shared" si="146"/>
        <v>-9.1165817075729381E-7</v>
      </c>
      <c r="O1198" s="45" t="e">
        <f t="shared" si="149"/>
        <v>#VALUE!</v>
      </c>
      <c r="P1198" s="52" t="str">
        <f t="shared" si="150"/>
        <v/>
      </c>
      <c r="Q1198" s="53" t="str">
        <f t="shared" si="151"/>
        <v/>
      </c>
      <c r="R1198" s="54" t="str">
        <f t="shared" si="152"/>
        <v/>
      </c>
      <c r="S1198" s="53" t="str">
        <f t="shared" si="153"/>
        <v/>
      </c>
    </row>
    <row r="1199" spans="10:19" x14ac:dyDescent="0.15">
      <c r="J1199" s="38">
        <v>1190</v>
      </c>
      <c r="K1199" s="40"/>
      <c r="L1199" s="34">
        <f t="shared" si="147"/>
        <v>8.7166040055701108E-4</v>
      </c>
      <c r="M1199" s="35">
        <f t="shared" si="148"/>
        <v>-1.1886605050622157E-8</v>
      </c>
      <c r="N1199" s="44">
        <f t="shared" si="146"/>
        <v>-9.2464694345694223E-7</v>
      </c>
      <c r="O1199" s="45" t="e">
        <f t="shared" si="149"/>
        <v>#VALUE!</v>
      </c>
      <c r="P1199" s="52" t="str">
        <f t="shared" si="150"/>
        <v/>
      </c>
      <c r="Q1199" s="53" t="str">
        <f t="shared" si="151"/>
        <v/>
      </c>
      <c r="R1199" s="54" t="str">
        <f t="shared" si="152"/>
        <v/>
      </c>
      <c r="S1199" s="53" t="str">
        <f t="shared" si="153"/>
        <v/>
      </c>
    </row>
    <row r="1200" spans="10:19" x14ac:dyDescent="0.15">
      <c r="J1200" s="38">
        <v>1191</v>
      </c>
      <c r="K1200" s="40"/>
      <c r="L1200" s="34">
        <f t="shared" si="147"/>
        <v>8.7164837698538598E-4</v>
      </c>
      <c r="M1200" s="35">
        <f t="shared" si="148"/>
        <v>-1.2160435808405564E-8</v>
      </c>
      <c r="N1200" s="44">
        <f t="shared" si="146"/>
        <v>-9.3760711833694877E-7</v>
      </c>
      <c r="O1200" s="45" t="e">
        <f t="shared" si="149"/>
        <v>#VALUE!</v>
      </c>
      <c r="P1200" s="52" t="str">
        <f t="shared" si="150"/>
        <v/>
      </c>
      <c r="Q1200" s="53" t="str">
        <f t="shared" si="151"/>
        <v/>
      </c>
      <c r="R1200" s="54" t="str">
        <f t="shared" si="152"/>
        <v/>
      </c>
      <c r="S1200" s="53" t="str">
        <f t="shared" si="153"/>
        <v/>
      </c>
    </row>
    <row r="1201" spans="10:19" x14ac:dyDescent="0.15">
      <c r="J1201" s="38">
        <v>1192</v>
      </c>
      <c r="K1201" s="40"/>
      <c r="L1201" s="34">
        <f t="shared" si="147"/>
        <v>8.7163607988987148E-4</v>
      </c>
      <c r="M1201" s="35">
        <f t="shared" si="148"/>
        <v>-1.2433653134332734E-8</v>
      </c>
      <c r="N1201" s="44">
        <f t="shared" si="146"/>
        <v>-9.505387792969975E-7</v>
      </c>
      <c r="O1201" s="45" t="e">
        <f t="shared" si="149"/>
        <v>#VALUE!</v>
      </c>
      <c r="P1201" s="52" t="str">
        <f t="shared" si="150"/>
        <v/>
      </c>
      <c r="Q1201" s="53" t="str">
        <f t="shared" si="151"/>
        <v/>
      </c>
      <c r="R1201" s="54" t="str">
        <f t="shared" si="152"/>
        <v/>
      </c>
      <c r="S1201" s="53" t="str">
        <f t="shared" si="153"/>
        <v/>
      </c>
    </row>
    <row r="1202" spans="10:19" x14ac:dyDescent="0.15">
      <c r="J1202" s="38">
        <v>1193</v>
      </c>
      <c r="K1202" s="40"/>
      <c r="L1202" s="34">
        <f t="shared" si="147"/>
        <v>8.7162350988298411E-4</v>
      </c>
      <c r="M1202" s="35">
        <f t="shared" si="148"/>
        <v>-1.2706258859305152E-8</v>
      </c>
      <c r="N1202" s="44">
        <f t="shared" si="146"/>
        <v>-9.6344200993178641E-7</v>
      </c>
      <c r="O1202" s="45" t="e">
        <f t="shared" si="149"/>
        <v>#VALUE!</v>
      </c>
      <c r="P1202" s="52" t="str">
        <f t="shared" si="150"/>
        <v/>
      </c>
      <c r="Q1202" s="53" t="str">
        <f t="shared" si="151"/>
        <v/>
      </c>
      <c r="R1202" s="54" t="str">
        <f t="shared" si="152"/>
        <v/>
      </c>
      <c r="S1202" s="53" t="str">
        <f t="shared" si="153"/>
        <v/>
      </c>
    </row>
    <row r="1203" spans="10:19" x14ac:dyDescent="0.15">
      <c r="J1203" s="38">
        <v>1194</v>
      </c>
      <c r="K1203" s="40"/>
      <c r="L1203" s="34">
        <f t="shared" si="147"/>
        <v>8.7161066757541182E-4</v>
      </c>
      <c r="M1203" s="35">
        <f t="shared" si="148"/>
        <v>-1.2978254807398446E-8</v>
      </c>
      <c r="N1203" s="44">
        <f t="shared" si="146"/>
        <v>-9.7631689352766643E-7</v>
      </c>
      <c r="O1203" s="45" t="e">
        <f t="shared" si="149"/>
        <v>#VALUE!</v>
      </c>
      <c r="P1203" s="52" t="str">
        <f t="shared" si="150"/>
        <v/>
      </c>
      <c r="Q1203" s="53" t="str">
        <f t="shared" si="151"/>
        <v/>
      </c>
      <c r="R1203" s="54" t="str">
        <f t="shared" si="152"/>
        <v/>
      </c>
      <c r="S1203" s="53" t="str">
        <f t="shared" si="153"/>
        <v/>
      </c>
    </row>
    <row r="1204" spans="10:19" x14ac:dyDescent="0.15">
      <c r="J1204" s="38">
        <v>1195</v>
      </c>
      <c r="K1204" s="40"/>
      <c r="L1204" s="34">
        <f t="shared" si="147"/>
        <v>8.7159755357602237E-4</v>
      </c>
      <c r="M1204" s="35">
        <f t="shared" si="148"/>
        <v>-1.3249642795893084E-8</v>
      </c>
      <c r="N1204" s="44">
        <f t="shared" si="146"/>
        <v>-9.89163513067195E-7</v>
      </c>
      <c r="O1204" s="45" t="e">
        <f t="shared" si="149"/>
        <v>#VALUE!</v>
      </c>
      <c r="P1204" s="52" t="str">
        <f t="shared" si="150"/>
        <v/>
      </c>
      <c r="Q1204" s="53" t="str">
        <f t="shared" si="151"/>
        <v/>
      </c>
      <c r="R1204" s="54" t="str">
        <f t="shared" si="152"/>
        <v/>
      </c>
      <c r="S1204" s="53" t="str">
        <f t="shared" si="153"/>
        <v/>
      </c>
    </row>
    <row r="1205" spans="10:19" x14ac:dyDescent="0.15">
      <c r="J1205" s="38">
        <v>1196</v>
      </c>
      <c r="K1205" s="40"/>
      <c r="L1205" s="34">
        <f t="shared" si="147"/>
        <v>8.7158416849186977E-4</v>
      </c>
      <c r="M1205" s="35">
        <f t="shared" si="148"/>
        <v>-1.3520424635304635E-8</v>
      </c>
      <c r="N1205" s="44">
        <f t="shared" si="146"/>
        <v>-1.0019819512298951E-6</v>
      </c>
      <c r="O1205" s="45" t="e">
        <f t="shared" si="149"/>
        <v>#VALUE!</v>
      </c>
      <c r="P1205" s="52" t="str">
        <f t="shared" si="150"/>
        <v/>
      </c>
      <c r="Q1205" s="53" t="str">
        <f t="shared" si="151"/>
        <v/>
      </c>
      <c r="R1205" s="54" t="str">
        <f t="shared" si="152"/>
        <v/>
      </c>
      <c r="S1205" s="53" t="str">
        <f t="shared" si="153"/>
        <v/>
      </c>
    </row>
    <row r="1206" spans="10:19" x14ac:dyDescent="0.15">
      <c r="J1206" s="38">
        <v>1197</v>
      </c>
      <c r="K1206" s="40"/>
      <c r="L1206" s="34">
        <f t="shared" si="147"/>
        <v>8.7157051292820024E-4</v>
      </c>
      <c r="M1206" s="35">
        <f t="shared" si="148"/>
        <v>-1.3790602129414003E-8</v>
      </c>
      <c r="N1206" s="44">
        <f t="shared" si="146"/>
        <v>-1.0147722903918214E-6</v>
      </c>
      <c r="O1206" s="45" t="e">
        <f t="shared" si="149"/>
        <v>#VALUE!</v>
      </c>
      <c r="P1206" s="52" t="str">
        <f t="shared" si="150"/>
        <v/>
      </c>
      <c r="Q1206" s="53" t="str">
        <f t="shared" si="151"/>
        <v/>
      </c>
      <c r="R1206" s="54" t="str">
        <f t="shared" si="152"/>
        <v/>
      </c>
      <c r="S1206" s="53" t="str">
        <f t="shared" si="153"/>
        <v/>
      </c>
    </row>
    <row r="1207" spans="10:19" x14ac:dyDescent="0.15">
      <c r="J1207" s="38">
        <v>1198</v>
      </c>
      <c r="K1207" s="40"/>
      <c r="L1207" s="34">
        <f t="shared" si="147"/>
        <v>8.7155658748846023E-4</v>
      </c>
      <c r="M1207" s="35">
        <f t="shared" si="148"/>
        <v>-1.406017707529749E-8</v>
      </c>
      <c r="N1207" s="44">
        <f t="shared" si="146"/>
        <v>-1.0275346126296806E-6</v>
      </c>
      <c r="O1207" s="45" t="e">
        <f t="shared" si="149"/>
        <v>#VALUE!</v>
      </c>
      <c r="P1207" s="52" t="str">
        <f t="shared" si="150"/>
        <v/>
      </c>
      <c r="Q1207" s="53" t="str">
        <f t="shared" si="151"/>
        <v/>
      </c>
      <c r="R1207" s="54" t="str">
        <f t="shared" si="152"/>
        <v/>
      </c>
      <c r="S1207" s="53" t="str">
        <f t="shared" si="153"/>
        <v/>
      </c>
    </row>
    <row r="1208" spans="10:19" x14ac:dyDescent="0.15">
      <c r="J1208" s="38">
        <v>1199</v>
      </c>
      <c r="K1208" s="40"/>
      <c r="L1208" s="34">
        <f t="shared" si="147"/>
        <v>8.7154239277430234E-4</v>
      </c>
      <c r="M1208" s="35">
        <f t="shared" si="148"/>
        <v>-1.4329151263356576E-8</v>
      </c>
      <c r="N1208" s="44">
        <f t="shared" si="146"/>
        <v>-1.0402689997196382E-6</v>
      </c>
      <c r="O1208" s="45" t="e">
        <f t="shared" si="149"/>
        <v>#VALUE!</v>
      </c>
      <c r="P1208" s="52" t="str">
        <f t="shared" si="150"/>
        <v/>
      </c>
      <c r="Q1208" s="53" t="str">
        <f t="shared" si="151"/>
        <v/>
      </c>
      <c r="R1208" s="54" t="str">
        <f t="shared" si="152"/>
        <v/>
      </c>
      <c r="S1208" s="53" t="str">
        <f t="shared" si="153"/>
        <v/>
      </c>
    </row>
    <row r="1209" spans="10:19" x14ac:dyDescent="0.15">
      <c r="J1209" s="38">
        <v>1200</v>
      </c>
      <c r="K1209" s="40"/>
      <c r="L1209" s="34">
        <f t="shared" si="147"/>
        <v>8.7152792938559158E-4</v>
      </c>
      <c r="M1209" s="35">
        <f t="shared" si="148"/>
        <v>-1.4597526477347802E-8</v>
      </c>
      <c r="N1209" s="44">
        <f t="shared" si="146"/>
        <v>-1.0529755331397045E-6</v>
      </c>
      <c r="O1209" s="45" t="e">
        <f t="shared" si="149"/>
        <v>#VALUE!</v>
      </c>
      <c r="P1209" s="52" t="str">
        <f t="shared" si="150"/>
        <v/>
      </c>
      <c r="Q1209" s="53" t="str">
        <f t="shared" si="151"/>
        <v/>
      </c>
      <c r="R1209" s="54" t="str">
        <f t="shared" si="152"/>
        <v/>
      </c>
      <c r="S1209" s="53" t="str">
        <f t="shared" si="153"/>
        <v/>
      </c>
    </row>
    <row r="1210" spans="10:19" x14ac:dyDescent="0.15">
      <c r="J1210" s="38">
        <v>1201</v>
      </c>
      <c r="K1210" s="40"/>
      <c r="L1210" s="34">
        <f t="shared" si="147"/>
        <v>8.7151319792041278E-4</v>
      </c>
      <c r="M1210" s="35">
        <f t="shared" si="148"/>
        <v>-1.4865304494412149E-8</v>
      </c>
      <c r="N1210" s="44">
        <f t="shared" si="146"/>
        <v>-1.0656542940716855E-6</v>
      </c>
      <c r="O1210" s="45" t="e">
        <f t="shared" si="149"/>
        <v>#VALUE!</v>
      </c>
      <c r="P1210" s="52" t="str">
        <f t="shared" si="150"/>
        <v/>
      </c>
      <c r="Q1210" s="53" t="str">
        <f t="shared" si="151"/>
        <v/>
      </c>
      <c r="R1210" s="54" t="str">
        <f t="shared" si="152"/>
        <v/>
      </c>
      <c r="S1210" s="53" t="str">
        <f t="shared" si="153"/>
        <v/>
      </c>
    </row>
    <row r="1211" spans="10:19" x14ac:dyDescent="0.15">
      <c r="J1211" s="38">
        <v>1202</v>
      </c>
      <c r="K1211" s="40"/>
      <c r="L1211" s="34">
        <f t="shared" si="147"/>
        <v>8.7149819897507801E-4</v>
      </c>
      <c r="M1211" s="35">
        <f t="shared" si="148"/>
        <v>-1.5132487085104705E-8</v>
      </c>
      <c r="N1211" s="44">
        <f t="shared" si="146"/>
        <v>-1.0783053634019421E-6</v>
      </c>
      <c r="O1211" s="45" t="e">
        <f t="shared" si="149"/>
        <v>#VALUE!</v>
      </c>
      <c r="P1211" s="52" t="str">
        <f t="shared" si="150"/>
        <v/>
      </c>
      <c r="Q1211" s="53" t="str">
        <f t="shared" si="151"/>
        <v/>
      </c>
      <c r="R1211" s="54" t="str">
        <f t="shared" si="152"/>
        <v/>
      </c>
      <c r="S1211" s="53" t="str">
        <f t="shared" si="153"/>
        <v/>
      </c>
    </row>
    <row r="1212" spans="10:19" x14ac:dyDescent="0.15">
      <c r="J1212" s="38">
        <v>1203</v>
      </c>
      <c r="K1212" s="40"/>
      <c r="L1212" s="34">
        <f t="shared" si="147"/>
        <v>8.7148293314413014E-4</v>
      </c>
      <c r="M1212" s="35">
        <f t="shared" si="148"/>
        <v>-1.5399076013423668E-8</v>
      </c>
      <c r="N1212" s="44">
        <f t="shared" si="146"/>
        <v>-1.0909288217214987E-6</v>
      </c>
      <c r="O1212" s="45" t="e">
        <f t="shared" si="149"/>
        <v>#VALUE!</v>
      </c>
      <c r="P1212" s="52" t="str">
        <f t="shared" si="150"/>
        <v/>
      </c>
      <c r="Q1212" s="53" t="str">
        <f t="shared" si="151"/>
        <v/>
      </c>
      <c r="R1212" s="54" t="str">
        <f t="shared" si="152"/>
        <v/>
      </c>
      <c r="S1212" s="53" t="str">
        <f t="shared" si="153"/>
        <v/>
      </c>
    </row>
    <row r="1213" spans="10:19" x14ac:dyDescent="0.15">
      <c r="J1213" s="38">
        <v>1204</v>
      </c>
      <c r="K1213" s="40"/>
      <c r="L1213" s="34">
        <f t="shared" si="147"/>
        <v>8.7146740102035279E-4</v>
      </c>
      <c r="M1213" s="35">
        <f t="shared" si="148"/>
        <v>-1.5665073036839658E-8</v>
      </c>
      <c r="N1213" s="44">
        <f t="shared" si="146"/>
        <v>-1.1035247493295123E-6</v>
      </c>
      <c r="O1213" s="45" t="e">
        <f t="shared" si="149"/>
        <v>#VALUE!</v>
      </c>
      <c r="P1213" s="52" t="str">
        <f t="shared" si="150"/>
        <v/>
      </c>
      <c r="Q1213" s="53" t="str">
        <f t="shared" si="151"/>
        <v/>
      </c>
      <c r="R1213" s="54" t="str">
        <f t="shared" si="152"/>
        <v/>
      </c>
      <c r="S1213" s="53" t="str">
        <f t="shared" si="153"/>
        <v/>
      </c>
    </row>
    <row r="1214" spans="10:19" x14ac:dyDescent="0.15">
      <c r="J1214" s="38">
        <v>1205</v>
      </c>
      <c r="K1214" s="40"/>
      <c r="L1214" s="34">
        <f t="shared" si="147"/>
        <v>8.7145160319477438E-4</v>
      </c>
      <c r="M1214" s="35">
        <f t="shared" si="148"/>
        <v>-1.5930479906324587E-8</v>
      </c>
      <c r="N1214" s="44">
        <f t="shared" si="146"/>
        <v>-1.1160932262318634E-6</v>
      </c>
      <c r="O1214" s="45" t="e">
        <f t="shared" si="149"/>
        <v>#VALUE!</v>
      </c>
      <c r="P1214" s="52" t="str">
        <f t="shared" si="150"/>
        <v/>
      </c>
      <c r="Q1214" s="53" t="str">
        <f t="shared" si="151"/>
        <v/>
      </c>
      <c r="R1214" s="54" t="str">
        <f t="shared" si="152"/>
        <v/>
      </c>
      <c r="S1214" s="53" t="str">
        <f t="shared" si="153"/>
        <v/>
      </c>
    </row>
    <row r="1215" spans="10:19" x14ac:dyDescent="0.15">
      <c r="J1215" s="38">
        <v>1206</v>
      </c>
      <c r="K1215" s="40"/>
      <c r="L1215" s="34">
        <f t="shared" si="147"/>
        <v>8.7143554025667647E-4</v>
      </c>
      <c r="M1215" s="35">
        <f t="shared" si="148"/>
        <v>-1.6195298366380517E-8</v>
      </c>
      <c r="N1215" s="44">
        <f t="shared" si="146"/>
        <v>-1.1286343321461429E-6</v>
      </c>
      <c r="O1215" s="45" t="e">
        <f t="shared" si="149"/>
        <v>#VALUE!</v>
      </c>
      <c r="P1215" s="52" t="str">
        <f t="shared" si="150"/>
        <v/>
      </c>
      <c r="Q1215" s="53" t="str">
        <f t="shared" si="151"/>
        <v/>
      </c>
      <c r="R1215" s="54" t="str">
        <f t="shared" si="152"/>
        <v/>
      </c>
      <c r="S1215" s="53" t="str">
        <f t="shared" si="153"/>
        <v/>
      </c>
    </row>
    <row r="1216" spans="10:19" x14ac:dyDescent="0.15">
      <c r="J1216" s="38">
        <v>1207</v>
      </c>
      <c r="K1216" s="40"/>
      <c r="L1216" s="34">
        <f t="shared" si="147"/>
        <v>8.7141921279359884E-4</v>
      </c>
      <c r="M1216" s="35">
        <f t="shared" si="148"/>
        <v>-1.6459530155068342E-8</v>
      </c>
      <c r="N1216" s="44">
        <f t="shared" si="146"/>
        <v>-1.1411481464989421E-6</v>
      </c>
      <c r="O1216" s="45" t="e">
        <f t="shared" si="149"/>
        <v>#VALUE!</v>
      </c>
      <c r="P1216" s="52" t="str">
        <f t="shared" si="150"/>
        <v/>
      </c>
      <c r="Q1216" s="53" t="str">
        <f t="shared" si="151"/>
        <v/>
      </c>
      <c r="R1216" s="54" t="str">
        <f t="shared" si="152"/>
        <v/>
      </c>
      <c r="S1216" s="53" t="str">
        <f t="shared" si="153"/>
        <v/>
      </c>
    </row>
    <row r="1217" spans="10:19" x14ac:dyDescent="0.15">
      <c r="J1217" s="38">
        <v>1208</v>
      </c>
      <c r="K1217" s="40"/>
      <c r="L1217" s="34">
        <f t="shared" si="147"/>
        <v>8.7140262139134622E-4</v>
      </c>
      <c r="M1217" s="35">
        <f t="shared" si="148"/>
        <v>-1.6723177004036149E-8</v>
      </c>
      <c r="N1217" s="44">
        <f t="shared" si="146"/>
        <v>-1.1536347484293217E-6</v>
      </c>
      <c r="O1217" s="45" t="e">
        <f t="shared" si="149"/>
        <v>#VALUE!</v>
      </c>
      <c r="P1217" s="52" t="str">
        <f t="shared" si="150"/>
        <v/>
      </c>
      <c r="Q1217" s="53" t="str">
        <f t="shared" si="151"/>
        <v/>
      </c>
      <c r="R1217" s="54" t="str">
        <f t="shared" si="152"/>
        <v/>
      </c>
      <c r="S1217" s="53" t="str">
        <f t="shared" si="153"/>
        <v/>
      </c>
    </row>
    <row r="1218" spans="10:19" x14ac:dyDescent="0.15">
      <c r="J1218" s="38">
        <v>1209</v>
      </c>
      <c r="K1218" s="40"/>
      <c r="L1218" s="34">
        <f t="shared" si="147"/>
        <v>8.7138576663399546E-4</v>
      </c>
      <c r="M1218" s="35">
        <f t="shared" si="148"/>
        <v>-1.6986240638547878E-8</v>
      </c>
      <c r="N1218" s="44">
        <f t="shared" si="146"/>
        <v>-1.1660942167905468E-6</v>
      </c>
      <c r="O1218" s="45" t="e">
        <f t="shared" si="149"/>
        <v>#VALUE!</v>
      </c>
      <c r="P1218" s="52" t="str">
        <f t="shared" si="150"/>
        <v/>
      </c>
      <c r="Q1218" s="53" t="str">
        <f t="shared" si="151"/>
        <v/>
      </c>
      <c r="R1218" s="54" t="str">
        <f t="shared" si="152"/>
        <v/>
      </c>
      <c r="S1218" s="53" t="str">
        <f t="shared" si="153"/>
        <v/>
      </c>
    </row>
    <row r="1219" spans="10:19" x14ac:dyDescent="0.15">
      <c r="J1219" s="38">
        <v>1210</v>
      </c>
      <c r="K1219" s="40"/>
      <c r="L1219" s="34">
        <f t="shared" si="147"/>
        <v>8.7136864910390092E-4</v>
      </c>
      <c r="M1219" s="35">
        <f t="shared" si="148"/>
        <v>-1.7248722777511224E-8</v>
      </c>
      <c r="N1219" s="44">
        <f t="shared" si="146"/>
        <v>-1.1785266301491109E-6</v>
      </c>
      <c r="O1219" s="45" t="e">
        <f t="shared" si="149"/>
        <v>#VALUE!</v>
      </c>
      <c r="P1219" s="52" t="str">
        <f t="shared" si="150"/>
        <v/>
      </c>
      <c r="Q1219" s="53" t="str">
        <f t="shared" si="151"/>
        <v/>
      </c>
      <c r="R1219" s="54" t="str">
        <f t="shared" si="152"/>
        <v/>
      </c>
      <c r="S1219" s="53" t="str">
        <f t="shared" si="153"/>
        <v/>
      </c>
    </row>
    <row r="1220" spans="10:19" x14ac:dyDescent="0.15">
      <c r="J1220" s="38">
        <v>1211</v>
      </c>
      <c r="K1220" s="40"/>
      <c r="L1220" s="34">
        <f t="shared" si="147"/>
        <v>8.7135126938170122E-4</v>
      </c>
      <c r="M1220" s="35">
        <f t="shared" si="148"/>
        <v>-1.7510625133506015E-8</v>
      </c>
      <c r="N1220" s="44">
        <f t="shared" si="146"/>
        <v>-1.1909320667887477E-6</v>
      </c>
      <c r="O1220" s="45" t="e">
        <f t="shared" si="149"/>
        <v>#VALUE!</v>
      </c>
      <c r="P1220" s="52" t="str">
        <f t="shared" si="150"/>
        <v/>
      </c>
      <c r="Q1220" s="53" t="str">
        <f t="shared" si="151"/>
        <v/>
      </c>
      <c r="R1220" s="54" t="str">
        <f t="shared" si="152"/>
        <v/>
      </c>
      <c r="S1220" s="53" t="str">
        <f t="shared" si="153"/>
        <v/>
      </c>
    </row>
    <row r="1221" spans="10:19" x14ac:dyDescent="0.15">
      <c r="J1221" s="38">
        <v>1212</v>
      </c>
      <c r="K1221" s="40"/>
      <c r="L1221" s="34">
        <f t="shared" si="147"/>
        <v>8.7133362804632595E-4</v>
      </c>
      <c r="M1221" s="35">
        <f t="shared" si="148"/>
        <v>-1.7771949412811922E-8</v>
      </c>
      <c r="N1221" s="44">
        <f t="shared" si="146"/>
        <v>-1.20331060470913E-6</v>
      </c>
      <c r="O1221" s="45" t="e">
        <f t="shared" si="149"/>
        <v>#VALUE!</v>
      </c>
      <c r="P1221" s="52" t="str">
        <f t="shared" si="150"/>
        <v/>
      </c>
      <c r="Q1221" s="53" t="str">
        <f t="shared" si="151"/>
        <v/>
      </c>
      <c r="R1221" s="54" t="str">
        <f t="shared" si="152"/>
        <v/>
      </c>
      <c r="S1221" s="53" t="str">
        <f t="shared" si="153"/>
        <v/>
      </c>
    </row>
    <row r="1222" spans="10:19" x14ac:dyDescent="0.15">
      <c r="J1222" s="38">
        <v>1213</v>
      </c>
      <c r="K1222" s="40"/>
      <c r="L1222" s="34">
        <f t="shared" si="147"/>
        <v>8.7131572567500121E-4</v>
      </c>
      <c r="M1222" s="35">
        <f t="shared" si="148"/>
        <v>-1.8032697315436353E-8</v>
      </c>
      <c r="N1222" s="44">
        <f t="shared" si="146"/>
        <v>-1.215662321628363E-6</v>
      </c>
      <c r="O1222" s="45" t="e">
        <f t="shared" si="149"/>
        <v>#VALUE!</v>
      </c>
      <c r="P1222" s="52" t="str">
        <f t="shared" si="150"/>
        <v/>
      </c>
      <c r="Q1222" s="53" t="str">
        <f t="shared" si="151"/>
        <v/>
      </c>
      <c r="R1222" s="54" t="str">
        <f t="shared" si="152"/>
        <v/>
      </c>
      <c r="S1222" s="53" t="str">
        <f t="shared" si="153"/>
        <v/>
      </c>
    </row>
    <row r="1223" spans="10:19" x14ac:dyDescent="0.15">
      <c r="J1223" s="38">
        <v>1214</v>
      </c>
      <c r="K1223" s="40"/>
      <c r="L1223" s="34">
        <f t="shared" si="147"/>
        <v>8.712975628432561E-4</v>
      </c>
      <c r="M1223" s="35">
        <f t="shared" si="148"/>
        <v>-1.8292870535142097E-8</v>
      </c>
      <c r="N1223" s="44">
        <f t="shared" si="146"/>
        <v>-1.2279872949846112E-6</v>
      </c>
      <c r="O1223" s="45" t="e">
        <f t="shared" si="149"/>
        <v>#VALUE!</v>
      </c>
      <c r="P1223" s="52" t="str">
        <f t="shared" si="150"/>
        <v/>
      </c>
      <c r="Q1223" s="53" t="str">
        <f t="shared" si="151"/>
        <v/>
      </c>
      <c r="R1223" s="54" t="str">
        <f t="shared" si="152"/>
        <v/>
      </c>
      <c r="S1223" s="53" t="str">
        <f t="shared" si="153"/>
        <v/>
      </c>
    </row>
    <row r="1224" spans="10:19" x14ac:dyDescent="0.15">
      <c r="J1224" s="38">
        <v>1215</v>
      </c>
      <c r="K1224" s="40"/>
      <c r="L1224" s="34">
        <f t="shared" si="147"/>
        <v>8.7127914012492922E-4</v>
      </c>
      <c r="M1224" s="35">
        <f t="shared" si="148"/>
        <v>-1.8552470759474815E-8</v>
      </c>
      <c r="N1224" s="44">
        <f t="shared" si="146"/>
        <v>-1.2402856019357728E-6</v>
      </c>
      <c r="O1224" s="45" t="e">
        <f t="shared" si="149"/>
        <v>#VALUE!</v>
      </c>
      <c r="P1224" s="52" t="str">
        <f t="shared" si="150"/>
        <v/>
      </c>
      <c r="Q1224" s="53" t="str">
        <f t="shared" si="151"/>
        <v/>
      </c>
      <c r="R1224" s="54" t="str">
        <f t="shared" si="152"/>
        <v/>
      </c>
      <c r="S1224" s="53" t="str">
        <f t="shared" si="153"/>
        <v/>
      </c>
    </row>
    <row r="1225" spans="10:19" x14ac:dyDescent="0.15">
      <c r="J1225" s="38">
        <v>1216</v>
      </c>
      <c r="K1225" s="40"/>
      <c r="L1225" s="34">
        <f t="shared" si="147"/>
        <v>8.7126045809217487E-4</v>
      </c>
      <c r="M1225" s="35">
        <f t="shared" si="148"/>
        <v>-1.8811499669790323E-8</v>
      </c>
      <c r="N1225" s="44">
        <f t="shared" ref="N1225:N1288" si="154">(L1275-L1225)</f>
        <v>-1.2525573193627321E-6</v>
      </c>
      <c r="O1225" s="45" t="e">
        <f t="shared" si="149"/>
        <v>#VALUE!</v>
      </c>
      <c r="P1225" s="52" t="str">
        <f t="shared" si="150"/>
        <v/>
      </c>
      <c r="Q1225" s="53" t="str">
        <f t="shared" si="151"/>
        <v/>
      </c>
      <c r="R1225" s="54" t="str">
        <f t="shared" si="152"/>
        <v/>
      </c>
      <c r="S1225" s="53" t="str">
        <f t="shared" si="153"/>
        <v/>
      </c>
    </row>
    <row r="1226" spans="10:19" x14ac:dyDescent="0.15">
      <c r="J1226" s="38">
        <v>1217</v>
      </c>
      <c r="K1226" s="40"/>
      <c r="L1226" s="34">
        <f t="shared" ref="L1226:L1289" si="155">$F$39*((1-$F$40*J1226)/(1+$F$41*J1226))*(J1226-$F$42)</f>
        <v>8.7124151731546925E-4</v>
      </c>
      <c r="M1226" s="35">
        <f t="shared" ref="M1226:M1289" si="156">$F$39*((1-2*$F$40*J1226-$F$40*$F$41*(J1226^2)+($F$41+$F$40)*$F$42)/(1+$F$41*J1226)^2)</f>
        <v>-1.9069958941282023E-8</v>
      </c>
      <c r="N1226" s="44">
        <f t="shared" si="154"/>
        <v>-1.2648025238692516E-6</v>
      </c>
      <c r="O1226" s="45" t="e">
        <f t="shared" ref="O1226:O1289" si="157">IF(N1226&lt;=$B$49,1+O1225,0)</f>
        <v>#VALUE!</v>
      </c>
      <c r="P1226" s="52" t="str">
        <f t="shared" ref="P1226:P1289" si="158">IF(J1226&lt;=$F$42,J1226,"")</f>
        <v/>
      </c>
      <c r="Q1226" s="53" t="str">
        <f t="shared" ref="Q1226:Q1289" si="159">IF(J1226&lt;=$F$42,L1226,"")</f>
        <v/>
      </c>
      <c r="R1226" s="54" t="str">
        <f t="shared" ref="R1226:R1289" si="160">IF(AND(J1226&gt;=$F$42,J1226&lt;=200),J1226,"")</f>
        <v/>
      </c>
      <c r="S1226" s="53" t="str">
        <f t="shared" ref="S1226:S1289" si="161">IF(AND(J1226&gt;=$F$42,J1226&lt;=200),L1226,"")</f>
        <v/>
      </c>
    </row>
    <row r="1227" spans="10:19" x14ac:dyDescent="0.15">
      <c r="J1227" s="38">
        <v>1218</v>
      </c>
      <c r="K1227" s="40"/>
      <c r="L1227" s="34">
        <f t="shared" si="155"/>
        <v>8.7122231836361569E-4</v>
      </c>
      <c r="M1227" s="35">
        <f t="shared" si="156"/>
        <v>-1.9327850243007805E-8</v>
      </c>
      <c r="N1227" s="44">
        <f t="shared" si="154"/>
        <v>-1.27702129178208E-6</v>
      </c>
      <c r="O1227" s="45" t="e">
        <f t="shared" si="157"/>
        <v>#VALUE!</v>
      </c>
      <c r="P1227" s="52" t="str">
        <f t="shared" si="158"/>
        <v/>
      </c>
      <c r="Q1227" s="53" t="str">
        <f t="shared" si="159"/>
        <v/>
      </c>
      <c r="R1227" s="54" t="str">
        <f t="shared" si="160"/>
        <v/>
      </c>
      <c r="S1227" s="53" t="str">
        <f t="shared" si="161"/>
        <v/>
      </c>
    </row>
    <row r="1228" spans="10:19" x14ac:dyDescent="0.15">
      <c r="J1228" s="38">
        <v>1219</v>
      </c>
      <c r="K1228" s="40"/>
      <c r="L1228" s="34">
        <f t="shared" si="155"/>
        <v>8.7120286180375223E-4</v>
      </c>
      <c r="M1228" s="35">
        <f t="shared" si="156"/>
        <v>-1.9585175237917052E-8</v>
      </c>
      <c r="N1228" s="44">
        <f t="shared" si="154"/>
        <v>-1.2892136991556145E-6</v>
      </c>
      <c r="O1228" s="45" t="e">
        <f t="shared" si="157"/>
        <v>#VALUE!</v>
      </c>
      <c r="P1228" s="52" t="str">
        <f t="shared" si="158"/>
        <v/>
      </c>
      <c r="Q1228" s="53" t="str">
        <f t="shared" si="159"/>
        <v/>
      </c>
      <c r="R1228" s="54" t="str">
        <f t="shared" si="160"/>
        <v/>
      </c>
      <c r="S1228" s="53" t="str">
        <f t="shared" si="161"/>
        <v/>
      </c>
    </row>
    <row r="1229" spans="10:19" x14ac:dyDescent="0.15">
      <c r="J1229" s="38">
        <v>1220</v>
      </c>
      <c r="K1229" s="40"/>
      <c r="L1229" s="34">
        <f t="shared" si="155"/>
        <v>8.7118314820135634E-4</v>
      </c>
      <c r="M1229" s="35">
        <f t="shared" si="156"/>
        <v>-1.9841935582877433E-8</v>
      </c>
      <c r="N1229" s="44">
        <f t="shared" si="154"/>
        <v>-1.3013798217687564E-6</v>
      </c>
      <c r="O1229" s="45" t="e">
        <f t="shared" si="157"/>
        <v>#VALUE!</v>
      </c>
      <c r="P1229" s="52" t="str">
        <f t="shared" si="158"/>
        <v/>
      </c>
      <c r="Q1229" s="53" t="str">
        <f t="shared" si="159"/>
        <v/>
      </c>
      <c r="R1229" s="54" t="str">
        <f t="shared" si="160"/>
        <v/>
      </c>
      <c r="S1229" s="53" t="str">
        <f t="shared" si="161"/>
        <v/>
      </c>
    </row>
    <row r="1230" spans="10:19" x14ac:dyDescent="0.15">
      <c r="J1230" s="38">
        <v>1221</v>
      </c>
      <c r="K1230" s="40"/>
      <c r="L1230" s="34">
        <f t="shared" si="155"/>
        <v>8.7116317812025259E-4</v>
      </c>
      <c r="M1230" s="35">
        <f t="shared" si="156"/>
        <v>-2.0098132928701589E-8</v>
      </c>
      <c r="N1230" s="44">
        <f t="shared" si="154"/>
        <v>-1.313519735130224E-6</v>
      </c>
      <c r="O1230" s="45" t="e">
        <f t="shared" si="157"/>
        <v>#VALUE!</v>
      </c>
      <c r="P1230" s="52" t="str">
        <f t="shared" si="158"/>
        <v/>
      </c>
      <c r="Q1230" s="53" t="str">
        <f t="shared" si="159"/>
        <v/>
      </c>
      <c r="R1230" s="54" t="str">
        <f t="shared" si="160"/>
        <v/>
      </c>
      <c r="S1230" s="53" t="str">
        <f t="shared" si="161"/>
        <v/>
      </c>
    </row>
    <row r="1231" spans="10:19" x14ac:dyDescent="0.15">
      <c r="J1231" s="38">
        <v>1222</v>
      </c>
      <c r="K1231" s="40"/>
      <c r="L1231" s="34">
        <f t="shared" si="155"/>
        <v>8.7114295212261706E-4</v>
      </c>
      <c r="M1231" s="35">
        <f t="shared" si="156"/>
        <v>-2.0353768920173703E-8</v>
      </c>
      <c r="N1231" s="44">
        <f t="shared" si="154"/>
        <v>-1.3256335144764923E-6</v>
      </c>
      <c r="O1231" s="45" t="e">
        <f t="shared" si="157"/>
        <v>#VALUE!</v>
      </c>
      <c r="P1231" s="52" t="str">
        <f t="shared" si="158"/>
        <v/>
      </c>
      <c r="Q1231" s="53" t="str">
        <f t="shared" si="159"/>
        <v/>
      </c>
      <c r="R1231" s="54" t="str">
        <f t="shared" si="160"/>
        <v/>
      </c>
      <c r="S1231" s="53" t="str">
        <f t="shared" si="161"/>
        <v/>
      </c>
    </row>
    <row r="1232" spans="10:19" x14ac:dyDescent="0.15">
      <c r="J1232" s="38">
        <v>1223</v>
      </c>
      <c r="K1232" s="40"/>
      <c r="L1232" s="34">
        <f t="shared" si="155"/>
        <v>8.7112247076898402E-4</v>
      </c>
      <c r="M1232" s="35">
        <f t="shared" si="156"/>
        <v>-2.0608845196075795E-8</v>
      </c>
      <c r="N1232" s="44">
        <f t="shared" si="154"/>
        <v>-1.3377212347743953E-6</v>
      </c>
      <c r="O1232" s="45" t="e">
        <f t="shared" si="157"/>
        <v>#VALUE!</v>
      </c>
      <c r="P1232" s="52" t="str">
        <f t="shared" si="158"/>
        <v/>
      </c>
      <c r="Q1232" s="53" t="str">
        <f t="shared" si="159"/>
        <v/>
      </c>
      <c r="R1232" s="54" t="str">
        <f t="shared" si="160"/>
        <v/>
      </c>
      <c r="S1232" s="53" t="str">
        <f t="shared" si="161"/>
        <v/>
      </c>
    </row>
    <row r="1233" spans="10:19" x14ac:dyDescent="0.15">
      <c r="J1233" s="38">
        <v>1224</v>
      </c>
      <c r="K1233" s="40"/>
      <c r="L1233" s="34">
        <f t="shared" si="155"/>
        <v>8.7110173461825251E-4</v>
      </c>
      <c r="M1233" s="35">
        <f t="shared" si="156"/>
        <v>-2.0863363389214117E-8</v>
      </c>
      <c r="N1233" s="44">
        <f t="shared" si="154"/>
        <v>-1.3497829707228605E-6</v>
      </c>
      <c r="O1233" s="45" t="e">
        <f t="shared" si="157"/>
        <v>#VALUE!</v>
      </c>
      <c r="P1233" s="52" t="str">
        <f t="shared" si="158"/>
        <v/>
      </c>
      <c r="Q1233" s="53" t="str">
        <f t="shared" si="159"/>
        <v/>
      </c>
      <c r="R1233" s="54" t="str">
        <f t="shared" si="160"/>
        <v/>
      </c>
      <c r="S1233" s="53" t="str">
        <f t="shared" si="161"/>
        <v/>
      </c>
    </row>
    <row r="1234" spans="10:19" x14ac:dyDescent="0.15">
      <c r="J1234" s="38">
        <v>1225</v>
      </c>
      <c r="K1234" s="40"/>
      <c r="L1234" s="34">
        <f t="shared" si="155"/>
        <v>8.7108074422769107E-4</v>
      </c>
      <c r="M1234" s="35">
        <f t="shared" si="156"/>
        <v>-2.1117325126445202E-8</v>
      </c>
      <c r="N1234" s="44">
        <f t="shared" si="154"/>
        <v>-1.3618187967521502E-6</v>
      </c>
      <c r="O1234" s="45" t="e">
        <f t="shared" si="157"/>
        <v>#VALUE!</v>
      </c>
      <c r="P1234" s="52" t="str">
        <f t="shared" si="158"/>
        <v/>
      </c>
      <c r="Q1234" s="53" t="str">
        <f t="shared" si="159"/>
        <v/>
      </c>
      <c r="R1234" s="54" t="str">
        <f t="shared" si="160"/>
        <v/>
      </c>
      <c r="S1234" s="53" t="str">
        <f t="shared" si="161"/>
        <v/>
      </c>
    </row>
    <row r="1235" spans="10:19" x14ac:dyDescent="0.15">
      <c r="J1235" s="38">
        <v>1226</v>
      </c>
      <c r="K1235" s="40"/>
      <c r="L1235" s="34">
        <f t="shared" si="155"/>
        <v>8.7105950015294443E-4</v>
      </c>
      <c r="M1235" s="35">
        <f t="shared" si="156"/>
        <v>-2.1370732028701818E-8</v>
      </c>
      <c r="N1235" s="44">
        <f t="shared" si="154"/>
        <v>-1.3738287870272226E-6</v>
      </c>
      <c r="O1235" s="45" t="e">
        <f t="shared" si="157"/>
        <v>#VALUE!</v>
      </c>
      <c r="P1235" s="52" t="str">
        <f t="shared" si="158"/>
        <v/>
      </c>
      <c r="Q1235" s="53" t="str">
        <f t="shared" si="159"/>
        <v/>
      </c>
      <c r="R1235" s="54" t="str">
        <f t="shared" si="160"/>
        <v/>
      </c>
      <c r="S1235" s="53" t="str">
        <f t="shared" si="161"/>
        <v/>
      </c>
    </row>
    <row r="1236" spans="10:19" x14ac:dyDescent="0.15">
      <c r="J1236" s="38">
        <v>1227</v>
      </c>
      <c r="K1236" s="40"/>
      <c r="L1236" s="34">
        <f t="shared" si="155"/>
        <v>8.7103800294804001E-4</v>
      </c>
      <c r="M1236" s="35">
        <f t="shared" si="156"/>
        <v>-2.1623585711019019E-8</v>
      </c>
      <c r="N1236" s="44">
        <f t="shared" si="154"/>
        <v>-1.385813015447406E-6</v>
      </c>
      <c r="O1236" s="45" t="e">
        <f t="shared" si="157"/>
        <v>#VALUE!</v>
      </c>
      <c r="P1236" s="52" t="str">
        <f t="shared" si="158"/>
        <v/>
      </c>
      <c r="Q1236" s="53" t="str">
        <f t="shared" si="159"/>
        <v/>
      </c>
      <c r="R1236" s="54" t="str">
        <f t="shared" si="160"/>
        <v/>
      </c>
      <c r="S1236" s="53" t="str">
        <f t="shared" si="161"/>
        <v/>
      </c>
    </row>
    <row r="1237" spans="10:19" x14ac:dyDescent="0.15">
      <c r="J1237" s="38">
        <v>1228</v>
      </c>
      <c r="K1237" s="40"/>
      <c r="L1237" s="34">
        <f t="shared" si="155"/>
        <v>8.7101625316539258E-4</v>
      </c>
      <c r="M1237" s="35">
        <f t="shared" si="156"/>
        <v>-2.1875887782559573E-8</v>
      </c>
      <c r="N1237" s="44">
        <f t="shared" si="154"/>
        <v>-1.3977715556478089E-6</v>
      </c>
      <c r="O1237" s="45" t="e">
        <f t="shared" si="157"/>
        <v>#VALUE!</v>
      </c>
      <c r="P1237" s="52" t="str">
        <f t="shared" si="158"/>
        <v/>
      </c>
      <c r="Q1237" s="53" t="str">
        <f t="shared" si="159"/>
        <v/>
      </c>
      <c r="R1237" s="54" t="str">
        <f t="shared" si="160"/>
        <v/>
      </c>
      <c r="S1237" s="53" t="str">
        <f t="shared" si="161"/>
        <v/>
      </c>
    </row>
    <row r="1238" spans="10:19" x14ac:dyDescent="0.15">
      <c r="J1238" s="38">
        <v>1229</v>
      </c>
      <c r="K1238" s="40"/>
      <c r="L1238" s="34">
        <f t="shared" si="155"/>
        <v>8.7099425135581056E-4</v>
      </c>
      <c r="M1238" s="35">
        <f t="shared" si="156"/>
        <v>-2.2127639846639919E-8</v>
      </c>
      <c r="N1238" s="44">
        <f t="shared" si="154"/>
        <v>-1.4097044810011628E-6</v>
      </c>
      <c r="O1238" s="45" t="e">
        <f t="shared" si="157"/>
        <v>#VALUE!</v>
      </c>
      <c r="P1238" s="52" t="str">
        <f t="shared" si="158"/>
        <v/>
      </c>
      <c r="Q1238" s="53" t="str">
        <f t="shared" si="159"/>
        <v/>
      </c>
      <c r="R1238" s="54" t="str">
        <f t="shared" si="160"/>
        <v/>
      </c>
      <c r="S1238" s="53" t="str">
        <f t="shared" si="161"/>
        <v/>
      </c>
    </row>
    <row r="1239" spans="10:19" x14ac:dyDescent="0.15">
      <c r="J1239" s="38">
        <v>1230</v>
      </c>
      <c r="K1239" s="40"/>
      <c r="L1239" s="34">
        <f t="shared" si="155"/>
        <v>8.7097199806850253E-4</v>
      </c>
      <c r="M1239" s="35">
        <f t="shared" si="156"/>
        <v>-2.2378843500755341E-8</v>
      </c>
      <c r="N1239" s="44">
        <f t="shared" si="154"/>
        <v>-1.4216118646177139E-6</v>
      </c>
      <c r="O1239" s="45" t="e">
        <f t="shared" si="157"/>
        <v>#VALUE!</v>
      </c>
      <c r="P1239" s="52" t="str">
        <f t="shared" si="158"/>
        <v/>
      </c>
      <c r="Q1239" s="53" t="str">
        <f t="shared" si="159"/>
        <v/>
      </c>
      <c r="R1239" s="54" t="str">
        <f t="shared" si="160"/>
        <v/>
      </c>
      <c r="S1239" s="53" t="str">
        <f t="shared" si="161"/>
        <v/>
      </c>
    </row>
    <row r="1240" spans="10:19" x14ac:dyDescent="0.15">
      <c r="J1240" s="38">
        <v>1231</v>
      </c>
      <c r="K1240" s="40"/>
      <c r="L1240" s="34">
        <f t="shared" si="155"/>
        <v>8.7094949385108176E-4</v>
      </c>
      <c r="M1240" s="35">
        <f t="shared" si="156"/>
        <v>-2.2629500336605471E-8</v>
      </c>
      <c r="N1240" s="44">
        <f t="shared" si="154"/>
        <v>-1.4334937793473914E-6</v>
      </c>
      <c r="O1240" s="45" t="e">
        <f t="shared" si="157"/>
        <v>#VALUE!</v>
      </c>
      <c r="P1240" s="52" t="str">
        <f t="shared" si="158"/>
        <v/>
      </c>
      <c r="Q1240" s="53" t="str">
        <f t="shared" si="159"/>
        <v/>
      </c>
      <c r="R1240" s="54" t="str">
        <f t="shared" si="160"/>
        <v/>
      </c>
      <c r="S1240" s="53" t="str">
        <f t="shared" si="161"/>
        <v/>
      </c>
    </row>
    <row r="1241" spans="10:19" x14ac:dyDescent="0.15">
      <c r="J1241" s="38">
        <v>1232</v>
      </c>
      <c r="K1241" s="40"/>
      <c r="L1241" s="34">
        <f t="shared" si="155"/>
        <v>8.7092673924957351E-4</v>
      </c>
      <c r="M1241" s="35">
        <f t="shared" si="156"/>
        <v>-2.2879611940119488E-8</v>
      </c>
      <c r="N1241" s="44">
        <f t="shared" si="154"/>
        <v>-1.4453502977805665E-6</v>
      </c>
      <c r="O1241" s="45" t="e">
        <f t="shared" si="157"/>
        <v>#VALUE!</v>
      </c>
      <c r="P1241" s="52" t="str">
        <f t="shared" si="158"/>
        <v/>
      </c>
      <c r="Q1241" s="53" t="str">
        <f t="shared" si="159"/>
        <v/>
      </c>
      <c r="R1241" s="54" t="str">
        <f t="shared" si="160"/>
        <v/>
      </c>
      <c r="S1241" s="53" t="str">
        <f t="shared" si="161"/>
        <v/>
      </c>
    </row>
    <row r="1242" spans="10:19" x14ac:dyDescent="0.15">
      <c r="J1242" s="38">
        <v>1233</v>
      </c>
      <c r="K1242" s="40"/>
      <c r="L1242" s="34">
        <f t="shared" si="155"/>
        <v>8.7090373480841899E-4</v>
      </c>
      <c r="M1242" s="35">
        <f t="shared" si="156"/>
        <v>-2.3129179891481096E-8</v>
      </c>
      <c r="N1242" s="44">
        <f t="shared" si="154"/>
        <v>-1.4571814922490281E-6</v>
      </c>
      <c r="O1242" s="45" t="e">
        <f t="shared" si="157"/>
        <v>#VALUE!</v>
      </c>
      <c r="P1242" s="52" t="str">
        <f t="shared" si="158"/>
        <v/>
      </c>
      <c r="Q1242" s="53" t="str">
        <f t="shared" si="159"/>
        <v/>
      </c>
      <c r="R1242" s="54" t="str">
        <f t="shared" si="160"/>
        <v/>
      </c>
      <c r="S1242" s="53" t="str">
        <f t="shared" si="161"/>
        <v/>
      </c>
    </row>
    <row r="1243" spans="10:19" x14ac:dyDescent="0.15">
      <c r="J1243" s="38">
        <v>1234</v>
      </c>
      <c r="K1243" s="40"/>
      <c r="L1243" s="34">
        <f t="shared" si="155"/>
        <v>8.708804810704828E-4</v>
      </c>
      <c r="M1243" s="35">
        <f t="shared" si="156"/>
        <v>-2.3378205765153662E-8</v>
      </c>
      <c r="N1243" s="44">
        <f t="shared" si="154"/>
        <v>-1.4689874348271757E-6</v>
      </c>
      <c r="O1243" s="45" t="e">
        <f t="shared" si="157"/>
        <v>#VALUE!</v>
      </c>
      <c r="P1243" s="52" t="str">
        <f t="shared" si="158"/>
        <v/>
      </c>
      <c r="Q1243" s="53" t="str">
        <f t="shared" si="159"/>
        <v/>
      </c>
      <c r="R1243" s="54" t="str">
        <f t="shared" si="160"/>
        <v/>
      </c>
      <c r="S1243" s="53" t="str">
        <f t="shared" si="161"/>
        <v/>
      </c>
    </row>
    <row r="1244" spans="10:19" x14ac:dyDescent="0.15">
      <c r="J1244" s="38">
        <v>1235</v>
      </c>
      <c r="K1244" s="40"/>
      <c r="L1244" s="34">
        <f t="shared" si="155"/>
        <v>8.7085697857705818E-4</v>
      </c>
      <c r="M1244" s="35">
        <f t="shared" si="156"/>
        <v>-2.3626691129904901E-8</v>
      </c>
      <c r="N1244" s="44">
        <f t="shared" si="154"/>
        <v>-1.4807681973337539E-6</v>
      </c>
      <c r="O1244" s="45" t="e">
        <f t="shared" si="157"/>
        <v>#VALUE!</v>
      </c>
      <c r="P1244" s="52" t="str">
        <f t="shared" si="158"/>
        <v/>
      </c>
      <c r="Q1244" s="53" t="str">
        <f t="shared" si="159"/>
        <v/>
      </c>
      <c r="R1244" s="54" t="str">
        <f t="shared" si="160"/>
        <v/>
      </c>
      <c r="S1244" s="53" t="str">
        <f t="shared" si="161"/>
        <v/>
      </c>
    </row>
    <row r="1245" spans="10:19" x14ac:dyDescent="0.15">
      <c r="J1245" s="38">
        <v>1236</v>
      </c>
      <c r="K1245" s="40"/>
      <c r="L1245" s="34">
        <f t="shared" si="155"/>
        <v>8.7083322786787171E-4</v>
      </c>
      <c r="M1245" s="35">
        <f t="shared" si="156"/>
        <v>-2.387463754883164E-8</v>
      </c>
      <c r="N1245" s="44">
        <f t="shared" si="154"/>
        <v>-1.4925238513309848E-6</v>
      </c>
      <c r="O1245" s="45" t="e">
        <f t="shared" si="157"/>
        <v>#VALUE!</v>
      </c>
      <c r="P1245" s="52" t="str">
        <f t="shared" si="158"/>
        <v/>
      </c>
      <c r="Q1245" s="53" t="str">
        <f t="shared" si="159"/>
        <v/>
      </c>
      <c r="R1245" s="54" t="str">
        <f t="shared" si="160"/>
        <v/>
      </c>
      <c r="S1245" s="53" t="str">
        <f t="shared" si="161"/>
        <v/>
      </c>
    </row>
    <row r="1246" spans="10:19" x14ac:dyDescent="0.15">
      <c r="J1246" s="38">
        <v>1237</v>
      </c>
      <c r="K1246" s="40"/>
      <c r="L1246" s="34">
        <f t="shared" si="155"/>
        <v>8.7080922948109E-4</v>
      </c>
      <c r="M1246" s="35">
        <f t="shared" si="156"/>
        <v>-2.4122046579384347E-8</v>
      </c>
      <c r="N1246" s="44">
        <f t="shared" si="154"/>
        <v>-1.5042544681284718E-6</v>
      </c>
      <c r="O1246" s="45" t="e">
        <f t="shared" si="157"/>
        <v>#VALUE!</v>
      </c>
      <c r="P1246" s="52" t="str">
        <f t="shared" si="158"/>
        <v/>
      </c>
      <c r="Q1246" s="53" t="str">
        <f t="shared" si="159"/>
        <v/>
      </c>
      <c r="R1246" s="54" t="str">
        <f t="shared" si="160"/>
        <v/>
      </c>
      <c r="S1246" s="53" t="str">
        <f t="shared" si="161"/>
        <v/>
      </c>
    </row>
    <row r="1247" spans="10:19" x14ac:dyDescent="0.15">
      <c r="J1247" s="38">
        <v>1238</v>
      </c>
      <c r="K1247" s="40"/>
      <c r="L1247" s="34">
        <f t="shared" si="155"/>
        <v>8.7078498395332506E-4</v>
      </c>
      <c r="M1247" s="35">
        <f t="shared" si="156"/>
        <v>-2.4368919773391726E-8</v>
      </c>
      <c r="N1247" s="44">
        <f t="shared" si="154"/>
        <v>-1.515960118782223E-6</v>
      </c>
      <c r="O1247" s="45" t="e">
        <f t="shared" si="157"/>
        <v>#VALUE!</v>
      </c>
      <c r="P1247" s="52" t="str">
        <f t="shared" si="158"/>
        <v/>
      </c>
      <c r="Q1247" s="53" t="str">
        <f t="shared" si="159"/>
        <v/>
      </c>
      <c r="R1247" s="54" t="str">
        <f t="shared" si="160"/>
        <v/>
      </c>
      <c r="S1247" s="53" t="str">
        <f t="shared" si="161"/>
        <v/>
      </c>
    </row>
    <row r="1248" spans="10:19" x14ac:dyDescent="0.15">
      <c r="J1248" s="38">
        <v>1239</v>
      </c>
      <c r="K1248" s="40"/>
      <c r="L1248" s="34">
        <f t="shared" si="155"/>
        <v>8.7076049181963996E-4</v>
      </c>
      <c r="M1248" s="35">
        <f t="shared" si="156"/>
        <v>-2.4615258677084884E-8</v>
      </c>
      <c r="N1248" s="44">
        <f t="shared" si="154"/>
        <v>-1.527640874095953E-6</v>
      </c>
      <c r="O1248" s="45" t="e">
        <f t="shared" si="157"/>
        <v>#VALUE!</v>
      </c>
      <c r="P1248" s="52" t="str">
        <f t="shared" si="158"/>
        <v/>
      </c>
      <c r="Q1248" s="53" t="str">
        <f t="shared" si="159"/>
        <v/>
      </c>
      <c r="R1248" s="54" t="str">
        <f t="shared" si="160"/>
        <v/>
      </c>
      <c r="S1248" s="53" t="str">
        <f t="shared" si="161"/>
        <v/>
      </c>
    </row>
    <row r="1249" spans="10:19" x14ac:dyDescent="0.15">
      <c r="J1249" s="38">
        <v>1240</v>
      </c>
      <c r="K1249" s="40"/>
      <c r="L1249" s="34">
        <f t="shared" si="155"/>
        <v>8.7073575361355413E-4</v>
      </c>
      <c r="M1249" s="35">
        <f t="shared" si="156"/>
        <v>-2.4861064831121672E-8</v>
      </c>
      <c r="N1249" s="44">
        <f t="shared" si="154"/>
        <v>-1.5392968046232507E-6</v>
      </c>
      <c r="O1249" s="45" t="e">
        <f t="shared" si="157"/>
        <v>#VALUE!</v>
      </c>
      <c r="P1249" s="52" t="str">
        <f t="shared" si="158"/>
        <v/>
      </c>
      <c r="Q1249" s="53" t="str">
        <f t="shared" si="159"/>
        <v/>
      </c>
      <c r="R1249" s="54" t="str">
        <f t="shared" si="160"/>
        <v/>
      </c>
      <c r="S1249" s="53" t="str">
        <f t="shared" si="161"/>
        <v/>
      </c>
    </row>
    <row r="1250" spans="10:19" x14ac:dyDescent="0.15">
      <c r="J1250" s="38">
        <v>1241</v>
      </c>
      <c r="K1250" s="40"/>
      <c r="L1250" s="34">
        <f t="shared" si="155"/>
        <v>8.7071076986704903E-4</v>
      </c>
      <c r="M1250" s="35">
        <f t="shared" si="156"/>
        <v>-2.5106339770610679E-8</v>
      </c>
      <c r="N1250" s="44">
        <f t="shared" si="154"/>
        <v>-1.5509279806669293E-6</v>
      </c>
      <c r="O1250" s="45" t="e">
        <f t="shared" si="157"/>
        <v>#VALUE!</v>
      </c>
      <c r="P1250" s="52" t="str">
        <f t="shared" si="158"/>
        <v/>
      </c>
      <c r="Q1250" s="53" t="str">
        <f t="shared" si="159"/>
        <v/>
      </c>
      <c r="R1250" s="54" t="str">
        <f t="shared" si="160"/>
        <v/>
      </c>
      <c r="S1250" s="53" t="str">
        <f t="shared" si="161"/>
        <v/>
      </c>
    </row>
    <row r="1251" spans="10:19" x14ac:dyDescent="0.15">
      <c r="J1251" s="38">
        <v>1242</v>
      </c>
      <c r="K1251" s="40"/>
      <c r="L1251" s="34">
        <f t="shared" si="155"/>
        <v>8.7068554111057448E-4</v>
      </c>
      <c r="M1251" s="35">
        <f t="shared" si="156"/>
        <v>-2.535108502513523E-8</v>
      </c>
      <c r="N1251" s="44">
        <f t="shared" si="154"/>
        <v>-1.5625344722826036E-6</v>
      </c>
      <c r="O1251" s="45" t="e">
        <f t="shared" si="157"/>
        <v>#VALUE!</v>
      </c>
      <c r="P1251" s="52" t="str">
        <f t="shared" si="158"/>
        <v/>
      </c>
      <c r="Q1251" s="53" t="str">
        <f t="shared" si="159"/>
        <v/>
      </c>
      <c r="R1251" s="54" t="str">
        <f t="shared" si="160"/>
        <v/>
      </c>
      <c r="S1251" s="53" t="str">
        <f t="shared" si="161"/>
        <v/>
      </c>
    </row>
    <row r="1252" spans="10:19" x14ac:dyDescent="0.15">
      <c r="J1252" s="38">
        <v>1243</v>
      </c>
      <c r="K1252" s="40"/>
      <c r="L1252" s="34">
        <f t="shared" si="155"/>
        <v>8.7066006787305233E-4</v>
      </c>
      <c r="M1252" s="35">
        <f t="shared" si="156"/>
        <v>-2.5595302118777239E-8</v>
      </c>
      <c r="N1252" s="44">
        <f t="shared" si="154"/>
        <v>-1.5741163492765222E-6</v>
      </c>
      <c r="O1252" s="45" t="e">
        <f t="shared" si="157"/>
        <v>#VALUE!</v>
      </c>
      <c r="P1252" s="52" t="str">
        <f t="shared" si="158"/>
        <v/>
      </c>
      <c r="Q1252" s="53" t="str">
        <f t="shared" si="159"/>
        <v/>
      </c>
      <c r="R1252" s="54" t="str">
        <f t="shared" si="160"/>
        <v/>
      </c>
      <c r="S1252" s="53" t="str">
        <f t="shared" si="161"/>
        <v/>
      </c>
    </row>
    <row r="1253" spans="10:19" x14ac:dyDescent="0.15">
      <c r="J1253" s="38">
        <v>1244</v>
      </c>
      <c r="K1253" s="40"/>
      <c r="L1253" s="34">
        <f t="shared" si="155"/>
        <v>8.7063435068188415E-4</v>
      </c>
      <c r="M1253" s="35">
        <f t="shared" si="156"/>
        <v>-2.5838992570141018E-8</v>
      </c>
      <c r="N1253" s="44">
        <f t="shared" si="154"/>
        <v>-1.5856736812096869E-6</v>
      </c>
      <c r="O1253" s="45" t="e">
        <f t="shared" si="157"/>
        <v>#VALUE!</v>
      </c>
      <c r="P1253" s="52" t="str">
        <f t="shared" si="158"/>
        <v/>
      </c>
      <c r="Q1253" s="53" t="str">
        <f t="shared" si="159"/>
        <v/>
      </c>
      <c r="R1253" s="54" t="str">
        <f t="shared" si="160"/>
        <v/>
      </c>
      <c r="S1253" s="53" t="str">
        <f t="shared" si="161"/>
        <v/>
      </c>
    </row>
    <row r="1254" spans="10:19" x14ac:dyDescent="0.15">
      <c r="J1254" s="38">
        <v>1245</v>
      </c>
      <c r="K1254" s="40"/>
      <c r="L1254" s="34">
        <f t="shared" si="155"/>
        <v>8.7060839006295517E-4</v>
      </c>
      <c r="M1254" s="35">
        <f t="shared" si="156"/>
        <v>-2.608215789237674E-8</v>
      </c>
      <c r="N1254" s="44">
        <f t="shared" si="154"/>
        <v>-1.5972065373968773E-6</v>
      </c>
      <c r="O1254" s="45" t="e">
        <f t="shared" si="157"/>
        <v>#VALUE!</v>
      </c>
      <c r="P1254" s="52" t="str">
        <f t="shared" si="158"/>
        <v/>
      </c>
      <c r="Q1254" s="53" t="str">
        <f t="shared" si="159"/>
        <v/>
      </c>
      <c r="R1254" s="54" t="str">
        <f t="shared" si="160"/>
        <v/>
      </c>
      <c r="S1254" s="53" t="str">
        <f t="shared" si="161"/>
        <v/>
      </c>
    </row>
    <row r="1255" spans="10:19" x14ac:dyDescent="0.15">
      <c r="J1255" s="38">
        <v>1246</v>
      </c>
      <c r="K1255" s="40"/>
      <c r="L1255" s="34">
        <f t="shared" si="155"/>
        <v>8.7058218654063988E-4</v>
      </c>
      <c r="M1255" s="35">
        <f t="shared" si="156"/>
        <v>-2.6324799593203975E-8</v>
      </c>
      <c r="N1255" s="44">
        <f t="shared" si="154"/>
        <v>-1.6087149869079519E-6</v>
      </c>
      <c r="O1255" s="45" t="e">
        <f t="shared" si="157"/>
        <v>#VALUE!</v>
      </c>
      <c r="P1255" s="52" t="str">
        <f t="shared" si="158"/>
        <v/>
      </c>
      <c r="Q1255" s="53" t="str">
        <f t="shared" si="159"/>
        <v/>
      </c>
      <c r="R1255" s="54" t="str">
        <f t="shared" si="160"/>
        <v/>
      </c>
      <c r="S1255" s="53" t="str">
        <f t="shared" si="161"/>
        <v/>
      </c>
    </row>
    <row r="1256" spans="10:19" x14ac:dyDescent="0.15">
      <c r="J1256" s="38">
        <v>1247</v>
      </c>
      <c r="K1256" s="40"/>
      <c r="L1256" s="34">
        <f t="shared" si="155"/>
        <v>8.7055574063780842E-4</v>
      </c>
      <c r="M1256" s="35">
        <f t="shared" si="156"/>
        <v>-2.6566919174935127E-8</v>
      </c>
      <c r="N1256" s="44">
        <f t="shared" si="154"/>
        <v>-1.6201990985702328E-6</v>
      </c>
      <c r="O1256" s="45" t="e">
        <f t="shared" si="157"/>
        <v>#VALUE!</v>
      </c>
      <c r="P1256" s="52" t="str">
        <f t="shared" si="158"/>
        <v/>
      </c>
      <c r="Q1256" s="53" t="str">
        <f t="shared" si="159"/>
        <v/>
      </c>
      <c r="R1256" s="54" t="str">
        <f t="shared" si="160"/>
        <v/>
      </c>
      <c r="S1256" s="53" t="str">
        <f t="shared" si="161"/>
        <v/>
      </c>
    </row>
    <row r="1257" spans="10:19" x14ac:dyDescent="0.15">
      <c r="J1257" s="38">
        <v>1248</v>
      </c>
      <c r="K1257" s="40"/>
      <c r="L1257" s="34">
        <f t="shared" si="155"/>
        <v>8.7052905287583054E-4</v>
      </c>
      <c r="M1257" s="35">
        <f t="shared" si="156"/>
        <v>-2.6808518134498629E-8</v>
      </c>
      <c r="N1257" s="44">
        <f t="shared" si="154"/>
        <v>-1.6316589409676391E-6</v>
      </c>
      <c r="O1257" s="45" t="e">
        <f t="shared" si="157"/>
        <v>#VALUE!</v>
      </c>
      <c r="P1257" s="52" t="str">
        <f t="shared" si="158"/>
        <v/>
      </c>
      <c r="Q1257" s="53" t="str">
        <f t="shared" si="159"/>
        <v/>
      </c>
      <c r="R1257" s="54" t="str">
        <f t="shared" si="160"/>
        <v/>
      </c>
      <c r="S1257" s="53" t="str">
        <f t="shared" si="161"/>
        <v/>
      </c>
    </row>
    <row r="1258" spans="10:19" x14ac:dyDescent="0.15">
      <c r="J1258" s="38">
        <v>1249</v>
      </c>
      <c r="K1258" s="40"/>
      <c r="L1258" s="34">
        <f t="shared" si="155"/>
        <v>8.705021237745827E-4</v>
      </c>
      <c r="M1258" s="35">
        <f t="shared" si="156"/>
        <v>-2.7049597963462114E-8</v>
      </c>
      <c r="N1258" s="44">
        <f t="shared" si="154"/>
        <v>-1.6430945824436136E-6</v>
      </c>
      <c r="O1258" s="45" t="e">
        <f t="shared" si="157"/>
        <v>#VALUE!</v>
      </c>
      <c r="P1258" s="52" t="str">
        <f t="shared" si="158"/>
        <v/>
      </c>
      <c r="Q1258" s="53" t="str">
        <f t="shared" si="159"/>
        <v/>
      </c>
      <c r="R1258" s="54" t="str">
        <f t="shared" si="160"/>
        <v/>
      </c>
      <c r="S1258" s="53" t="str">
        <f t="shared" si="161"/>
        <v/>
      </c>
    </row>
    <row r="1259" spans="10:19" x14ac:dyDescent="0.15">
      <c r="J1259" s="38">
        <v>1250</v>
      </c>
      <c r="K1259" s="39"/>
      <c r="L1259" s="34">
        <f t="shared" si="155"/>
        <v>8.7047495385245187E-4</v>
      </c>
      <c r="M1259" s="35">
        <f t="shared" si="156"/>
        <v>-2.7290160148055337E-8</v>
      </c>
      <c r="N1259" s="44">
        <f t="shared" si="154"/>
        <v>-1.6545060911005811E-6</v>
      </c>
      <c r="O1259" s="45" t="e">
        <f t="shared" si="157"/>
        <v>#VALUE!</v>
      </c>
      <c r="P1259" s="52" t="str">
        <f t="shared" si="158"/>
        <v/>
      </c>
      <c r="Q1259" s="53" t="str">
        <f t="shared" si="159"/>
        <v/>
      </c>
      <c r="R1259" s="54" t="str">
        <f t="shared" si="160"/>
        <v/>
      </c>
      <c r="S1259" s="53" t="str">
        <f t="shared" si="161"/>
        <v/>
      </c>
    </row>
    <row r="1260" spans="10:19" x14ac:dyDescent="0.15">
      <c r="J1260" s="38">
        <v>1251</v>
      </c>
      <c r="K1260" s="40"/>
      <c r="L1260" s="34">
        <f t="shared" si="155"/>
        <v>8.704475436263411E-4</v>
      </c>
      <c r="M1260" s="35">
        <f t="shared" si="156"/>
        <v>-2.7530206169193222E-8</v>
      </c>
      <c r="N1260" s="44">
        <f t="shared" si="154"/>
        <v>-1.6658935348010323E-6</v>
      </c>
      <c r="O1260" s="45" t="e">
        <f t="shared" si="157"/>
        <v>#VALUE!</v>
      </c>
      <c r="P1260" s="52" t="str">
        <f t="shared" si="158"/>
        <v/>
      </c>
      <c r="Q1260" s="53" t="str">
        <f t="shared" si="159"/>
        <v/>
      </c>
      <c r="R1260" s="54" t="str">
        <f t="shared" si="160"/>
        <v/>
      </c>
      <c r="S1260" s="53" t="str">
        <f t="shared" si="161"/>
        <v/>
      </c>
    </row>
    <row r="1261" spans="10:19" x14ac:dyDescent="0.15">
      <c r="J1261" s="38">
        <v>1252</v>
      </c>
      <c r="K1261" s="40"/>
      <c r="L1261" s="34">
        <f t="shared" si="155"/>
        <v>8.7041989361167607E-4</v>
      </c>
      <c r="M1261" s="35">
        <f t="shared" si="156"/>
        <v>-2.7769737502498635E-8</v>
      </c>
      <c r="N1261" s="44">
        <f t="shared" si="154"/>
        <v>-1.67725698117056E-6</v>
      </c>
      <c r="O1261" s="45" t="e">
        <f t="shared" si="157"/>
        <v>#VALUE!</v>
      </c>
      <c r="P1261" s="52" t="str">
        <f t="shared" si="158"/>
        <v/>
      </c>
      <c r="Q1261" s="53" t="str">
        <f t="shared" si="159"/>
        <v/>
      </c>
      <c r="R1261" s="54" t="str">
        <f t="shared" si="160"/>
        <v/>
      </c>
      <c r="S1261" s="53" t="str">
        <f t="shared" si="161"/>
        <v/>
      </c>
    </row>
    <row r="1262" spans="10:19" x14ac:dyDescent="0.15">
      <c r="J1262" s="38">
        <v>1253</v>
      </c>
      <c r="K1262" s="40"/>
      <c r="L1262" s="34">
        <f t="shared" si="155"/>
        <v>8.7039200432240864E-4</v>
      </c>
      <c r="M1262" s="35">
        <f t="shared" si="156"/>
        <v>-2.8008755618324894E-8</v>
      </c>
      <c r="N1262" s="44">
        <f t="shared" si="154"/>
        <v>-1.6885964975955816E-6</v>
      </c>
      <c r="O1262" s="45" t="e">
        <f t="shared" si="157"/>
        <v>#VALUE!</v>
      </c>
      <c r="P1262" s="52" t="str">
        <f t="shared" si="158"/>
        <v/>
      </c>
      <c r="Q1262" s="53" t="str">
        <f t="shared" si="159"/>
        <v/>
      </c>
      <c r="R1262" s="54" t="str">
        <f t="shared" si="160"/>
        <v/>
      </c>
      <c r="S1262" s="53" t="str">
        <f t="shared" si="161"/>
        <v/>
      </c>
    </row>
    <row r="1263" spans="10:19" x14ac:dyDescent="0.15">
      <c r="J1263" s="38">
        <v>1254</v>
      </c>
      <c r="K1263" s="40"/>
      <c r="L1263" s="34">
        <f t="shared" si="155"/>
        <v>8.7036387627102327E-4</v>
      </c>
      <c r="M1263" s="35">
        <f t="shared" si="156"/>
        <v>-2.8247261981778593E-8</v>
      </c>
      <c r="N1263" s="44">
        <f t="shared" si="154"/>
        <v>-1.6999121512270262E-6</v>
      </c>
      <c r="O1263" s="45" t="e">
        <f t="shared" si="157"/>
        <v>#VALUE!</v>
      </c>
      <c r="P1263" s="52" t="str">
        <f t="shared" si="158"/>
        <v/>
      </c>
      <c r="Q1263" s="53" t="str">
        <f t="shared" si="159"/>
        <v/>
      </c>
      <c r="R1263" s="54" t="str">
        <f t="shared" si="160"/>
        <v/>
      </c>
      <c r="S1263" s="53" t="str">
        <f t="shared" si="161"/>
        <v/>
      </c>
    </row>
    <row r="1264" spans="10:19" x14ac:dyDescent="0.15">
      <c r="J1264" s="38">
        <v>1255</v>
      </c>
      <c r="K1264" s="40"/>
      <c r="L1264" s="34">
        <f t="shared" si="155"/>
        <v>8.7033550996854251E-4</v>
      </c>
      <c r="M1264" s="35">
        <f t="shared" si="156"/>
        <v>-2.8485258052741816E-8</v>
      </c>
      <c r="N1264" s="44">
        <f t="shared" si="154"/>
        <v>-1.7112040089813096E-6</v>
      </c>
      <c r="O1264" s="45" t="e">
        <f t="shared" si="157"/>
        <v>#VALUE!</v>
      </c>
      <c r="P1264" s="52" t="str">
        <f t="shared" si="158"/>
        <v/>
      </c>
      <c r="Q1264" s="53" t="str">
        <f t="shared" si="159"/>
        <v/>
      </c>
      <c r="R1264" s="54" t="str">
        <f t="shared" si="160"/>
        <v/>
      </c>
      <c r="S1264" s="53" t="str">
        <f t="shared" si="161"/>
        <v/>
      </c>
    </row>
    <row r="1265" spans="10:19" x14ac:dyDescent="0.15">
      <c r="J1265" s="38">
        <v>1256</v>
      </c>
      <c r="K1265" s="40"/>
      <c r="L1265" s="34">
        <f t="shared" si="155"/>
        <v>8.7030690592453032E-4</v>
      </c>
      <c r="M1265" s="35">
        <f t="shared" si="156"/>
        <v>-2.872274528589462E-8</v>
      </c>
      <c r="N1265" s="44">
        <f t="shared" si="154"/>
        <v>-1.7224721375382751E-6</v>
      </c>
      <c r="O1265" s="45" t="e">
        <f t="shared" si="157"/>
        <v>#VALUE!</v>
      </c>
      <c r="P1265" s="52" t="str">
        <f t="shared" si="158"/>
        <v/>
      </c>
      <c r="Q1265" s="53" t="str">
        <f t="shared" si="159"/>
        <v/>
      </c>
      <c r="R1265" s="54" t="str">
        <f t="shared" si="160"/>
        <v/>
      </c>
      <c r="S1265" s="53" t="str">
        <f t="shared" si="161"/>
        <v/>
      </c>
    </row>
    <row r="1266" spans="10:19" x14ac:dyDescent="0.15">
      <c r="J1266" s="38">
        <v>1257</v>
      </c>
      <c r="K1266" s="40"/>
      <c r="L1266" s="34">
        <f t="shared" si="155"/>
        <v>8.7027806464709989E-4</v>
      </c>
      <c r="M1266" s="35">
        <f t="shared" si="156"/>
        <v>-2.8959725130737197E-8</v>
      </c>
      <c r="N1266" s="44">
        <f t="shared" si="154"/>
        <v>-1.7337166033466137E-6</v>
      </c>
      <c r="O1266" s="45" t="e">
        <f t="shared" si="157"/>
        <v>#VALUE!</v>
      </c>
      <c r="P1266" s="52" t="str">
        <f t="shared" si="158"/>
        <v/>
      </c>
      <c r="Q1266" s="53" t="str">
        <f t="shared" si="159"/>
        <v/>
      </c>
      <c r="R1266" s="54" t="str">
        <f t="shared" si="160"/>
        <v/>
      </c>
      <c r="S1266" s="53" t="str">
        <f t="shared" si="161"/>
        <v/>
      </c>
    </row>
    <row r="1267" spans="10:19" x14ac:dyDescent="0.15">
      <c r="J1267" s="38">
        <v>1258</v>
      </c>
      <c r="K1267" s="40"/>
      <c r="L1267" s="34">
        <f t="shared" si="155"/>
        <v>8.702489866429169E-4</v>
      </c>
      <c r="M1267" s="35">
        <f t="shared" si="156"/>
        <v>-2.9196199031612063E-8</v>
      </c>
      <c r="N1267" s="44">
        <f t="shared" si="154"/>
        <v>-1.7449374726210458E-6</v>
      </c>
      <c r="O1267" s="45" t="e">
        <f t="shared" si="157"/>
        <v>#VALUE!</v>
      </c>
      <c r="P1267" s="52" t="str">
        <f t="shared" si="158"/>
        <v/>
      </c>
      <c r="Q1267" s="53" t="str">
        <f t="shared" si="159"/>
        <v/>
      </c>
      <c r="R1267" s="54" t="str">
        <f t="shared" si="160"/>
        <v/>
      </c>
      <c r="S1267" s="53" t="str">
        <f t="shared" si="161"/>
        <v/>
      </c>
    </row>
    <row r="1268" spans="10:19" x14ac:dyDescent="0.15">
      <c r="J1268" s="38">
        <v>1259</v>
      </c>
      <c r="K1268" s="40"/>
      <c r="L1268" s="34">
        <f t="shared" si="155"/>
        <v>8.7021967241720491E-4</v>
      </c>
      <c r="M1268" s="35">
        <f t="shared" si="156"/>
        <v>-2.9432168427725965E-8</v>
      </c>
      <c r="N1268" s="44">
        <f t="shared" si="154"/>
        <v>-1.7561348113451399E-6</v>
      </c>
      <c r="O1268" s="45" t="e">
        <f t="shared" si="157"/>
        <v>#VALUE!</v>
      </c>
      <c r="P1268" s="52" t="str">
        <f t="shared" si="158"/>
        <v/>
      </c>
      <c r="Q1268" s="53" t="str">
        <f t="shared" si="159"/>
        <v/>
      </c>
      <c r="R1268" s="54" t="str">
        <f t="shared" si="160"/>
        <v/>
      </c>
      <c r="S1268" s="53" t="str">
        <f t="shared" si="161"/>
        <v/>
      </c>
    </row>
    <row r="1269" spans="10:19" x14ac:dyDescent="0.15">
      <c r="J1269" s="38">
        <v>1260</v>
      </c>
      <c r="K1269" s="40"/>
      <c r="L1269" s="34">
        <f t="shared" si="155"/>
        <v>8.701901224737518E-4</v>
      </c>
      <c r="M1269" s="35">
        <f t="shared" si="156"/>
        <v>-2.9667634753171903E-8</v>
      </c>
      <c r="N1269" s="44">
        <f t="shared" si="154"/>
        <v>-1.7673086852727218E-6</v>
      </c>
      <c r="O1269" s="45" t="e">
        <f t="shared" si="157"/>
        <v>#VALUE!</v>
      </c>
      <c r="P1269" s="52" t="str">
        <f t="shared" si="158"/>
        <v/>
      </c>
      <c r="Q1269" s="53" t="str">
        <f t="shared" si="159"/>
        <v/>
      </c>
      <c r="R1269" s="54" t="str">
        <f t="shared" si="160"/>
        <v/>
      </c>
      <c r="S1269" s="53" t="str">
        <f t="shared" si="161"/>
        <v/>
      </c>
    </row>
    <row r="1270" spans="10:19" x14ac:dyDescent="0.15">
      <c r="J1270" s="38">
        <v>1261</v>
      </c>
      <c r="K1270" s="40"/>
      <c r="L1270" s="34">
        <f t="shared" si="155"/>
        <v>8.7016033731491247E-4</v>
      </c>
      <c r="M1270" s="35">
        <f t="shared" si="156"/>
        <v>-2.9902599436950761E-8</v>
      </c>
      <c r="N1270" s="44">
        <f t="shared" si="154"/>
        <v>-1.7784591599262489E-6</v>
      </c>
      <c r="O1270" s="45" t="e">
        <f t="shared" si="157"/>
        <v>#VALUE!</v>
      </c>
      <c r="P1270" s="52" t="str">
        <f t="shared" si="158"/>
        <v/>
      </c>
      <c r="Q1270" s="53" t="str">
        <f t="shared" si="159"/>
        <v/>
      </c>
      <c r="R1270" s="54" t="str">
        <f t="shared" si="160"/>
        <v/>
      </c>
      <c r="S1270" s="53" t="str">
        <f t="shared" si="161"/>
        <v/>
      </c>
    </row>
    <row r="1271" spans="10:19" x14ac:dyDescent="0.15">
      <c r="J1271" s="38">
        <v>1262</v>
      </c>
      <c r="K1271" s="40"/>
      <c r="L1271" s="34">
        <f t="shared" si="155"/>
        <v>8.7013031744161682E-4</v>
      </c>
      <c r="M1271" s="35">
        <f t="shared" si="156"/>
        <v>-3.0137063902993129E-8</v>
      </c>
      <c r="N1271" s="44">
        <f t="shared" si="154"/>
        <v>-1.7895863006021223E-6</v>
      </c>
      <c r="O1271" s="45" t="e">
        <f t="shared" si="157"/>
        <v>#VALUE!</v>
      </c>
      <c r="P1271" s="52" t="str">
        <f t="shared" si="158"/>
        <v/>
      </c>
      <c r="Q1271" s="53" t="str">
        <f t="shared" si="159"/>
        <v/>
      </c>
      <c r="R1271" s="54" t="str">
        <f t="shared" si="160"/>
        <v/>
      </c>
      <c r="S1271" s="53" t="str">
        <f t="shared" si="161"/>
        <v/>
      </c>
    </row>
    <row r="1272" spans="10:19" x14ac:dyDescent="0.15">
      <c r="J1272" s="38">
        <v>1263</v>
      </c>
      <c r="K1272" s="40"/>
      <c r="L1272" s="34">
        <f t="shared" si="155"/>
        <v>8.7010006335337285E-4</v>
      </c>
      <c r="M1272" s="35">
        <f t="shared" si="156"/>
        <v>-3.0371029570180818E-8</v>
      </c>
      <c r="N1272" s="44">
        <f t="shared" si="154"/>
        <v>-1.8006901723672175E-6</v>
      </c>
      <c r="O1272" s="45" t="e">
        <f t="shared" si="157"/>
        <v>#VALUE!</v>
      </c>
      <c r="P1272" s="52" t="str">
        <f t="shared" si="158"/>
        <v/>
      </c>
      <c r="Q1272" s="53" t="str">
        <f t="shared" si="159"/>
        <v/>
      </c>
      <c r="R1272" s="54" t="str">
        <f t="shared" si="160"/>
        <v/>
      </c>
      <c r="S1272" s="53" t="str">
        <f t="shared" si="161"/>
        <v/>
      </c>
    </row>
    <row r="1273" spans="10:19" x14ac:dyDescent="0.15">
      <c r="J1273" s="38">
        <v>1264</v>
      </c>
      <c r="K1273" s="40"/>
      <c r="L1273" s="34">
        <f t="shared" si="155"/>
        <v>8.7006957554827148E-4</v>
      </c>
      <c r="M1273" s="35">
        <f t="shared" si="156"/>
        <v>-3.0604497852368312E-8</v>
      </c>
      <c r="N1273" s="44">
        <f t="shared" si="154"/>
        <v>-1.8117708400623538E-6</v>
      </c>
      <c r="O1273" s="45" t="e">
        <f t="shared" si="157"/>
        <v>#VALUE!</v>
      </c>
      <c r="P1273" s="52" t="str">
        <f t="shared" si="158"/>
        <v/>
      </c>
      <c r="Q1273" s="53" t="str">
        <f t="shared" si="159"/>
        <v/>
      </c>
      <c r="R1273" s="54" t="str">
        <f t="shared" si="160"/>
        <v/>
      </c>
      <c r="S1273" s="53" t="str">
        <f t="shared" si="161"/>
        <v/>
      </c>
    </row>
    <row r="1274" spans="10:19" x14ac:dyDescent="0.15">
      <c r="J1274" s="38">
        <v>1265</v>
      </c>
      <c r="K1274" s="40"/>
      <c r="L1274" s="34">
        <f t="shared" si="155"/>
        <v>8.7003885452299344E-4</v>
      </c>
      <c r="M1274" s="35">
        <f t="shared" si="156"/>
        <v>-3.0837470158404165E-8</v>
      </c>
      <c r="N1274" s="44">
        <f t="shared" si="154"/>
        <v>-1.8228283683028364E-6</v>
      </c>
      <c r="O1274" s="45" t="e">
        <f t="shared" si="157"/>
        <v>#VALUE!</v>
      </c>
      <c r="P1274" s="52" t="str">
        <f t="shared" si="158"/>
        <v/>
      </c>
      <c r="Q1274" s="53" t="str">
        <f t="shared" si="159"/>
        <v/>
      </c>
      <c r="R1274" s="54" t="str">
        <f t="shared" si="160"/>
        <v/>
      </c>
      <c r="S1274" s="53" t="str">
        <f t="shared" si="161"/>
        <v/>
      </c>
    </row>
    <row r="1275" spans="10:19" x14ac:dyDescent="0.15">
      <c r="J1275" s="38">
        <v>1266</v>
      </c>
      <c r="K1275" s="40"/>
      <c r="L1275" s="34">
        <f t="shared" si="155"/>
        <v>8.7000790077281214E-4</v>
      </c>
      <c r="M1275" s="35">
        <f t="shared" si="156"/>
        <v>-3.1069947892152234E-8</v>
      </c>
      <c r="N1275" s="44">
        <f t="shared" si="154"/>
        <v>-1.8338628214789989E-6</v>
      </c>
      <c r="O1275" s="45" t="e">
        <f t="shared" si="157"/>
        <v>#VALUE!</v>
      </c>
      <c r="P1275" s="52" t="str">
        <f t="shared" si="158"/>
        <v/>
      </c>
      <c r="Q1275" s="53" t="str">
        <f t="shared" si="159"/>
        <v/>
      </c>
      <c r="R1275" s="54" t="str">
        <f t="shared" si="160"/>
        <v/>
      </c>
      <c r="S1275" s="53" t="str">
        <f t="shared" si="161"/>
        <v/>
      </c>
    </row>
    <row r="1276" spans="10:19" x14ac:dyDescent="0.15">
      <c r="J1276" s="38">
        <v>1267</v>
      </c>
      <c r="K1276" s="40"/>
      <c r="L1276" s="34">
        <f t="shared" si="155"/>
        <v>8.6997671479159999E-4</v>
      </c>
      <c r="M1276" s="35">
        <f t="shared" si="156"/>
        <v>-3.1301932452512843E-8</v>
      </c>
      <c r="N1276" s="44">
        <f t="shared" si="154"/>
        <v>-1.844874263756853E-6</v>
      </c>
      <c r="O1276" s="45" t="e">
        <f t="shared" si="157"/>
        <v>#VALUE!</v>
      </c>
      <c r="P1276" s="52" t="str">
        <f t="shared" si="158"/>
        <v/>
      </c>
      <c r="Q1276" s="53" t="str">
        <f t="shared" si="159"/>
        <v/>
      </c>
      <c r="R1276" s="54" t="str">
        <f t="shared" si="160"/>
        <v/>
      </c>
      <c r="S1276" s="53" t="str">
        <f t="shared" si="161"/>
        <v/>
      </c>
    </row>
    <row r="1277" spans="10:19" x14ac:dyDescent="0.15">
      <c r="J1277" s="38">
        <v>1268</v>
      </c>
      <c r="K1277" s="40"/>
      <c r="L1277" s="34">
        <f t="shared" si="155"/>
        <v>8.6994529707183361E-4</v>
      </c>
      <c r="M1277" s="35">
        <f t="shared" si="156"/>
        <v>-3.1533425233443771E-8</v>
      </c>
      <c r="N1277" s="44">
        <f t="shared" si="154"/>
        <v>-1.8558627590806913E-6</v>
      </c>
      <c r="O1277" s="45" t="e">
        <f t="shared" si="157"/>
        <v>#VALUE!</v>
      </c>
      <c r="P1277" s="52" t="str">
        <f t="shared" si="158"/>
        <v/>
      </c>
      <c r="Q1277" s="53" t="str">
        <f t="shared" si="159"/>
        <v/>
      </c>
      <c r="R1277" s="54" t="str">
        <f t="shared" si="160"/>
        <v/>
      </c>
      <c r="S1277" s="53" t="str">
        <f t="shared" si="161"/>
        <v/>
      </c>
    </row>
    <row r="1278" spans="10:19" x14ac:dyDescent="0.15">
      <c r="J1278" s="38">
        <v>1269</v>
      </c>
      <c r="K1278" s="40"/>
      <c r="L1278" s="34">
        <f t="shared" si="155"/>
        <v>8.6991364810459662E-4</v>
      </c>
      <c r="M1278" s="35">
        <f t="shared" si="156"/>
        <v>-3.1764427623981299E-8</v>
      </c>
      <c r="N1278" s="44">
        <f t="shared" si="154"/>
        <v>-1.8668283711711356E-6</v>
      </c>
      <c r="O1278" s="45" t="e">
        <f t="shared" si="157"/>
        <v>#VALUE!</v>
      </c>
      <c r="P1278" s="52" t="str">
        <f t="shared" si="158"/>
        <v/>
      </c>
      <c r="Q1278" s="53" t="str">
        <f t="shared" si="159"/>
        <v/>
      </c>
      <c r="R1278" s="54" t="str">
        <f t="shared" si="160"/>
        <v/>
      </c>
      <c r="S1278" s="53" t="str">
        <f t="shared" si="161"/>
        <v/>
      </c>
    </row>
    <row r="1279" spans="10:19" x14ac:dyDescent="0.15">
      <c r="J1279" s="38">
        <v>1270</v>
      </c>
      <c r="K1279" s="40"/>
      <c r="L1279" s="34">
        <f t="shared" si="155"/>
        <v>8.6988176837958758E-4</v>
      </c>
      <c r="M1279" s="35">
        <f t="shared" si="156"/>
        <v>-3.1994941008260914E-8</v>
      </c>
      <c r="N1279" s="44">
        <f t="shared" si="154"/>
        <v>-1.8777711635299069E-6</v>
      </c>
      <c r="O1279" s="45" t="e">
        <f t="shared" si="157"/>
        <v>#VALUE!</v>
      </c>
      <c r="P1279" s="52" t="str">
        <f t="shared" si="158"/>
        <v/>
      </c>
      <c r="Q1279" s="53" t="str">
        <f t="shared" si="159"/>
        <v/>
      </c>
      <c r="R1279" s="54" t="str">
        <f t="shared" si="160"/>
        <v/>
      </c>
      <c r="S1279" s="53" t="str">
        <f t="shared" si="161"/>
        <v/>
      </c>
    </row>
    <row r="1280" spans="10:19" x14ac:dyDescent="0.15">
      <c r="J1280" s="38">
        <v>1271</v>
      </c>
      <c r="K1280" s="40"/>
      <c r="L1280" s="34">
        <f t="shared" si="155"/>
        <v>8.6984965838512237E-4</v>
      </c>
      <c r="M1280" s="35">
        <f t="shared" si="156"/>
        <v>-3.2224966765538182E-8</v>
      </c>
      <c r="N1280" s="44">
        <f t="shared" si="154"/>
        <v>-1.8886911994362484E-6</v>
      </c>
      <c r="O1280" s="45" t="e">
        <f t="shared" si="157"/>
        <v>#VALUE!</v>
      </c>
      <c r="P1280" s="52" t="str">
        <f t="shared" si="158"/>
        <v/>
      </c>
      <c r="Q1280" s="53" t="str">
        <f t="shared" si="159"/>
        <v/>
      </c>
      <c r="R1280" s="54" t="str">
        <f t="shared" si="160"/>
        <v/>
      </c>
      <c r="S1280" s="53" t="str">
        <f t="shared" si="161"/>
        <v/>
      </c>
    </row>
    <row r="1281" spans="10:19" x14ac:dyDescent="0.15">
      <c r="J1281" s="38">
        <v>1272</v>
      </c>
      <c r="K1281" s="40"/>
      <c r="L1281" s="34">
        <f t="shared" si="155"/>
        <v>8.6981731860814057E-4</v>
      </c>
      <c r="M1281" s="35">
        <f t="shared" si="156"/>
        <v>-3.245450627020927E-8</v>
      </c>
      <c r="N1281" s="44">
        <f t="shared" si="154"/>
        <v>-1.8995885419520204E-6</v>
      </c>
      <c r="O1281" s="45" t="e">
        <f t="shared" si="157"/>
        <v>#VALUE!</v>
      </c>
      <c r="P1281" s="52" t="str">
        <f t="shared" si="158"/>
        <v/>
      </c>
      <c r="Q1281" s="53" t="str">
        <f t="shared" si="159"/>
        <v/>
      </c>
      <c r="R1281" s="54" t="str">
        <f t="shared" si="160"/>
        <v/>
      </c>
      <c r="S1281" s="53" t="str">
        <f t="shared" si="161"/>
        <v/>
      </c>
    </row>
    <row r="1282" spans="10:19" x14ac:dyDescent="0.15">
      <c r="J1282" s="38">
        <v>1273</v>
      </c>
      <c r="K1282" s="40"/>
      <c r="L1282" s="34">
        <f t="shared" si="155"/>
        <v>8.6978474953420962E-4</v>
      </c>
      <c r="M1282" s="35">
        <f t="shared" si="156"/>
        <v>-3.2683560891831523E-8</v>
      </c>
      <c r="N1282" s="44">
        <f t="shared" si="154"/>
        <v>-1.9104632539203997E-6</v>
      </c>
      <c r="O1282" s="45" t="e">
        <f t="shared" si="157"/>
        <v>#VALUE!</v>
      </c>
      <c r="P1282" s="52" t="str">
        <f t="shared" si="158"/>
        <v/>
      </c>
      <c r="Q1282" s="53" t="str">
        <f t="shared" si="159"/>
        <v/>
      </c>
      <c r="R1282" s="54" t="str">
        <f t="shared" si="160"/>
        <v/>
      </c>
      <c r="S1282" s="53" t="str">
        <f t="shared" si="161"/>
        <v/>
      </c>
    </row>
    <row r="1283" spans="10:19" x14ac:dyDescent="0.15">
      <c r="J1283" s="38">
        <v>1274</v>
      </c>
      <c r="K1283" s="40"/>
      <c r="L1283" s="34">
        <f t="shared" si="155"/>
        <v>8.6975195164752965E-4</v>
      </c>
      <c r="M1283" s="35">
        <f t="shared" si="156"/>
        <v>-3.2912131995143887E-8</v>
      </c>
      <c r="N1283" s="44">
        <f t="shared" si="154"/>
        <v>-1.9213153979657713E-6</v>
      </c>
      <c r="O1283" s="45" t="e">
        <f t="shared" si="157"/>
        <v>#VALUE!</v>
      </c>
      <c r="P1283" s="52" t="str">
        <f t="shared" si="158"/>
        <v/>
      </c>
      <c r="Q1283" s="53" t="str">
        <f t="shared" si="159"/>
        <v/>
      </c>
      <c r="R1283" s="54" t="str">
        <f t="shared" si="160"/>
        <v/>
      </c>
      <c r="S1283" s="53" t="str">
        <f t="shared" si="161"/>
        <v/>
      </c>
    </row>
    <row r="1284" spans="10:19" x14ac:dyDescent="0.15">
      <c r="J1284" s="38">
        <v>1275</v>
      </c>
      <c r="K1284" s="40"/>
      <c r="L1284" s="34">
        <f t="shared" si="155"/>
        <v>8.6971892543093892E-4</v>
      </c>
      <c r="M1284" s="35">
        <f t="shared" si="156"/>
        <v>-3.3140220940087254E-8</v>
      </c>
      <c r="N1284" s="44">
        <f t="shared" si="154"/>
        <v>-1.9321450364983899E-6</v>
      </c>
      <c r="O1284" s="45" t="e">
        <f t="shared" si="157"/>
        <v>#VALUE!</v>
      </c>
      <c r="P1284" s="52" t="str">
        <f t="shared" si="158"/>
        <v/>
      </c>
      <c r="Q1284" s="53" t="str">
        <f t="shared" si="159"/>
        <v/>
      </c>
      <c r="R1284" s="54" t="str">
        <f t="shared" si="160"/>
        <v/>
      </c>
      <c r="S1284" s="53" t="str">
        <f t="shared" si="161"/>
        <v/>
      </c>
    </row>
    <row r="1285" spans="10:19" x14ac:dyDescent="0.15">
      <c r="J1285" s="38">
        <v>1276</v>
      </c>
      <c r="K1285" s="40"/>
      <c r="L1285" s="34">
        <f t="shared" si="155"/>
        <v>8.6968567136591721E-4</v>
      </c>
      <c r="M1285" s="35">
        <f t="shared" si="156"/>
        <v>-3.3367829081824646E-8</v>
      </c>
      <c r="N1285" s="44">
        <f t="shared" si="154"/>
        <v>-1.9429522317102607E-6</v>
      </c>
      <c r="O1285" s="45" t="e">
        <f t="shared" si="157"/>
        <v>#VALUE!</v>
      </c>
      <c r="P1285" s="52" t="str">
        <f t="shared" si="158"/>
        <v/>
      </c>
      <c r="Q1285" s="53" t="str">
        <f t="shared" si="159"/>
        <v/>
      </c>
      <c r="R1285" s="54" t="str">
        <f t="shared" si="160"/>
        <v/>
      </c>
      <c r="S1285" s="53" t="str">
        <f t="shared" si="161"/>
        <v/>
      </c>
    </row>
    <row r="1286" spans="10:19" x14ac:dyDescent="0.15">
      <c r="J1286" s="38">
        <v>1277</v>
      </c>
      <c r="K1286" s="40"/>
      <c r="L1286" s="34">
        <f t="shared" si="155"/>
        <v>8.696521899325926E-4</v>
      </c>
      <c r="M1286" s="35">
        <f t="shared" si="156"/>
        <v>-3.3594957770761363E-8</v>
      </c>
      <c r="N1286" s="44">
        <f t="shared" si="154"/>
        <v>-1.9537370455809935E-6</v>
      </c>
      <c r="O1286" s="45" t="e">
        <f t="shared" si="157"/>
        <v>#VALUE!</v>
      </c>
      <c r="P1286" s="52" t="str">
        <f t="shared" si="158"/>
        <v/>
      </c>
      <c r="Q1286" s="53" t="str">
        <f t="shared" si="159"/>
        <v/>
      </c>
      <c r="R1286" s="54" t="str">
        <f t="shared" si="160"/>
        <v/>
      </c>
      <c r="S1286" s="53" t="str">
        <f t="shared" si="161"/>
        <v/>
      </c>
    </row>
    <row r="1287" spans="10:19" x14ac:dyDescent="0.15">
      <c r="J1287" s="38">
        <v>1278</v>
      </c>
      <c r="K1287" s="40"/>
      <c r="L1287" s="34">
        <f t="shared" si="155"/>
        <v>8.6961848160974477E-4</v>
      </c>
      <c r="M1287" s="35">
        <f t="shared" si="156"/>
        <v>-3.3821608352565094E-8</v>
      </c>
      <c r="N1287" s="44">
        <f t="shared" si="154"/>
        <v>-1.964499539875526E-6</v>
      </c>
      <c r="O1287" s="45" t="e">
        <f t="shared" si="157"/>
        <v>#VALUE!</v>
      </c>
      <c r="P1287" s="52" t="str">
        <f t="shared" si="158"/>
        <v/>
      </c>
      <c r="Q1287" s="53" t="str">
        <f t="shared" si="159"/>
        <v/>
      </c>
      <c r="R1287" s="54" t="str">
        <f t="shared" si="160"/>
        <v/>
      </c>
      <c r="S1287" s="53" t="str">
        <f t="shared" si="161"/>
        <v/>
      </c>
    </row>
    <row r="1288" spans="10:19" x14ac:dyDescent="0.15">
      <c r="J1288" s="38">
        <v>1279</v>
      </c>
      <c r="K1288" s="40"/>
      <c r="L1288" s="34">
        <f t="shared" si="155"/>
        <v>8.6958454687480939E-4</v>
      </c>
      <c r="M1288" s="35">
        <f t="shared" si="156"/>
        <v>-3.4047782168185656E-8</v>
      </c>
      <c r="N1288" s="44">
        <f t="shared" si="154"/>
        <v>-1.9752397761446661E-6</v>
      </c>
      <c r="O1288" s="45" t="e">
        <f t="shared" si="157"/>
        <v>#VALUE!</v>
      </c>
      <c r="P1288" s="52" t="str">
        <f t="shared" si="158"/>
        <v/>
      </c>
      <c r="Q1288" s="53" t="str">
        <f t="shared" si="159"/>
        <v/>
      </c>
      <c r="R1288" s="54" t="str">
        <f t="shared" si="160"/>
        <v/>
      </c>
      <c r="S1288" s="53" t="str">
        <f t="shared" si="161"/>
        <v/>
      </c>
    </row>
    <row r="1289" spans="10:19" x14ac:dyDescent="0.15">
      <c r="J1289" s="38">
        <v>1280</v>
      </c>
      <c r="K1289" s="40"/>
      <c r="L1289" s="34">
        <f t="shared" si="155"/>
        <v>8.6955038620388481E-4</v>
      </c>
      <c r="M1289" s="35">
        <f t="shared" si="156"/>
        <v>-3.4273480553875069E-8</v>
      </c>
      <c r="N1289" s="44">
        <f t="shared" ref="N1289:N1352" si="162">(L1339-L1289)</f>
        <v>-1.9859578157296453E-6</v>
      </c>
      <c r="O1289" s="45" t="e">
        <f t="shared" si="157"/>
        <v>#VALUE!</v>
      </c>
      <c r="P1289" s="52" t="str">
        <f t="shared" si="158"/>
        <v/>
      </c>
      <c r="Q1289" s="53" t="str">
        <f t="shared" si="159"/>
        <v/>
      </c>
      <c r="R1289" s="54" t="str">
        <f t="shared" si="160"/>
        <v/>
      </c>
      <c r="S1289" s="53" t="str">
        <f t="shared" si="161"/>
        <v/>
      </c>
    </row>
    <row r="1290" spans="10:19" x14ac:dyDescent="0.15">
      <c r="J1290" s="38">
        <v>1281</v>
      </c>
      <c r="K1290" s="40"/>
      <c r="L1290" s="34">
        <f t="shared" ref="L1290:L1353" si="163">$F$39*((1-$F$40*J1290)/(1+$F$41*J1290))*(J1290-$F$42)</f>
        <v>8.6951600007173437E-4</v>
      </c>
      <c r="M1290" s="35">
        <f t="shared" ref="M1290:M1353" si="164">$F$39*((1-2*$F$40*J1290-$F$40*$F$41*(J1290^2)+($F$41+$F$40)*$F$42)/(1+$F$41*J1290)^2)</f>
        <v>-3.4498704841207129E-8</v>
      </c>
      <c r="N1290" s="44">
        <f t="shared" si="162"/>
        <v>-1.9966537197578906E-6</v>
      </c>
      <c r="O1290" s="45" t="e">
        <f t="shared" ref="O1290:O1353" si="165">IF(N1290&lt;=$B$49,1+O1289,0)</f>
        <v>#VALUE!</v>
      </c>
      <c r="P1290" s="52" t="str">
        <f t="shared" ref="P1290:P1353" si="166">IF(J1290&lt;=$F$42,J1290,"")</f>
        <v/>
      </c>
      <c r="Q1290" s="53" t="str">
        <f t="shared" ref="Q1290:Q1353" si="167">IF(J1290&lt;=$F$42,L1290,"")</f>
        <v/>
      </c>
      <c r="R1290" s="54" t="str">
        <f t="shared" ref="R1290:R1353" si="168">IF(AND(J1290&gt;=$F$42,J1290&lt;=200),J1290,"")</f>
        <v/>
      </c>
      <c r="S1290" s="53" t="str">
        <f t="shared" ref="S1290:S1353" si="169">IF(AND(J1290&gt;=$F$42,J1290&lt;=200),L1290,"")</f>
        <v/>
      </c>
    </row>
    <row r="1291" spans="10:19" x14ac:dyDescent="0.15">
      <c r="J1291" s="38">
        <v>1282</v>
      </c>
      <c r="K1291" s="40"/>
      <c r="L1291" s="34">
        <f t="shared" si="163"/>
        <v>8.6948138895179294E-4</v>
      </c>
      <c r="M1291" s="35">
        <f t="shared" si="164"/>
        <v>-3.4723456357097013E-8</v>
      </c>
      <c r="N1291" s="44">
        <f t="shared" si="162"/>
        <v>-2.0073275491487704E-6</v>
      </c>
      <c r="O1291" s="45" t="e">
        <f t="shared" si="165"/>
        <v>#VALUE!</v>
      </c>
      <c r="P1291" s="52" t="str">
        <f t="shared" si="166"/>
        <v/>
      </c>
      <c r="Q1291" s="53" t="str">
        <f t="shared" si="167"/>
        <v/>
      </c>
      <c r="R1291" s="54" t="str">
        <f t="shared" si="168"/>
        <v/>
      </c>
      <c r="S1291" s="53" t="str">
        <f t="shared" si="169"/>
        <v/>
      </c>
    </row>
    <row r="1292" spans="10:19" x14ac:dyDescent="0.15">
      <c r="J1292" s="38">
        <v>1283</v>
      </c>
      <c r="K1292" s="40"/>
      <c r="L1292" s="34">
        <f t="shared" si="163"/>
        <v>8.6944655331616996E-4</v>
      </c>
      <c r="M1292" s="35">
        <f t="shared" si="164"/>
        <v>-3.4947736423821027E-8</v>
      </c>
      <c r="N1292" s="44">
        <f t="shared" si="162"/>
        <v>-2.0179793646106677E-6</v>
      </c>
      <c r="O1292" s="45" t="e">
        <f t="shared" si="165"/>
        <v>#VALUE!</v>
      </c>
      <c r="P1292" s="52" t="str">
        <f t="shared" si="166"/>
        <v/>
      </c>
      <c r="Q1292" s="53" t="str">
        <f t="shared" si="167"/>
        <v/>
      </c>
      <c r="R1292" s="54" t="str">
        <f t="shared" si="168"/>
        <v/>
      </c>
      <c r="S1292" s="53" t="str">
        <f t="shared" si="169"/>
        <v/>
      </c>
    </row>
    <row r="1293" spans="10:19" x14ac:dyDescent="0.15">
      <c r="J1293" s="38">
        <v>1284</v>
      </c>
      <c r="K1293" s="40"/>
      <c r="L1293" s="34">
        <f t="shared" si="163"/>
        <v>8.6941149363565563E-4</v>
      </c>
      <c r="M1293" s="35">
        <f t="shared" si="164"/>
        <v>-3.5171546359035812E-8</v>
      </c>
      <c r="N1293" s="44">
        <f t="shared" si="162"/>
        <v>-2.0286092266436897E-6</v>
      </c>
      <c r="O1293" s="45" t="e">
        <f t="shared" si="165"/>
        <v>#VALUE!</v>
      </c>
      <c r="P1293" s="52" t="str">
        <f t="shared" si="166"/>
        <v/>
      </c>
      <c r="Q1293" s="53" t="str">
        <f t="shared" si="167"/>
        <v/>
      </c>
      <c r="R1293" s="54" t="str">
        <f t="shared" si="168"/>
        <v/>
      </c>
      <c r="S1293" s="53" t="str">
        <f t="shared" si="169"/>
        <v/>
      </c>
    </row>
    <row r="1294" spans="10:19" x14ac:dyDescent="0.15">
      <c r="J1294" s="38">
        <v>1285</v>
      </c>
      <c r="K1294" s="40"/>
      <c r="L1294" s="34">
        <f t="shared" si="163"/>
        <v>8.6937621037972443E-4</v>
      </c>
      <c r="M1294" s="35">
        <f t="shared" si="164"/>
        <v>-3.5394887475797902E-8</v>
      </c>
      <c r="N1294" s="44">
        <f t="shared" si="162"/>
        <v>-2.0392171955408616E-6</v>
      </c>
      <c r="O1294" s="45" t="e">
        <f t="shared" si="165"/>
        <v>#VALUE!</v>
      </c>
      <c r="P1294" s="52" t="str">
        <f t="shared" si="166"/>
        <v/>
      </c>
      <c r="Q1294" s="53" t="str">
        <f t="shared" si="167"/>
        <v/>
      </c>
      <c r="R1294" s="54" t="str">
        <f t="shared" si="168"/>
        <v/>
      </c>
      <c r="S1294" s="53" t="str">
        <f t="shared" si="169"/>
        <v/>
      </c>
    </row>
    <row r="1295" spans="10:19" x14ac:dyDescent="0.15">
      <c r="J1295" s="38">
        <v>1286</v>
      </c>
      <c r="K1295" s="40"/>
      <c r="L1295" s="34">
        <f t="shared" si="163"/>
        <v>8.6934070401654072E-4</v>
      </c>
      <c r="M1295" s="35">
        <f t="shared" si="164"/>
        <v>-3.5617761082582888E-8</v>
      </c>
      <c r="N1295" s="44">
        <f t="shared" si="162"/>
        <v>-2.0498033313881255E-6</v>
      </c>
      <c r="O1295" s="45" t="e">
        <f t="shared" si="165"/>
        <v>#VALUE!</v>
      </c>
      <c r="P1295" s="52" t="str">
        <f t="shared" si="166"/>
        <v/>
      </c>
      <c r="Q1295" s="53" t="str">
        <f t="shared" si="167"/>
        <v/>
      </c>
      <c r="R1295" s="54" t="str">
        <f t="shared" si="168"/>
        <v/>
      </c>
      <c r="S1295" s="53" t="str">
        <f t="shared" si="169"/>
        <v/>
      </c>
    </row>
    <row r="1296" spans="10:19" x14ac:dyDescent="0.15">
      <c r="J1296" s="38">
        <v>1287</v>
      </c>
      <c r="K1296" s="40"/>
      <c r="L1296" s="34">
        <f t="shared" si="163"/>
        <v>8.6930497501296153E-4</v>
      </c>
      <c r="M1296" s="35">
        <f t="shared" si="164"/>
        <v>-3.5840168483304502E-8</v>
      </c>
      <c r="N1296" s="44">
        <f t="shared" si="162"/>
        <v>-2.0603676940646664E-6</v>
      </c>
      <c r="O1296" s="45" t="e">
        <f t="shared" si="165"/>
        <v>#VALUE!</v>
      </c>
      <c r="P1296" s="52" t="str">
        <f t="shared" si="166"/>
        <v/>
      </c>
      <c r="Q1296" s="53" t="str">
        <f t="shared" si="167"/>
        <v/>
      </c>
      <c r="R1296" s="54" t="str">
        <f t="shared" si="168"/>
        <v/>
      </c>
      <c r="S1296" s="53" t="str">
        <f t="shared" si="169"/>
        <v/>
      </c>
    </row>
    <row r="1297" spans="10:19" x14ac:dyDescent="0.15">
      <c r="J1297" s="38">
        <v>1288</v>
      </c>
      <c r="K1297" s="40"/>
      <c r="L1297" s="34">
        <f t="shared" si="163"/>
        <v>8.6926902383454283E-4</v>
      </c>
      <c r="M1297" s="35">
        <f t="shared" si="164"/>
        <v>-3.6062110977333916E-8</v>
      </c>
      <c r="N1297" s="44">
        <f t="shared" si="162"/>
        <v>-2.0709103432451888E-6</v>
      </c>
      <c r="O1297" s="45" t="e">
        <f t="shared" si="165"/>
        <v>#VALUE!</v>
      </c>
      <c r="P1297" s="52" t="str">
        <f t="shared" si="166"/>
        <v/>
      </c>
      <c r="Q1297" s="53" t="str">
        <f t="shared" si="167"/>
        <v/>
      </c>
      <c r="R1297" s="54" t="str">
        <f t="shared" si="168"/>
        <v/>
      </c>
      <c r="S1297" s="53" t="str">
        <f t="shared" si="169"/>
        <v/>
      </c>
    </row>
    <row r="1298" spans="10:19" x14ac:dyDescent="0.15">
      <c r="J1298" s="38">
        <v>1289</v>
      </c>
      <c r="K1298" s="40"/>
      <c r="L1298" s="34">
        <f t="shared" si="163"/>
        <v>8.6923285094554401E-4</v>
      </c>
      <c r="M1298" s="35">
        <f t="shared" si="164"/>
        <v>-3.6283589859518372E-8</v>
      </c>
      <c r="N1298" s="44">
        <f t="shared" si="162"/>
        <v>-2.0814313384002418E-6</v>
      </c>
      <c r="O1298" s="45" t="e">
        <f t="shared" si="165"/>
        <v>#VALUE!</v>
      </c>
      <c r="P1298" s="52" t="str">
        <f t="shared" si="166"/>
        <v/>
      </c>
      <c r="Q1298" s="53" t="str">
        <f t="shared" si="167"/>
        <v/>
      </c>
      <c r="R1298" s="54" t="str">
        <f t="shared" si="168"/>
        <v/>
      </c>
      <c r="S1298" s="53" t="str">
        <f t="shared" si="169"/>
        <v/>
      </c>
    </row>
    <row r="1299" spans="10:19" x14ac:dyDescent="0.15">
      <c r="J1299" s="38">
        <v>1290</v>
      </c>
      <c r="K1299" s="40"/>
      <c r="L1299" s="34">
        <f t="shared" si="163"/>
        <v>8.6919645680893088E-4</v>
      </c>
      <c r="M1299" s="35">
        <f t="shared" si="164"/>
        <v>-3.6504606420200507E-8</v>
      </c>
      <c r="N1299" s="44">
        <f t="shared" si="162"/>
        <v>-2.091930738796436E-6</v>
      </c>
      <c r="O1299" s="45" t="e">
        <f t="shared" si="165"/>
        <v>#VALUE!</v>
      </c>
      <c r="P1299" s="52" t="str">
        <f t="shared" si="166"/>
        <v/>
      </c>
      <c r="Q1299" s="53" t="str">
        <f t="shared" si="167"/>
        <v/>
      </c>
      <c r="R1299" s="54" t="str">
        <f t="shared" si="168"/>
        <v/>
      </c>
      <c r="S1299" s="53" t="str">
        <f t="shared" si="169"/>
        <v/>
      </c>
    </row>
    <row r="1300" spans="10:19" x14ac:dyDescent="0.15">
      <c r="J1300" s="38">
        <v>1291</v>
      </c>
      <c r="K1300" s="40"/>
      <c r="L1300" s="34">
        <f t="shared" si="163"/>
        <v>8.691598418863821E-4</v>
      </c>
      <c r="M1300" s="35">
        <f t="shared" si="164"/>
        <v>-3.6725161945236777E-8</v>
      </c>
      <c r="N1300" s="44">
        <f t="shared" si="162"/>
        <v>-2.1024086034978533E-6</v>
      </c>
      <c r="O1300" s="45" t="e">
        <f t="shared" si="165"/>
        <v>#VALUE!</v>
      </c>
      <c r="P1300" s="52" t="str">
        <f t="shared" si="166"/>
        <v/>
      </c>
      <c r="Q1300" s="53" t="str">
        <f t="shared" si="167"/>
        <v/>
      </c>
      <c r="R1300" s="54" t="str">
        <f t="shared" si="168"/>
        <v/>
      </c>
      <c r="S1300" s="53" t="str">
        <f t="shared" si="169"/>
        <v/>
      </c>
    </row>
    <row r="1301" spans="10:19" x14ac:dyDescent="0.15">
      <c r="J1301" s="38">
        <v>1292</v>
      </c>
      <c r="K1301" s="40"/>
      <c r="L1301" s="34">
        <f t="shared" si="163"/>
        <v>8.6912300663829188E-4</v>
      </c>
      <c r="M1301" s="35">
        <f t="shared" si="164"/>
        <v>-3.6945257716016316E-8</v>
      </c>
      <c r="N1301" s="44">
        <f t="shared" si="162"/>
        <v>-2.1128649913670222E-6</v>
      </c>
      <c r="O1301" s="45" t="e">
        <f t="shared" si="165"/>
        <v>#VALUE!</v>
      </c>
      <c r="P1301" s="52" t="str">
        <f t="shared" si="166"/>
        <v/>
      </c>
      <c r="Q1301" s="53" t="str">
        <f t="shared" si="167"/>
        <v/>
      </c>
      <c r="R1301" s="54" t="str">
        <f t="shared" si="168"/>
        <v/>
      </c>
      <c r="S1301" s="53" t="str">
        <f t="shared" si="169"/>
        <v/>
      </c>
    </row>
    <row r="1302" spans="10:19" x14ac:dyDescent="0.15">
      <c r="J1302" s="38">
        <v>1293</v>
      </c>
      <c r="K1302" s="40"/>
      <c r="L1302" s="34">
        <f t="shared" si="163"/>
        <v>8.6908595152377581E-4</v>
      </c>
      <c r="M1302" s="35">
        <f t="shared" si="164"/>
        <v>-3.7164895009479561E-8</v>
      </c>
      <c r="N1302" s="44">
        <f t="shared" si="162"/>
        <v>-2.1232999610650265E-6</v>
      </c>
      <c r="O1302" s="45" t="e">
        <f t="shared" si="165"/>
        <v>#VALUE!</v>
      </c>
      <c r="P1302" s="52" t="str">
        <f t="shared" si="166"/>
        <v/>
      </c>
      <c r="Q1302" s="53" t="str">
        <f t="shared" si="167"/>
        <v/>
      </c>
      <c r="R1302" s="54" t="str">
        <f t="shared" si="168"/>
        <v/>
      </c>
      <c r="S1302" s="53" t="str">
        <f t="shared" si="169"/>
        <v/>
      </c>
    </row>
    <row r="1303" spans="10:19" x14ac:dyDescent="0.15">
      <c r="J1303" s="38">
        <v>1294</v>
      </c>
      <c r="K1303" s="40"/>
      <c r="L1303" s="34">
        <f t="shared" si="163"/>
        <v>8.6904867700067447E-4</v>
      </c>
      <c r="M1303" s="35">
        <f t="shared" si="164"/>
        <v>-3.7384075098136747E-8</v>
      </c>
      <c r="N1303" s="44">
        <f t="shared" si="162"/>
        <v>-2.1337135710530232E-6</v>
      </c>
      <c r="O1303" s="45" t="e">
        <f t="shared" si="165"/>
        <v>#VALUE!</v>
      </c>
      <c r="P1303" s="52" t="str">
        <f t="shared" si="166"/>
        <v/>
      </c>
      <c r="Q1303" s="53" t="str">
        <f t="shared" si="167"/>
        <v/>
      </c>
      <c r="R1303" s="54" t="str">
        <f t="shared" si="168"/>
        <v/>
      </c>
      <c r="S1303" s="53" t="str">
        <f t="shared" si="169"/>
        <v/>
      </c>
    </row>
    <row r="1304" spans="10:19" x14ac:dyDescent="0.15">
      <c r="J1304" s="38">
        <v>1295</v>
      </c>
      <c r="K1304" s="40"/>
      <c r="L1304" s="34">
        <f t="shared" si="163"/>
        <v>8.6901118352555829E-4</v>
      </c>
      <c r="M1304" s="35">
        <f t="shared" si="164"/>
        <v>-3.7602799250086234E-8</v>
      </c>
      <c r="N1304" s="44">
        <f t="shared" si="162"/>
        <v>-2.1441058795930012E-6</v>
      </c>
      <c r="O1304" s="45" t="e">
        <f t="shared" si="165"/>
        <v>#VALUE!</v>
      </c>
      <c r="P1304" s="52" t="str">
        <f t="shared" si="166"/>
        <v/>
      </c>
      <c r="Q1304" s="53" t="str">
        <f t="shared" si="167"/>
        <v/>
      </c>
      <c r="R1304" s="54" t="str">
        <f t="shared" si="168"/>
        <v/>
      </c>
      <c r="S1304" s="53" t="str">
        <f t="shared" si="169"/>
        <v/>
      </c>
    </row>
    <row r="1305" spans="10:19" x14ac:dyDescent="0.15">
      <c r="J1305" s="38">
        <v>1296</v>
      </c>
      <c r="K1305" s="40"/>
      <c r="L1305" s="34">
        <f t="shared" si="163"/>
        <v>8.6897347155373192E-4</v>
      </c>
      <c r="M1305" s="35">
        <f t="shared" si="164"/>
        <v>-3.7821068729033099E-8</v>
      </c>
      <c r="N1305" s="44">
        <f t="shared" si="162"/>
        <v>-2.1544769447484321E-6</v>
      </c>
      <c r="O1305" s="45" t="e">
        <f t="shared" si="165"/>
        <v>#VALUE!</v>
      </c>
      <c r="P1305" s="52" t="str">
        <f t="shared" si="166"/>
        <v/>
      </c>
      <c r="Q1305" s="53" t="str">
        <f t="shared" si="167"/>
        <v/>
      </c>
      <c r="R1305" s="54" t="str">
        <f t="shared" si="168"/>
        <v/>
      </c>
      <c r="S1305" s="53" t="str">
        <f t="shared" si="169"/>
        <v/>
      </c>
    </row>
    <row r="1306" spans="10:19" x14ac:dyDescent="0.15">
      <c r="J1306" s="38">
        <v>1297</v>
      </c>
      <c r="K1306" s="40"/>
      <c r="L1306" s="34">
        <f t="shared" si="163"/>
        <v>8.6893554153923819E-4</v>
      </c>
      <c r="M1306" s="35">
        <f t="shared" si="164"/>
        <v>-3.8038884794307095E-8</v>
      </c>
      <c r="N1306" s="44">
        <f t="shared" si="162"/>
        <v>-2.1648268243843784E-6</v>
      </c>
      <c r="O1306" s="45" t="e">
        <f t="shared" si="165"/>
        <v>#VALUE!</v>
      </c>
      <c r="P1306" s="52" t="str">
        <f t="shared" si="166"/>
        <v/>
      </c>
      <c r="Q1306" s="53" t="str">
        <f t="shared" si="167"/>
        <v/>
      </c>
      <c r="R1306" s="54" t="str">
        <f t="shared" si="168"/>
        <v/>
      </c>
      <c r="S1306" s="53" t="str">
        <f t="shared" si="169"/>
        <v/>
      </c>
    </row>
    <row r="1307" spans="10:19" x14ac:dyDescent="0.15">
      <c r="J1307" s="38">
        <v>1298</v>
      </c>
      <c r="K1307" s="40"/>
      <c r="L1307" s="34">
        <f t="shared" si="163"/>
        <v>8.6889739393486291E-4</v>
      </c>
      <c r="M1307" s="35">
        <f t="shared" si="164"/>
        <v>-3.8256248700881093E-8</v>
      </c>
      <c r="N1307" s="44">
        <f t="shared" si="162"/>
        <v>-2.175155576169879E-6</v>
      </c>
      <c r="O1307" s="45" t="e">
        <f t="shared" si="165"/>
        <v>#VALUE!</v>
      </c>
      <c r="P1307" s="52" t="str">
        <f t="shared" si="166"/>
        <v/>
      </c>
      <c r="Q1307" s="53" t="str">
        <f t="shared" si="167"/>
        <v/>
      </c>
      <c r="R1307" s="54" t="str">
        <f t="shared" si="168"/>
        <v/>
      </c>
      <c r="S1307" s="53" t="str">
        <f t="shared" si="169"/>
        <v/>
      </c>
    </row>
    <row r="1308" spans="10:19" x14ac:dyDescent="0.15">
      <c r="J1308" s="38">
        <v>1299</v>
      </c>
      <c r="K1308" s="40"/>
      <c r="L1308" s="34">
        <f t="shared" si="163"/>
        <v>8.6885902919213909E-4</v>
      </c>
      <c r="M1308" s="35">
        <f t="shared" si="164"/>
        <v>-3.8473161699388909E-8</v>
      </c>
      <c r="N1308" s="44">
        <f t="shared" si="162"/>
        <v>-2.1854632575770815E-6</v>
      </c>
      <c r="O1308" s="45" t="e">
        <f t="shared" si="165"/>
        <v>#VALUE!</v>
      </c>
      <c r="P1308" s="52" t="str">
        <f t="shared" si="166"/>
        <v/>
      </c>
      <c r="Q1308" s="53" t="str">
        <f t="shared" si="167"/>
        <v/>
      </c>
      <c r="R1308" s="54" t="str">
        <f t="shared" si="168"/>
        <v/>
      </c>
      <c r="S1308" s="53" t="str">
        <f t="shared" si="169"/>
        <v/>
      </c>
    </row>
    <row r="1309" spans="10:19" x14ac:dyDescent="0.15">
      <c r="J1309" s="38">
        <v>1300</v>
      </c>
      <c r="K1309" s="40"/>
      <c r="L1309" s="34">
        <f t="shared" si="163"/>
        <v>8.6882044776135129E-4</v>
      </c>
      <c r="M1309" s="35">
        <f t="shared" si="164"/>
        <v>-3.8689625036143479E-8</v>
      </c>
      <c r="N1309" s="44">
        <f t="shared" si="162"/>
        <v>-2.1957499258837363E-6</v>
      </c>
      <c r="O1309" s="45" t="e">
        <f t="shared" si="165"/>
        <v>#VALUE!</v>
      </c>
      <c r="P1309" s="52" t="str">
        <f t="shared" si="166"/>
        <v/>
      </c>
      <c r="Q1309" s="53" t="str">
        <f t="shared" si="167"/>
        <v/>
      </c>
      <c r="R1309" s="54" t="str">
        <f t="shared" si="168"/>
        <v/>
      </c>
      <c r="S1309" s="53" t="str">
        <f t="shared" si="169"/>
        <v/>
      </c>
    </row>
    <row r="1310" spans="10:19" x14ac:dyDescent="0.15">
      <c r="J1310" s="38">
        <v>1301</v>
      </c>
      <c r="K1310" s="40"/>
      <c r="L1310" s="34">
        <f t="shared" si="163"/>
        <v>8.6878165009154006E-4</v>
      </c>
      <c r="M1310" s="35">
        <f t="shared" si="164"/>
        <v>-3.8905639953154673E-8</v>
      </c>
      <c r="N1310" s="44">
        <f t="shared" si="162"/>
        <v>-2.2060156381723288E-6</v>
      </c>
      <c r="O1310" s="45" t="e">
        <f t="shared" si="165"/>
        <v>#VALUE!</v>
      </c>
      <c r="P1310" s="52" t="str">
        <f t="shared" si="166"/>
        <v/>
      </c>
      <c r="Q1310" s="53" t="str">
        <f t="shared" si="167"/>
        <v/>
      </c>
      <c r="R1310" s="54" t="str">
        <f t="shared" si="168"/>
        <v/>
      </c>
      <c r="S1310" s="53" t="str">
        <f t="shared" si="169"/>
        <v/>
      </c>
    </row>
    <row r="1311" spans="10:19" x14ac:dyDescent="0.15">
      <c r="J1311" s="38">
        <v>1302</v>
      </c>
      <c r="K1311" s="40"/>
      <c r="L1311" s="34">
        <f t="shared" si="163"/>
        <v>8.6874263663050551E-4</v>
      </c>
      <c r="M1311" s="35">
        <f t="shared" si="164"/>
        <v>-3.9121207688147109E-8</v>
      </c>
      <c r="N1311" s="44">
        <f t="shared" si="162"/>
        <v>-2.2162604513313805E-6</v>
      </c>
      <c r="O1311" s="45" t="e">
        <f t="shared" si="165"/>
        <v>#VALUE!</v>
      </c>
      <c r="P1311" s="52" t="str">
        <f t="shared" si="166"/>
        <v/>
      </c>
      <c r="Q1311" s="53" t="str">
        <f t="shared" si="167"/>
        <v/>
      </c>
      <c r="R1311" s="54" t="str">
        <f t="shared" si="168"/>
        <v/>
      </c>
      <c r="S1311" s="53" t="str">
        <f t="shared" si="169"/>
        <v/>
      </c>
    </row>
    <row r="1312" spans="10:19" x14ac:dyDescent="0.15">
      <c r="J1312" s="38">
        <v>1303</v>
      </c>
      <c r="K1312" s="40"/>
      <c r="L1312" s="34">
        <f t="shared" si="163"/>
        <v>8.6870340782481306E-4</v>
      </c>
      <c r="M1312" s="35">
        <f t="shared" si="164"/>
        <v>-3.9336329474577954E-8</v>
      </c>
      <c r="N1312" s="44">
        <f t="shared" si="162"/>
        <v>-2.2264844220578348E-6</v>
      </c>
      <c r="O1312" s="45" t="e">
        <f t="shared" si="165"/>
        <v>#VALUE!</v>
      </c>
      <c r="P1312" s="52" t="str">
        <f t="shared" si="166"/>
        <v/>
      </c>
      <c r="Q1312" s="53" t="str">
        <f t="shared" si="167"/>
        <v/>
      </c>
      <c r="R1312" s="54" t="str">
        <f t="shared" si="168"/>
        <v/>
      </c>
      <c r="S1312" s="53" t="str">
        <f t="shared" si="169"/>
        <v/>
      </c>
    </row>
    <row r="1313" spans="10:19" x14ac:dyDescent="0.15">
      <c r="J1313" s="38">
        <v>1304</v>
      </c>
      <c r="K1313" s="40"/>
      <c r="L1313" s="34">
        <f t="shared" si="163"/>
        <v>8.6866396411979625E-4</v>
      </c>
      <c r="M1313" s="35">
        <f t="shared" si="164"/>
        <v>-3.9551006541654438E-8</v>
      </c>
      <c r="N1313" s="44">
        <f t="shared" si="162"/>
        <v>-2.2366876068553214E-6</v>
      </c>
      <c r="O1313" s="45" t="e">
        <f t="shared" si="165"/>
        <v>#VALUE!</v>
      </c>
      <c r="P1313" s="52" t="str">
        <f t="shared" si="166"/>
        <v/>
      </c>
      <c r="Q1313" s="53" t="str">
        <f t="shared" si="167"/>
        <v/>
      </c>
      <c r="R1313" s="54" t="str">
        <f t="shared" si="168"/>
        <v/>
      </c>
      <c r="S1313" s="53" t="str">
        <f t="shared" si="169"/>
        <v/>
      </c>
    </row>
    <row r="1314" spans="10:19" x14ac:dyDescent="0.15">
      <c r="J1314" s="38">
        <v>1305</v>
      </c>
      <c r="K1314" s="40"/>
      <c r="L1314" s="34">
        <f t="shared" si="163"/>
        <v>8.686243059595612E-4</v>
      </c>
      <c r="M1314" s="35">
        <f t="shared" si="164"/>
        <v>-3.9765240114351548E-8</v>
      </c>
      <c r="N1314" s="44">
        <f t="shared" si="162"/>
        <v>-2.2468700620360002E-6</v>
      </c>
      <c r="O1314" s="45" t="e">
        <f t="shared" si="165"/>
        <v>#VALUE!</v>
      </c>
      <c r="P1314" s="52" t="str">
        <f t="shared" si="166"/>
        <v/>
      </c>
      <c r="Q1314" s="53" t="str">
        <f t="shared" si="167"/>
        <v/>
      </c>
      <c r="R1314" s="54" t="str">
        <f t="shared" si="168"/>
        <v/>
      </c>
      <c r="S1314" s="53" t="str">
        <f t="shared" si="169"/>
        <v/>
      </c>
    </row>
    <row r="1315" spans="10:19" x14ac:dyDescent="0.15">
      <c r="J1315" s="38">
        <v>1306</v>
      </c>
      <c r="K1315" s="40"/>
      <c r="L1315" s="34">
        <f t="shared" si="163"/>
        <v>8.6858443378699205E-4</v>
      </c>
      <c r="M1315" s="35">
        <f t="shared" si="164"/>
        <v>-3.9979031413429459E-8</v>
      </c>
      <c r="N1315" s="44">
        <f t="shared" si="162"/>
        <v>-2.2570318437225125E-6</v>
      </c>
      <c r="O1315" s="45" t="e">
        <f t="shared" si="165"/>
        <v>#VALUE!</v>
      </c>
      <c r="P1315" s="52" t="str">
        <f t="shared" si="166"/>
        <v/>
      </c>
      <c r="Q1315" s="53" t="str">
        <f t="shared" si="167"/>
        <v/>
      </c>
      <c r="R1315" s="54" t="str">
        <f t="shared" si="168"/>
        <v/>
      </c>
      <c r="S1315" s="53" t="str">
        <f t="shared" si="169"/>
        <v/>
      </c>
    </row>
    <row r="1316" spans="10:19" x14ac:dyDescent="0.15">
      <c r="J1316" s="38">
        <v>1307</v>
      </c>
      <c r="K1316" s="40"/>
      <c r="L1316" s="34">
        <f t="shared" si="163"/>
        <v>8.6854434804375328E-4</v>
      </c>
      <c r="M1316" s="35">
        <f t="shared" si="164"/>
        <v>-4.0192381655450862E-8</v>
      </c>
      <c r="N1316" s="44">
        <f t="shared" si="162"/>
        <v>-2.2671730078459209E-6</v>
      </c>
      <c r="O1316" s="45" t="e">
        <f t="shared" si="165"/>
        <v>#VALUE!</v>
      </c>
      <c r="P1316" s="52" t="str">
        <f t="shared" si="166"/>
        <v/>
      </c>
      <c r="Q1316" s="53" t="str">
        <f t="shared" si="167"/>
        <v/>
      </c>
      <c r="R1316" s="54" t="str">
        <f t="shared" si="168"/>
        <v/>
      </c>
      <c r="S1316" s="53" t="str">
        <f t="shared" si="169"/>
        <v/>
      </c>
    </row>
    <row r="1317" spans="10:19" x14ac:dyDescent="0.15">
      <c r="J1317" s="38">
        <v>1308</v>
      </c>
      <c r="K1317" s="40"/>
      <c r="L1317" s="34">
        <f t="shared" si="163"/>
        <v>8.6850404917029585E-4</v>
      </c>
      <c r="M1317" s="35">
        <f t="shared" si="164"/>
        <v>-4.040529205279836E-8</v>
      </c>
      <c r="N1317" s="44">
        <f t="shared" si="162"/>
        <v>-2.2772936101505886E-6</v>
      </c>
      <c r="O1317" s="45" t="e">
        <f t="shared" si="165"/>
        <v>#VALUE!</v>
      </c>
      <c r="P1317" s="52" t="str">
        <f t="shared" si="166"/>
        <v/>
      </c>
      <c r="Q1317" s="53" t="str">
        <f t="shared" si="167"/>
        <v/>
      </c>
      <c r="R1317" s="54" t="str">
        <f t="shared" si="168"/>
        <v/>
      </c>
      <c r="S1317" s="53" t="str">
        <f t="shared" si="169"/>
        <v/>
      </c>
    </row>
    <row r="1318" spans="10:19" x14ac:dyDescent="0.15">
      <c r="J1318" s="38">
        <v>1309</v>
      </c>
      <c r="K1318" s="40"/>
      <c r="L1318" s="34">
        <f t="shared" si="163"/>
        <v>8.6846353760585977E-4</v>
      </c>
      <c r="M1318" s="35">
        <f t="shared" si="164"/>
        <v>-4.0617763813691653E-8</v>
      </c>
      <c r="N1318" s="44">
        <f t="shared" si="162"/>
        <v>-2.2873937061903844E-6</v>
      </c>
      <c r="O1318" s="45" t="e">
        <f t="shared" si="165"/>
        <v>#VALUE!</v>
      </c>
      <c r="P1318" s="52" t="str">
        <f t="shared" si="166"/>
        <v/>
      </c>
      <c r="Q1318" s="53" t="str">
        <f t="shared" si="167"/>
        <v/>
      </c>
      <c r="R1318" s="54" t="str">
        <f t="shared" si="168"/>
        <v/>
      </c>
      <c r="S1318" s="53" t="str">
        <f t="shared" si="169"/>
        <v/>
      </c>
    </row>
    <row r="1319" spans="10:19" x14ac:dyDescent="0.15">
      <c r="J1319" s="38">
        <v>1310</v>
      </c>
      <c r="K1319" s="40"/>
      <c r="L1319" s="34">
        <f t="shared" si="163"/>
        <v>8.6842281378847908E-4</v>
      </c>
      <c r="M1319" s="35">
        <f t="shared" si="164"/>
        <v>-4.0829798142204653E-8</v>
      </c>
      <c r="N1319" s="44">
        <f t="shared" si="162"/>
        <v>-2.2974733513331279E-6</v>
      </c>
      <c r="O1319" s="45" t="e">
        <f t="shared" si="165"/>
        <v>#VALUE!</v>
      </c>
      <c r="P1319" s="52" t="str">
        <f t="shared" si="166"/>
        <v/>
      </c>
      <c r="Q1319" s="53" t="str">
        <f t="shared" si="167"/>
        <v/>
      </c>
      <c r="R1319" s="54" t="str">
        <f t="shared" si="168"/>
        <v/>
      </c>
      <c r="S1319" s="53" t="str">
        <f t="shared" si="169"/>
        <v/>
      </c>
    </row>
    <row r="1320" spans="10:19" x14ac:dyDescent="0.15">
      <c r="J1320" s="38">
        <v>1311</v>
      </c>
      <c r="K1320" s="40"/>
      <c r="L1320" s="34">
        <f t="shared" si="163"/>
        <v>8.6838187815498622E-4</v>
      </c>
      <c r="M1320" s="35">
        <f t="shared" si="164"/>
        <v>-4.1041396238282588E-8</v>
      </c>
      <c r="N1320" s="44">
        <f t="shared" si="162"/>
        <v>-2.3075326007597225E-6</v>
      </c>
      <c r="O1320" s="45" t="e">
        <f t="shared" si="165"/>
        <v>#VALUE!</v>
      </c>
      <c r="P1320" s="52" t="str">
        <f t="shared" si="166"/>
        <v/>
      </c>
      <c r="Q1320" s="53" t="str">
        <f t="shared" si="167"/>
        <v/>
      </c>
      <c r="R1320" s="54" t="str">
        <f t="shared" si="168"/>
        <v/>
      </c>
      <c r="S1320" s="53" t="str">
        <f t="shared" si="169"/>
        <v/>
      </c>
    </row>
    <row r="1321" spans="10:19" x14ac:dyDescent="0.15">
      <c r="J1321" s="38">
        <v>1312</v>
      </c>
      <c r="K1321" s="40"/>
      <c r="L1321" s="34">
        <f t="shared" si="163"/>
        <v>8.683407311410147E-4</v>
      </c>
      <c r="M1321" s="35">
        <f t="shared" si="164"/>
        <v>-4.1252559297758935E-8</v>
      </c>
      <c r="N1321" s="44">
        <f t="shared" si="162"/>
        <v>-2.3175715094636128E-6</v>
      </c>
      <c r="O1321" s="45" t="e">
        <f t="shared" si="165"/>
        <v>#VALUE!</v>
      </c>
      <c r="P1321" s="52" t="str">
        <f t="shared" si="166"/>
        <v/>
      </c>
      <c r="Q1321" s="53" t="str">
        <f t="shared" si="167"/>
        <v/>
      </c>
      <c r="R1321" s="54" t="str">
        <f t="shared" si="168"/>
        <v/>
      </c>
      <c r="S1321" s="53" t="str">
        <f t="shared" si="169"/>
        <v/>
      </c>
    </row>
    <row r="1322" spans="10:19" x14ac:dyDescent="0.15">
      <c r="J1322" s="38">
        <v>1313</v>
      </c>
      <c r="K1322" s="40"/>
      <c r="L1322" s="34">
        <f t="shared" si="163"/>
        <v>8.6829937318100563E-4</v>
      </c>
      <c r="M1322" s="35">
        <f t="shared" si="164"/>
        <v>-4.1463288512372405E-8</v>
      </c>
      <c r="N1322" s="44">
        <f t="shared" si="162"/>
        <v>-2.3275901322552302E-6</v>
      </c>
      <c r="O1322" s="45" t="e">
        <f t="shared" si="165"/>
        <v>#VALUE!</v>
      </c>
      <c r="P1322" s="52" t="str">
        <f t="shared" si="166"/>
        <v/>
      </c>
      <c r="Q1322" s="53" t="str">
        <f t="shared" si="167"/>
        <v/>
      </c>
      <c r="R1322" s="54" t="str">
        <f t="shared" si="168"/>
        <v/>
      </c>
      <c r="S1322" s="53" t="str">
        <f t="shared" si="169"/>
        <v/>
      </c>
    </row>
    <row r="1323" spans="10:19" x14ac:dyDescent="0.15">
      <c r="J1323" s="38">
        <v>1314</v>
      </c>
      <c r="K1323" s="40"/>
      <c r="L1323" s="34">
        <f t="shared" si="163"/>
        <v>8.6825780470820913E-4</v>
      </c>
      <c r="M1323" s="35">
        <f t="shared" si="164"/>
        <v>-4.167358506978364E-8</v>
      </c>
      <c r="N1323" s="44">
        <f t="shared" si="162"/>
        <v>-2.3375885237587402E-6</v>
      </c>
      <c r="O1323" s="45" t="e">
        <f t="shared" si="165"/>
        <v>#VALUE!</v>
      </c>
      <c r="P1323" s="52" t="str">
        <f t="shared" si="166"/>
        <v/>
      </c>
      <c r="Q1323" s="53" t="str">
        <f t="shared" si="167"/>
        <v/>
      </c>
      <c r="R1323" s="54" t="str">
        <f t="shared" si="168"/>
        <v/>
      </c>
      <c r="S1323" s="53" t="str">
        <f t="shared" si="169"/>
        <v/>
      </c>
    </row>
    <row r="1324" spans="10:19" x14ac:dyDescent="0.15">
      <c r="J1324" s="38">
        <v>1315</v>
      </c>
      <c r="K1324" s="40"/>
      <c r="L1324" s="34">
        <f t="shared" si="163"/>
        <v>8.6821602615469061E-4</v>
      </c>
      <c r="M1324" s="35">
        <f t="shared" si="164"/>
        <v>-4.1883450153591958E-8</v>
      </c>
      <c r="N1324" s="44">
        <f t="shared" si="162"/>
        <v>-2.3475667384151864E-6</v>
      </c>
      <c r="O1324" s="45" t="e">
        <f t="shared" si="165"/>
        <v>#VALUE!</v>
      </c>
      <c r="P1324" s="52" t="str">
        <f t="shared" si="166"/>
        <v/>
      </c>
      <c r="Q1324" s="53" t="str">
        <f t="shared" si="167"/>
        <v/>
      </c>
      <c r="R1324" s="54" t="str">
        <f t="shared" si="168"/>
        <v/>
      </c>
      <c r="S1324" s="53" t="str">
        <f t="shared" si="169"/>
        <v/>
      </c>
    </row>
    <row r="1325" spans="10:19" x14ac:dyDescent="0.15">
      <c r="J1325" s="38">
        <v>1316</v>
      </c>
      <c r="K1325" s="40"/>
      <c r="L1325" s="34">
        <f t="shared" si="163"/>
        <v>8.6817403795133314E-4</v>
      </c>
      <c r="M1325" s="35">
        <f t="shared" si="164"/>
        <v>-4.2092884943352188E-8</v>
      </c>
      <c r="N1325" s="44">
        <f t="shared" si="162"/>
        <v>-2.3575248304825991E-6</v>
      </c>
      <c r="O1325" s="45" t="e">
        <f t="shared" si="165"/>
        <v>#VALUE!</v>
      </c>
      <c r="P1325" s="52" t="str">
        <f t="shared" si="166"/>
        <v/>
      </c>
      <c r="Q1325" s="53" t="str">
        <f t="shared" si="167"/>
        <v/>
      </c>
      <c r="R1325" s="54" t="str">
        <f t="shared" si="168"/>
        <v/>
      </c>
      <c r="S1325" s="53" t="str">
        <f t="shared" si="169"/>
        <v/>
      </c>
    </row>
    <row r="1326" spans="10:19" x14ac:dyDescent="0.15">
      <c r="J1326" s="38">
        <v>1317</v>
      </c>
      <c r="K1326" s="40"/>
      <c r="L1326" s="34">
        <f t="shared" si="163"/>
        <v>8.6813184052784314E-4</v>
      </c>
      <c r="M1326" s="35">
        <f t="shared" si="164"/>
        <v>-4.2301890614590949E-8</v>
      </c>
      <c r="N1326" s="44">
        <f t="shared" si="162"/>
        <v>-2.3674628540368628E-6</v>
      </c>
      <c r="O1326" s="45" t="e">
        <f t="shared" si="165"/>
        <v>#VALUE!</v>
      </c>
      <c r="P1326" s="52" t="str">
        <f t="shared" si="166"/>
        <v/>
      </c>
      <c r="Q1326" s="53" t="str">
        <f t="shared" si="167"/>
        <v/>
      </c>
      <c r="R1326" s="54" t="str">
        <f t="shared" si="168"/>
        <v/>
      </c>
      <c r="S1326" s="53" t="str">
        <f t="shared" si="169"/>
        <v/>
      </c>
    </row>
    <row r="1327" spans="10:19" x14ac:dyDescent="0.15">
      <c r="J1327" s="38">
        <v>1318</v>
      </c>
      <c r="K1327" s="40"/>
      <c r="L1327" s="34">
        <f t="shared" si="163"/>
        <v>8.6808943431275292E-4</v>
      </c>
      <c r="M1327" s="35">
        <f t="shared" si="164"/>
        <v>-4.2510468338823368E-8</v>
      </c>
      <c r="N1327" s="44">
        <f t="shared" si="162"/>
        <v>-2.3773808629725833E-6</v>
      </c>
      <c r="O1327" s="45" t="e">
        <f t="shared" si="165"/>
        <v>#VALUE!</v>
      </c>
      <c r="P1327" s="52" t="str">
        <f t="shared" si="166"/>
        <v/>
      </c>
      <c r="Q1327" s="53" t="str">
        <f t="shared" si="167"/>
        <v/>
      </c>
      <c r="R1327" s="54" t="str">
        <f t="shared" si="168"/>
        <v/>
      </c>
      <c r="S1327" s="53" t="str">
        <f t="shared" si="169"/>
        <v/>
      </c>
    </row>
    <row r="1328" spans="10:19" x14ac:dyDescent="0.15">
      <c r="J1328" s="38">
        <v>1319</v>
      </c>
      <c r="K1328" s="40"/>
      <c r="L1328" s="34">
        <f t="shared" si="163"/>
        <v>8.6804681973342548E-4</v>
      </c>
      <c r="M1328" s="35">
        <f t="shared" si="164"/>
        <v>-4.2718619283569473E-8</v>
      </c>
      <c r="N1328" s="44">
        <f t="shared" si="162"/>
        <v>-2.3872789110024372E-6</v>
      </c>
      <c r="O1328" s="45" t="e">
        <f t="shared" si="165"/>
        <v>#VALUE!</v>
      </c>
      <c r="P1328" s="52" t="str">
        <f t="shared" si="166"/>
        <v/>
      </c>
      <c r="Q1328" s="53" t="str">
        <f t="shared" si="167"/>
        <v/>
      </c>
      <c r="R1328" s="54" t="str">
        <f t="shared" si="168"/>
        <v/>
      </c>
      <c r="S1328" s="53" t="str">
        <f t="shared" si="169"/>
        <v/>
      </c>
    </row>
    <row r="1329" spans="10:19" x14ac:dyDescent="0.15">
      <c r="J1329" s="38">
        <v>1320</v>
      </c>
      <c r="K1329" s="40"/>
      <c r="L1329" s="34">
        <f t="shared" si="163"/>
        <v>8.6800399721605767E-4</v>
      </c>
      <c r="M1329" s="35">
        <f t="shared" si="164"/>
        <v>-4.2926344612370417E-8</v>
      </c>
      <c r="N1329" s="44">
        <f t="shared" si="162"/>
        <v>-2.3971570516598826E-6</v>
      </c>
      <c r="O1329" s="45" t="e">
        <f t="shared" si="165"/>
        <v>#VALUE!</v>
      </c>
      <c r="P1329" s="52" t="str">
        <f t="shared" si="166"/>
        <v/>
      </c>
      <c r="Q1329" s="53" t="str">
        <f t="shared" si="167"/>
        <v/>
      </c>
      <c r="R1329" s="54" t="str">
        <f t="shared" si="168"/>
        <v/>
      </c>
      <c r="S1329" s="53" t="str">
        <f t="shared" si="169"/>
        <v/>
      </c>
    </row>
    <row r="1330" spans="10:19" x14ac:dyDescent="0.15">
      <c r="J1330" s="38">
        <v>1321</v>
      </c>
      <c r="K1330" s="40"/>
      <c r="L1330" s="34">
        <f t="shared" si="163"/>
        <v>8.6796096718568612E-4</v>
      </c>
      <c r="M1330" s="35">
        <f t="shared" si="164"/>
        <v>-4.3133645484804903E-8</v>
      </c>
      <c r="N1330" s="44">
        <f t="shared" si="162"/>
        <v>-2.4070153382995925E-6</v>
      </c>
      <c r="O1330" s="45" t="e">
        <f t="shared" si="165"/>
        <v>#VALUE!</v>
      </c>
      <c r="P1330" s="52" t="str">
        <f t="shared" si="166"/>
        <v/>
      </c>
      <c r="Q1330" s="53" t="str">
        <f t="shared" si="167"/>
        <v/>
      </c>
      <c r="R1330" s="54" t="str">
        <f t="shared" si="168"/>
        <v/>
      </c>
      <c r="S1330" s="53" t="str">
        <f t="shared" si="169"/>
        <v/>
      </c>
    </row>
    <row r="1331" spans="10:19" x14ac:dyDescent="0.15">
      <c r="J1331" s="38">
        <v>1322</v>
      </c>
      <c r="K1331" s="40"/>
      <c r="L1331" s="34">
        <f t="shared" si="163"/>
        <v>8.6791773006618855E-4</v>
      </c>
      <c r="M1331" s="35">
        <f t="shared" si="164"/>
        <v>-4.3340523056505112E-8</v>
      </c>
      <c r="N1331" s="44">
        <f t="shared" si="162"/>
        <v>-2.416853824095829E-6</v>
      </c>
      <c r="O1331" s="45" t="e">
        <f t="shared" si="165"/>
        <v>#VALUE!</v>
      </c>
      <c r="P1331" s="52" t="str">
        <f t="shared" si="166"/>
        <v/>
      </c>
      <c r="Q1331" s="53" t="str">
        <f t="shared" si="167"/>
        <v/>
      </c>
      <c r="R1331" s="54" t="str">
        <f t="shared" si="168"/>
        <v/>
      </c>
      <c r="S1331" s="53" t="str">
        <f t="shared" si="169"/>
        <v/>
      </c>
    </row>
    <row r="1332" spans="10:19" x14ac:dyDescent="0.15">
      <c r="J1332" s="38">
        <v>1323</v>
      </c>
      <c r="K1332" s="40"/>
      <c r="L1332" s="34">
        <f t="shared" si="163"/>
        <v>8.6787428628028922E-4</v>
      </c>
      <c r="M1332" s="35">
        <f t="shared" si="164"/>
        <v>-4.3546978479173108E-8</v>
      </c>
      <c r="N1332" s="44">
        <f t="shared" si="162"/>
        <v>-2.4266725620463456E-6</v>
      </c>
      <c r="O1332" s="45" t="e">
        <f t="shared" si="165"/>
        <v>#VALUE!</v>
      </c>
      <c r="P1332" s="52" t="str">
        <f t="shared" si="166"/>
        <v/>
      </c>
      <c r="Q1332" s="53" t="str">
        <f t="shared" si="167"/>
        <v/>
      </c>
      <c r="R1332" s="54" t="str">
        <f t="shared" si="168"/>
        <v/>
      </c>
      <c r="S1332" s="53" t="str">
        <f t="shared" si="169"/>
        <v/>
      </c>
    </row>
    <row r="1333" spans="10:19" x14ac:dyDescent="0.15">
      <c r="J1333" s="38">
        <v>1324</v>
      </c>
      <c r="K1333" s="40"/>
      <c r="L1333" s="34">
        <f t="shared" si="163"/>
        <v>8.6783063624956388E-4</v>
      </c>
      <c r="M1333" s="35">
        <f t="shared" si="164"/>
        <v>-4.3753012900596722E-8</v>
      </c>
      <c r="N1333" s="44">
        <f t="shared" si="162"/>
        <v>-2.4364716049719544E-6</v>
      </c>
      <c r="O1333" s="45" t="e">
        <f t="shared" si="165"/>
        <v>#VALUE!</v>
      </c>
      <c r="P1333" s="52" t="str">
        <f t="shared" si="166"/>
        <v/>
      </c>
      <c r="Q1333" s="53" t="str">
        <f t="shared" si="167"/>
        <v/>
      </c>
      <c r="R1333" s="54" t="str">
        <f t="shared" si="168"/>
        <v/>
      </c>
      <c r="S1333" s="53" t="str">
        <f t="shared" si="169"/>
        <v/>
      </c>
    </row>
    <row r="1334" spans="10:19" x14ac:dyDescent="0.15">
      <c r="J1334" s="38">
        <v>1325</v>
      </c>
      <c r="K1334" s="40"/>
      <c r="L1334" s="34">
        <f t="shared" si="163"/>
        <v>8.6778678039444053E-4</v>
      </c>
      <c r="M1334" s="35">
        <f t="shared" si="164"/>
        <v>-4.3958627464665401E-8</v>
      </c>
      <c r="N1334" s="44">
        <f t="shared" si="162"/>
        <v>-2.446251005515333E-6</v>
      </c>
      <c r="O1334" s="45" t="e">
        <f t="shared" si="165"/>
        <v>#VALUE!</v>
      </c>
      <c r="P1334" s="52" t="str">
        <f t="shared" si="166"/>
        <v/>
      </c>
      <c r="Q1334" s="53" t="str">
        <f t="shared" si="167"/>
        <v/>
      </c>
      <c r="R1334" s="54" t="str">
        <f t="shared" si="168"/>
        <v/>
      </c>
      <c r="S1334" s="53" t="str">
        <f t="shared" si="169"/>
        <v/>
      </c>
    </row>
    <row r="1335" spans="10:19" x14ac:dyDescent="0.15">
      <c r="J1335" s="38">
        <v>1326</v>
      </c>
      <c r="K1335" s="40"/>
      <c r="L1335" s="34">
        <f t="shared" si="163"/>
        <v>8.6774271913420695E-4</v>
      </c>
      <c r="M1335" s="35">
        <f t="shared" si="164"/>
        <v>-4.4163823311386355E-8</v>
      </c>
      <c r="N1335" s="44">
        <f t="shared" si="162"/>
        <v>-2.4560108161450359E-6</v>
      </c>
      <c r="O1335" s="45" t="e">
        <f t="shared" si="165"/>
        <v>#VALUE!</v>
      </c>
      <c r="P1335" s="52" t="str">
        <f t="shared" si="166"/>
        <v/>
      </c>
      <c r="Q1335" s="53" t="str">
        <f t="shared" si="167"/>
        <v/>
      </c>
      <c r="R1335" s="54" t="str">
        <f t="shared" si="168"/>
        <v/>
      </c>
      <c r="S1335" s="53" t="str">
        <f t="shared" si="169"/>
        <v/>
      </c>
    </row>
    <row r="1336" spans="10:19" x14ac:dyDescent="0.15">
      <c r="J1336" s="38">
        <v>1327</v>
      </c>
      <c r="K1336" s="40"/>
      <c r="L1336" s="34">
        <f t="shared" si="163"/>
        <v>8.6769845288701161E-4</v>
      </c>
      <c r="M1336" s="35">
        <f t="shared" si="164"/>
        <v>-4.4368601576900065E-8</v>
      </c>
      <c r="N1336" s="44">
        <f t="shared" si="162"/>
        <v>-2.465751089153435E-6</v>
      </c>
      <c r="O1336" s="45" t="e">
        <f t="shared" si="165"/>
        <v>#VALUE!</v>
      </c>
      <c r="P1336" s="52" t="str">
        <f t="shared" si="166"/>
        <v/>
      </c>
      <c r="Q1336" s="53" t="str">
        <f t="shared" si="167"/>
        <v/>
      </c>
      <c r="R1336" s="54" t="str">
        <f t="shared" si="168"/>
        <v/>
      </c>
      <c r="S1336" s="53" t="str">
        <f t="shared" si="169"/>
        <v/>
      </c>
    </row>
    <row r="1337" spans="10:19" x14ac:dyDescent="0.15">
      <c r="J1337" s="38">
        <v>1328</v>
      </c>
      <c r="K1337" s="40"/>
      <c r="L1337" s="34">
        <f t="shared" si="163"/>
        <v>8.6765398206986924E-4</v>
      </c>
      <c r="M1337" s="35">
        <f t="shared" si="164"/>
        <v>-4.4572963393496239E-8</v>
      </c>
      <c r="N1337" s="44">
        <f t="shared" si="162"/>
        <v>-2.4754718766593214E-6</v>
      </c>
      <c r="O1337" s="45" t="e">
        <f t="shared" si="165"/>
        <v>#VALUE!</v>
      </c>
      <c r="P1337" s="52" t="str">
        <f t="shared" si="166"/>
        <v/>
      </c>
      <c r="Q1337" s="53" t="str">
        <f t="shared" si="167"/>
        <v/>
      </c>
      <c r="R1337" s="54" t="str">
        <f t="shared" si="168"/>
        <v/>
      </c>
      <c r="S1337" s="53" t="str">
        <f t="shared" si="169"/>
        <v/>
      </c>
    </row>
    <row r="1338" spans="10:19" x14ac:dyDescent="0.15">
      <c r="J1338" s="38">
        <v>1329</v>
      </c>
      <c r="K1338" s="40"/>
      <c r="L1338" s="34">
        <f t="shared" si="163"/>
        <v>8.6760930709866473E-4</v>
      </c>
      <c r="M1338" s="35">
        <f t="shared" si="164"/>
        <v>-4.477690988962928E-8</v>
      </c>
      <c r="N1338" s="44">
        <f t="shared" si="162"/>
        <v>-2.4851732306074717E-6</v>
      </c>
      <c r="O1338" s="45" t="e">
        <f t="shared" si="165"/>
        <v>#VALUE!</v>
      </c>
      <c r="P1338" s="52" t="str">
        <f t="shared" si="166"/>
        <v/>
      </c>
      <c r="Q1338" s="53" t="str">
        <f t="shared" si="167"/>
        <v/>
      </c>
      <c r="R1338" s="54" t="str">
        <f t="shared" si="168"/>
        <v/>
      </c>
      <c r="S1338" s="53" t="str">
        <f t="shared" si="169"/>
        <v/>
      </c>
    </row>
    <row r="1339" spans="10:19" x14ac:dyDescent="0.15">
      <c r="J1339" s="38">
        <v>1330</v>
      </c>
      <c r="K1339" s="40"/>
      <c r="L1339" s="34">
        <f t="shared" si="163"/>
        <v>8.6756442838815517E-4</v>
      </c>
      <c r="M1339" s="35">
        <f t="shared" si="164"/>
        <v>-4.4980442189933988E-8</v>
      </c>
      <c r="N1339" s="44">
        <f t="shared" si="162"/>
        <v>-2.4948552027687565E-6</v>
      </c>
      <c r="O1339" s="45" t="e">
        <f t="shared" si="165"/>
        <v>#VALUE!</v>
      </c>
      <c r="P1339" s="52" t="str">
        <f t="shared" si="166"/>
        <v/>
      </c>
      <c r="Q1339" s="53" t="str">
        <f t="shared" si="167"/>
        <v/>
      </c>
      <c r="R1339" s="54" t="str">
        <f t="shared" si="168"/>
        <v/>
      </c>
      <c r="S1339" s="53" t="str">
        <f t="shared" si="169"/>
        <v/>
      </c>
    </row>
    <row r="1340" spans="10:19" x14ac:dyDescent="0.15">
      <c r="J1340" s="38">
        <v>1331</v>
      </c>
      <c r="K1340" s="40"/>
      <c r="L1340" s="34">
        <f t="shared" si="163"/>
        <v>8.6751934635197648E-4</v>
      </c>
      <c r="M1340" s="35">
        <f t="shared" si="164"/>
        <v>-4.5183561415241099E-8</v>
      </c>
      <c r="N1340" s="44">
        <f t="shared" si="162"/>
        <v>-2.5045178447439349E-6</v>
      </c>
      <c r="O1340" s="45" t="e">
        <f t="shared" si="165"/>
        <v>#VALUE!</v>
      </c>
      <c r="P1340" s="52" t="str">
        <f t="shared" si="166"/>
        <v/>
      </c>
      <c r="Q1340" s="53" t="str">
        <f t="shared" si="167"/>
        <v/>
      </c>
      <c r="R1340" s="54" t="str">
        <f t="shared" si="168"/>
        <v/>
      </c>
      <c r="S1340" s="53" t="str">
        <f t="shared" si="169"/>
        <v/>
      </c>
    </row>
    <row r="1341" spans="10:19" x14ac:dyDescent="0.15">
      <c r="J1341" s="38">
        <v>1332</v>
      </c>
      <c r="K1341" s="40"/>
      <c r="L1341" s="34">
        <f t="shared" si="163"/>
        <v>8.6747406140264417E-4</v>
      </c>
      <c r="M1341" s="35">
        <f t="shared" si="164"/>
        <v>-4.5386268682592505E-8</v>
      </c>
      <c r="N1341" s="44">
        <f t="shared" si="162"/>
        <v>-2.5141612079599687E-6</v>
      </c>
      <c r="O1341" s="45" t="e">
        <f t="shared" si="165"/>
        <v>#VALUE!</v>
      </c>
      <c r="P1341" s="52" t="str">
        <f t="shared" si="166"/>
        <v/>
      </c>
      <c r="Q1341" s="53" t="str">
        <f t="shared" si="167"/>
        <v/>
      </c>
      <c r="R1341" s="54" t="str">
        <f t="shared" si="168"/>
        <v/>
      </c>
      <c r="S1341" s="53" t="str">
        <f t="shared" si="169"/>
        <v/>
      </c>
    </row>
    <row r="1342" spans="10:19" x14ac:dyDescent="0.15">
      <c r="J1342" s="38">
        <v>1333</v>
      </c>
      <c r="K1342" s="40"/>
      <c r="L1342" s="34">
        <f t="shared" si="163"/>
        <v>8.674285739515593E-4</v>
      </c>
      <c r="M1342" s="35">
        <f t="shared" si="164"/>
        <v>-4.5588565105256909E-8</v>
      </c>
      <c r="N1342" s="44">
        <f t="shared" si="162"/>
        <v>-2.5237853436735997E-6</v>
      </c>
      <c r="O1342" s="45" t="e">
        <f t="shared" si="165"/>
        <v>#VALUE!</v>
      </c>
      <c r="P1342" s="52" t="str">
        <f t="shared" si="166"/>
        <v/>
      </c>
      <c r="Q1342" s="53" t="str">
        <f t="shared" si="167"/>
        <v/>
      </c>
      <c r="R1342" s="54" t="str">
        <f t="shared" si="168"/>
        <v/>
      </c>
      <c r="S1342" s="53" t="str">
        <f t="shared" si="169"/>
        <v/>
      </c>
    </row>
    <row r="1343" spans="10:19" x14ac:dyDescent="0.15">
      <c r="J1343" s="38">
        <v>1334</v>
      </c>
      <c r="K1343" s="40"/>
      <c r="L1343" s="34">
        <f t="shared" si="163"/>
        <v>8.6738288440901194E-4</v>
      </c>
      <c r="M1343" s="35">
        <f t="shared" si="164"/>
        <v>-4.5790451792744849E-8</v>
      </c>
      <c r="N1343" s="44">
        <f t="shared" si="162"/>
        <v>-2.5333903029721092E-6</v>
      </c>
      <c r="O1343" s="45" t="e">
        <f t="shared" si="165"/>
        <v>#VALUE!</v>
      </c>
      <c r="P1343" s="52" t="str">
        <f t="shared" si="166"/>
        <v/>
      </c>
      <c r="Q1343" s="53" t="str">
        <f t="shared" si="167"/>
        <v/>
      </c>
      <c r="R1343" s="54" t="str">
        <f t="shared" si="168"/>
        <v/>
      </c>
      <c r="S1343" s="53" t="str">
        <f t="shared" si="169"/>
        <v/>
      </c>
    </row>
    <row r="1344" spans="10:19" x14ac:dyDescent="0.15">
      <c r="J1344" s="38">
        <v>1335</v>
      </c>
      <c r="K1344" s="40"/>
      <c r="L1344" s="34">
        <f t="shared" si="163"/>
        <v>8.6733699318418357E-4</v>
      </c>
      <c r="M1344" s="35">
        <f t="shared" si="164"/>
        <v>-4.5991929850824041E-8</v>
      </c>
      <c r="N1344" s="44">
        <f t="shared" si="162"/>
        <v>-2.5429761367719078E-6</v>
      </c>
      <c r="O1344" s="45" t="e">
        <f t="shared" si="165"/>
        <v>#VALUE!</v>
      </c>
      <c r="P1344" s="52" t="str">
        <f t="shared" si="166"/>
        <v/>
      </c>
      <c r="Q1344" s="53" t="str">
        <f t="shared" si="167"/>
        <v/>
      </c>
      <c r="R1344" s="54" t="str">
        <f t="shared" si="168"/>
        <v/>
      </c>
      <c r="S1344" s="53" t="str">
        <f t="shared" si="169"/>
        <v/>
      </c>
    </row>
    <row r="1345" spans="10:19" x14ac:dyDescent="0.15">
      <c r="J1345" s="38">
        <v>1336</v>
      </c>
      <c r="K1345" s="40"/>
      <c r="L1345" s="34">
        <f t="shared" si="163"/>
        <v>8.672909006851526E-4</v>
      </c>
      <c r="M1345" s="35">
        <f t="shared" si="164"/>
        <v>-4.6193000381534492E-8</v>
      </c>
      <c r="N1345" s="44">
        <f t="shared" si="162"/>
        <v>-2.5525428958216804E-6</v>
      </c>
      <c r="O1345" s="45" t="e">
        <f t="shared" si="165"/>
        <v>#VALUE!</v>
      </c>
      <c r="P1345" s="52" t="str">
        <f t="shared" si="166"/>
        <v/>
      </c>
      <c r="Q1345" s="53" t="str">
        <f t="shared" si="167"/>
        <v/>
      </c>
      <c r="R1345" s="54" t="str">
        <f t="shared" si="168"/>
        <v/>
      </c>
      <c r="S1345" s="53" t="str">
        <f t="shared" si="169"/>
        <v/>
      </c>
    </row>
    <row r="1346" spans="10:19" x14ac:dyDescent="0.15">
      <c r="J1346" s="38">
        <v>1337</v>
      </c>
      <c r="K1346" s="40"/>
      <c r="L1346" s="34">
        <f t="shared" si="163"/>
        <v>8.6724460731889687E-4</v>
      </c>
      <c r="M1346" s="35">
        <f t="shared" si="164"/>
        <v>-4.6393664483203594E-8</v>
      </c>
      <c r="N1346" s="44">
        <f t="shared" si="162"/>
        <v>-2.5620906307010846E-6</v>
      </c>
      <c r="O1346" s="45" t="e">
        <f t="shared" si="165"/>
        <v>#VALUE!</v>
      </c>
      <c r="P1346" s="52" t="str">
        <f t="shared" si="166"/>
        <v/>
      </c>
      <c r="Q1346" s="53" t="str">
        <f t="shared" si="167"/>
        <v/>
      </c>
      <c r="R1346" s="54" t="str">
        <f t="shared" si="168"/>
        <v/>
      </c>
      <c r="S1346" s="53" t="str">
        <f t="shared" si="169"/>
        <v/>
      </c>
    </row>
    <row r="1347" spans="10:19" x14ac:dyDescent="0.15">
      <c r="J1347" s="38">
        <v>1338</v>
      </c>
      <c r="K1347" s="40"/>
      <c r="L1347" s="34">
        <f t="shared" si="163"/>
        <v>8.6719811349129765E-4</v>
      </c>
      <c r="M1347" s="35">
        <f t="shared" si="164"/>
        <v>-4.6593923250461083E-8</v>
      </c>
      <c r="N1347" s="44">
        <f t="shared" si="162"/>
        <v>-2.5716193918224857E-6</v>
      </c>
      <c r="O1347" s="45" t="e">
        <f t="shared" si="165"/>
        <v>#VALUE!</v>
      </c>
      <c r="P1347" s="52" t="str">
        <f t="shared" si="166"/>
        <v/>
      </c>
      <c r="Q1347" s="53" t="str">
        <f t="shared" si="167"/>
        <v/>
      </c>
      <c r="R1347" s="54" t="str">
        <f t="shared" si="168"/>
        <v/>
      </c>
      <c r="S1347" s="53" t="str">
        <f t="shared" si="169"/>
        <v/>
      </c>
    </row>
    <row r="1348" spans="10:19" x14ac:dyDescent="0.15">
      <c r="J1348" s="38">
        <v>1339</v>
      </c>
      <c r="K1348" s="40"/>
      <c r="L1348" s="34">
        <f t="shared" si="163"/>
        <v>8.6715141960714377E-4</v>
      </c>
      <c r="M1348" s="35">
        <f t="shared" si="164"/>
        <v>-4.6793777774253978E-8</v>
      </c>
      <c r="N1348" s="44">
        <f t="shared" si="162"/>
        <v>-2.5811292294318239E-6</v>
      </c>
      <c r="O1348" s="45" t="e">
        <f t="shared" si="165"/>
        <v>#VALUE!</v>
      </c>
      <c r="P1348" s="52" t="str">
        <f t="shared" si="166"/>
        <v/>
      </c>
      <c r="Q1348" s="53" t="str">
        <f t="shared" si="167"/>
        <v/>
      </c>
      <c r="R1348" s="54" t="str">
        <f t="shared" si="168"/>
        <v/>
      </c>
      <c r="S1348" s="53" t="str">
        <f t="shared" si="169"/>
        <v/>
      </c>
    </row>
    <row r="1349" spans="10:19" x14ac:dyDescent="0.15">
      <c r="J1349" s="38">
        <v>1340</v>
      </c>
      <c r="K1349" s="40"/>
      <c r="L1349" s="34">
        <f t="shared" si="163"/>
        <v>8.6710452607013445E-4</v>
      </c>
      <c r="M1349" s="35">
        <f t="shared" si="164"/>
        <v>-4.6993229141861468E-8</v>
      </c>
      <c r="N1349" s="44">
        <f t="shared" si="162"/>
        <v>-2.5906201936074218E-6</v>
      </c>
      <c r="O1349" s="45" t="e">
        <f t="shared" si="165"/>
        <v>#VALUE!</v>
      </c>
      <c r="P1349" s="52" t="str">
        <f t="shared" si="166"/>
        <v/>
      </c>
      <c r="Q1349" s="53" t="str">
        <f t="shared" si="167"/>
        <v/>
      </c>
      <c r="R1349" s="54" t="str">
        <f t="shared" si="168"/>
        <v/>
      </c>
      <c r="S1349" s="53" t="str">
        <f t="shared" si="169"/>
        <v/>
      </c>
    </row>
    <row r="1350" spans="10:19" x14ac:dyDescent="0.15">
      <c r="J1350" s="38">
        <v>1341</v>
      </c>
      <c r="K1350" s="40"/>
      <c r="L1350" s="34">
        <f t="shared" si="163"/>
        <v>8.6705743328288425E-4</v>
      </c>
      <c r="M1350" s="35">
        <f t="shared" si="164"/>
        <v>-4.7192278436909678E-8</v>
      </c>
      <c r="N1350" s="44">
        <f t="shared" si="162"/>
        <v>-2.6000923342641043E-6</v>
      </c>
      <c r="O1350" s="45" t="e">
        <f t="shared" si="165"/>
        <v>#VALUE!</v>
      </c>
      <c r="P1350" s="52" t="str">
        <f t="shared" si="166"/>
        <v/>
      </c>
      <c r="Q1350" s="53" t="str">
        <f t="shared" si="167"/>
        <v/>
      </c>
      <c r="R1350" s="54" t="str">
        <f t="shared" si="168"/>
        <v/>
      </c>
      <c r="S1350" s="53" t="str">
        <f t="shared" si="169"/>
        <v/>
      </c>
    </row>
    <row r="1351" spans="10:19" x14ac:dyDescent="0.15">
      <c r="J1351" s="38">
        <v>1342</v>
      </c>
      <c r="K1351" s="40"/>
      <c r="L1351" s="34">
        <f t="shared" si="163"/>
        <v>8.6701014164692486E-4</v>
      </c>
      <c r="M1351" s="35">
        <f t="shared" si="164"/>
        <v>-4.7390926739386356E-8</v>
      </c>
      <c r="N1351" s="44">
        <f t="shared" si="162"/>
        <v>-2.609545701149729E-6</v>
      </c>
      <c r="O1351" s="45" t="e">
        <f t="shared" si="165"/>
        <v>#VALUE!</v>
      </c>
      <c r="P1351" s="52" t="str">
        <f t="shared" si="166"/>
        <v/>
      </c>
      <c r="Q1351" s="53" t="str">
        <f t="shared" si="167"/>
        <v/>
      </c>
      <c r="R1351" s="54" t="str">
        <f t="shared" si="168"/>
        <v/>
      </c>
      <c r="S1351" s="53" t="str">
        <f t="shared" si="169"/>
        <v/>
      </c>
    </row>
    <row r="1352" spans="10:19" x14ac:dyDescent="0.15">
      <c r="J1352" s="38">
        <v>1343</v>
      </c>
      <c r="K1352" s="40"/>
      <c r="L1352" s="34">
        <f t="shared" si="163"/>
        <v>8.6696265156271078E-4</v>
      </c>
      <c r="M1352" s="35">
        <f t="shared" si="164"/>
        <v>-4.758917512565562E-8</v>
      </c>
      <c r="N1352" s="44">
        <f t="shared" si="162"/>
        <v>-2.6189803438493066E-6</v>
      </c>
      <c r="O1352" s="45" t="e">
        <f t="shared" si="165"/>
        <v>#VALUE!</v>
      </c>
      <c r="P1352" s="52" t="str">
        <f t="shared" si="166"/>
        <v/>
      </c>
      <c r="Q1352" s="53" t="str">
        <f t="shared" si="167"/>
        <v/>
      </c>
      <c r="R1352" s="54" t="str">
        <f t="shared" si="168"/>
        <v/>
      </c>
      <c r="S1352" s="53" t="str">
        <f t="shared" si="169"/>
        <v/>
      </c>
    </row>
    <row r="1353" spans="10:19" x14ac:dyDescent="0.15">
      <c r="J1353" s="38">
        <v>1344</v>
      </c>
      <c r="K1353" s="40"/>
      <c r="L1353" s="34">
        <f t="shared" si="163"/>
        <v>8.6691496342962144E-4</v>
      </c>
      <c r="M1353" s="35">
        <f t="shared" si="164"/>
        <v>-4.7787024668472391E-8</v>
      </c>
      <c r="N1353" s="44">
        <f t="shared" ref="N1353:N1416" si="170">(L1403-L1353)</f>
        <v>-2.6283963117836994E-6</v>
      </c>
      <c r="O1353" s="45" t="e">
        <f t="shared" si="165"/>
        <v>#VALUE!</v>
      </c>
      <c r="P1353" s="52" t="str">
        <f t="shared" si="166"/>
        <v/>
      </c>
      <c r="Q1353" s="53" t="str">
        <f t="shared" si="167"/>
        <v/>
      </c>
      <c r="R1353" s="54" t="str">
        <f t="shared" si="168"/>
        <v/>
      </c>
      <c r="S1353" s="53" t="str">
        <f t="shared" si="169"/>
        <v/>
      </c>
    </row>
    <row r="1354" spans="10:19" x14ac:dyDescent="0.15">
      <c r="J1354" s="38">
        <v>1345</v>
      </c>
      <c r="K1354" s="40"/>
      <c r="L1354" s="34">
        <f t="shared" ref="L1354:L1417" si="171">$F$39*((1-$F$40*J1354)/(1+$F$41*J1354))*(J1354-$F$42)</f>
        <v>8.6686707764596529E-4</v>
      </c>
      <c r="M1354" s="35">
        <f t="shared" ref="M1354:M1417" si="172">$F$39*((1-2*$F$40*J1354-$F$40*$F$41*(J1354^2)+($F$41+$F$40)*$F$42)/(1+$F$41*J1354)^2)</f>
        <v>-4.7984476436997024E-8</v>
      </c>
      <c r="N1354" s="44">
        <f t="shared" si="170"/>
        <v>-2.6377936542105974E-6</v>
      </c>
      <c r="O1354" s="45" t="e">
        <f t="shared" ref="O1354:O1417" si="173">IF(N1354&lt;=$B$49,1+O1353,0)</f>
        <v>#VALUE!</v>
      </c>
      <c r="P1354" s="52" t="str">
        <f t="shared" ref="P1354:P1417" si="174">IF(J1354&lt;=$F$42,J1354,"")</f>
        <v/>
      </c>
      <c r="Q1354" s="53" t="str">
        <f t="shared" ref="Q1354:Q1417" si="175">IF(J1354&lt;=$F$42,L1354,"")</f>
        <v/>
      </c>
      <c r="R1354" s="54" t="str">
        <f t="shared" ref="R1354:R1417" si="176">IF(AND(J1354&gt;=$F$42,J1354&lt;=200),J1354,"")</f>
        <v/>
      </c>
      <c r="S1354" s="53" t="str">
        <f t="shared" ref="S1354:S1417" si="177">IF(AND(J1354&gt;=$F$42,J1354&lt;=200),L1354,"")</f>
        <v/>
      </c>
    </row>
    <row r="1355" spans="10:19" x14ac:dyDescent="0.15">
      <c r="J1355" s="38">
        <v>1346</v>
      </c>
      <c r="K1355" s="40"/>
      <c r="L1355" s="34">
        <f t="shared" si="171"/>
        <v>8.6681899460898349E-4</v>
      </c>
      <c r="M1355" s="35">
        <f t="shared" si="172"/>
        <v>-4.8181531496809739E-8</v>
      </c>
      <c r="N1355" s="44">
        <f t="shared" si="170"/>
        <v>-2.647172420226036E-6</v>
      </c>
      <c r="O1355" s="45" t="e">
        <f t="shared" si="173"/>
        <v>#VALUE!</v>
      </c>
      <c r="P1355" s="52" t="str">
        <f t="shared" si="174"/>
        <v/>
      </c>
      <c r="Q1355" s="53" t="str">
        <f t="shared" si="175"/>
        <v/>
      </c>
      <c r="R1355" s="54" t="str">
        <f t="shared" si="176"/>
        <v/>
      </c>
      <c r="S1355" s="53" t="str">
        <f t="shared" si="177"/>
        <v/>
      </c>
    </row>
    <row r="1356" spans="10:19" x14ac:dyDescent="0.15">
      <c r="J1356" s="38">
        <v>1347</v>
      </c>
      <c r="K1356" s="40"/>
      <c r="L1356" s="34">
        <f t="shared" si="171"/>
        <v>8.6677071471485381E-4</v>
      </c>
      <c r="M1356" s="35">
        <f t="shared" si="172"/>
        <v>-4.8378190909924971E-8</v>
      </c>
      <c r="N1356" s="44">
        <f t="shared" si="170"/>
        <v>-2.6565326587637455E-6</v>
      </c>
      <c r="O1356" s="45" t="e">
        <f t="shared" si="173"/>
        <v>#VALUE!</v>
      </c>
      <c r="P1356" s="52" t="str">
        <f t="shared" si="174"/>
        <v/>
      </c>
      <c r="Q1356" s="53" t="str">
        <f t="shared" si="175"/>
        <v/>
      </c>
      <c r="R1356" s="54" t="str">
        <f t="shared" si="176"/>
        <v/>
      </c>
      <c r="S1356" s="53" t="str">
        <f t="shared" si="177"/>
        <v/>
      </c>
    </row>
    <row r="1357" spans="10:19" x14ac:dyDescent="0.15">
      <c r="J1357" s="38">
        <v>1348</v>
      </c>
      <c r="K1357" s="40"/>
      <c r="L1357" s="34">
        <f t="shared" si="171"/>
        <v>8.6672223835869303E-4</v>
      </c>
      <c r="M1357" s="35">
        <f t="shared" si="172"/>
        <v>-4.8574455734805626E-8</v>
      </c>
      <c r="N1357" s="44">
        <f t="shared" si="170"/>
        <v>-2.665874418596669E-6</v>
      </c>
      <c r="O1357" s="45" t="e">
        <f t="shared" si="173"/>
        <v>#VALUE!</v>
      </c>
      <c r="P1357" s="52" t="str">
        <f t="shared" si="174"/>
        <v/>
      </c>
      <c r="Q1357" s="53" t="str">
        <f t="shared" si="175"/>
        <v/>
      </c>
      <c r="R1357" s="54" t="str">
        <f t="shared" si="176"/>
        <v/>
      </c>
      <c r="S1357" s="53" t="str">
        <f t="shared" si="177"/>
        <v/>
      </c>
    </row>
    <row r="1358" spans="10:19" x14ac:dyDescent="0.15">
      <c r="J1358" s="38">
        <v>1349</v>
      </c>
      <c r="K1358" s="40"/>
      <c r="L1358" s="34">
        <f t="shared" si="171"/>
        <v>8.66673565934562E-4</v>
      </c>
      <c r="M1358" s="35">
        <f t="shared" si="172"/>
        <v>-4.8770327026377428E-8</v>
      </c>
      <c r="N1358" s="44">
        <f t="shared" si="170"/>
        <v>-2.6751977483375046E-6</v>
      </c>
      <c r="O1358" s="45" t="e">
        <f t="shared" si="173"/>
        <v>#VALUE!</v>
      </c>
      <c r="P1358" s="52" t="str">
        <f t="shared" si="174"/>
        <v/>
      </c>
      <c r="Q1358" s="53" t="str">
        <f t="shared" si="175"/>
        <v/>
      </c>
      <c r="R1358" s="54" t="str">
        <f t="shared" si="176"/>
        <v/>
      </c>
      <c r="S1358" s="53" t="str">
        <f t="shared" si="177"/>
        <v/>
      </c>
    </row>
    <row r="1359" spans="10:19" x14ac:dyDescent="0.15">
      <c r="J1359" s="38">
        <v>1350</v>
      </c>
      <c r="K1359" s="40"/>
      <c r="L1359" s="34">
        <f t="shared" si="171"/>
        <v>8.6662469783546755E-4</v>
      </c>
      <c r="M1359" s="35">
        <f t="shared" si="172"/>
        <v>-4.8965805836043036E-8</v>
      </c>
      <c r="N1359" s="44">
        <f t="shared" si="170"/>
        <v>-2.684502696438597E-6</v>
      </c>
      <c r="O1359" s="45" t="e">
        <f t="shared" si="173"/>
        <v>#VALUE!</v>
      </c>
      <c r="P1359" s="52" t="str">
        <f t="shared" si="174"/>
        <v/>
      </c>
      <c r="Q1359" s="53" t="str">
        <f t="shared" si="175"/>
        <v/>
      </c>
      <c r="R1359" s="54" t="str">
        <f t="shared" si="176"/>
        <v/>
      </c>
      <c r="S1359" s="53" t="str">
        <f t="shared" si="177"/>
        <v/>
      </c>
    </row>
    <row r="1360" spans="10:19" x14ac:dyDescent="0.15">
      <c r="J1360" s="38">
        <v>1351</v>
      </c>
      <c r="K1360" s="40"/>
      <c r="L1360" s="34">
        <f t="shared" si="171"/>
        <v>8.6657563445336773E-4</v>
      </c>
      <c r="M1360" s="35">
        <f t="shared" si="172"/>
        <v>-4.9160893211696167E-8</v>
      </c>
      <c r="N1360" s="44">
        <f t="shared" si="170"/>
        <v>-2.693789311193997E-6</v>
      </c>
      <c r="O1360" s="45" t="e">
        <f t="shared" si="173"/>
        <v>#VALUE!</v>
      </c>
      <c r="P1360" s="52" t="str">
        <f t="shared" si="174"/>
        <v/>
      </c>
      <c r="Q1360" s="53" t="str">
        <f t="shared" si="175"/>
        <v/>
      </c>
      <c r="R1360" s="54" t="str">
        <f t="shared" si="176"/>
        <v/>
      </c>
      <c r="S1360" s="53" t="str">
        <f t="shared" si="177"/>
        <v/>
      </c>
    </row>
    <row r="1361" spans="10:19" x14ac:dyDescent="0.15">
      <c r="J1361" s="38">
        <v>1352</v>
      </c>
      <c r="K1361" s="40"/>
      <c r="L1361" s="34">
        <f t="shared" si="171"/>
        <v>8.6652637617917413E-4</v>
      </c>
      <c r="M1361" s="35">
        <f t="shared" si="172"/>
        <v>-4.935559019773565E-8</v>
      </c>
      <c r="N1361" s="44">
        <f t="shared" si="170"/>
        <v>-2.7030576407391371E-6</v>
      </c>
      <c r="O1361" s="45" t="e">
        <f t="shared" si="173"/>
        <v>#VALUE!</v>
      </c>
      <c r="P1361" s="52" t="str">
        <f t="shared" si="174"/>
        <v/>
      </c>
      <c r="Q1361" s="53" t="str">
        <f t="shared" si="175"/>
        <v/>
      </c>
      <c r="R1361" s="54" t="str">
        <f t="shared" si="176"/>
        <v/>
      </c>
      <c r="S1361" s="53" t="str">
        <f t="shared" si="177"/>
        <v/>
      </c>
    </row>
    <row r="1362" spans="10:19" x14ac:dyDescent="0.15">
      <c r="J1362" s="38">
        <v>1353</v>
      </c>
      <c r="K1362" s="40"/>
      <c r="L1362" s="34">
        <f t="shared" si="171"/>
        <v>8.6647692340275522E-4</v>
      </c>
      <c r="M1362" s="35">
        <f t="shared" si="172"/>
        <v>-4.9549897835079328E-8</v>
      </c>
      <c r="N1362" s="44">
        <f t="shared" si="170"/>
        <v>-2.7123077330502886E-6</v>
      </c>
      <c r="O1362" s="45" t="e">
        <f t="shared" si="173"/>
        <v>#VALUE!</v>
      </c>
      <c r="P1362" s="52" t="str">
        <f t="shared" si="174"/>
        <v/>
      </c>
      <c r="Q1362" s="53" t="str">
        <f t="shared" si="175"/>
        <v/>
      </c>
      <c r="R1362" s="54" t="str">
        <f t="shared" si="176"/>
        <v/>
      </c>
      <c r="S1362" s="53" t="str">
        <f t="shared" si="177"/>
        <v/>
      </c>
    </row>
    <row r="1363" spans="10:19" x14ac:dyDescent="0.15">
      <c r="J1363" s="38">
        <v>1354</v>
      </c>
      <c r="K1363" s="40"/>
      <c r="L1363" s="34">
        <f t="shared" si="171"/>
        <v>8.6642727651294093E-4</v>
      </c>
      <c r="M1363" s="35">
        <f t="shared" si="172"/>
        <v>-4.9743817161178104E-8</v>
      </c>
      <c r="N1363" s="44">
        <f t="shared" si="170"/>
        <v>-2.7215396359482483E-6</v>
      </c>
      <c r="O1363" s="45" t="e">
        <f t="shared" si="173"/>
        <v>#VALUE!</v>
      </c>
      <c r="P1363" s="52" t="str">
        <f t="shared" si="174"/>
        <v/>
      </c>
      <c r="Q1363" s="53" t="str">
        <f t="shared" si="175"/>
        <v/>
      </c>
      <c r="R1363" s="54" t="str">
        <f t="shared" si="176"/>
        <v/>
      </c>
      <c r="S1363" s="53" t="str">
        <f t="shared" si="177"/>
        <v/>
      </c>
    </row>
    <row r="1364" spans="10:19" x14ac:dyDescent="0.15">
      <c r="J1364" s="38">
        <v>1355</v>
      </c>
      <c r="K1364" s="40"/>
      <c r="L1364" s="34">
        <f t="shared" si="171"/>
        <v>8.663774358975252E-4</v>
      </c>
      <c r="M1364" s="35">
        <f t="shared" si="172"/>
        <v>-4.9937349210029695E-8</v>
      </c>
      <c r="N1364" s="44">
        <f t="shared" si="170"/>
        <v>-2.7307533970956279E-6</v>
      </c>
      <c r="O1364" s="45" t="e">
        <f t="shared" si="173"/>
        <v>#VALUE!</v>
      </c>
      <c r="P1364" s="52" t="str">
        <f t="shared" si="174"/>
        <v/>
      </c>
      <c r="Q1364" s="53" t="str">
        <f t="shared" si="175"/>
        <v/>
      </c>
      <c r="R1364" s="54" t="str">
        <f t="shared" si="176"/>
        <v/>
      </c>
      <c r="S1364" s="53" t="str">
        <f t="shared" si="177"/>
        <v/>
      </c>
    </row>
    <row r="1365" spans="10:19" x14ac:dyDescent="0.15">
      <c r="J1365" s="38">
        <v>1356</v>
      </c>
      <c r="K1365" s="40"/>
      <c r="L1365" s="34">
        <f t="shared" si="171"/>
        <v>8.6632740194326954E-4</v>
      </c>
      <c r="M1365" s="35">
        <f t="shared" si="172"/>
        <v>-5.0130495012192379E-8</v>
      </c>
      <c r="N1365" s="44">
        <f t="shared" si="170"/>
        <v>-2.7399490640003235E-6</v>
      </c>
      <c r="O1365" s="45" t="e">
        <f t="shared" si="173"/>
        <v>#VALUE!</v>
      </c>
      <c r="P1365" s="52" t="str">
        <f t="shared" si="174"/>
        <v/>
      </c>
      <c r="Q1365" s="53" t="str">
        <f t="shared" si="175"/>
        <v/>
      </c>
      <c r="R1365" s="54" t="str">
        <f t="shared" si="176"/>
        <v/>
      </c>
      <c r="S1365" s="53" t="str">
        <f t="shared" si="177"/>
        <v/>
      </c>
    </row>
    <row r="1366" spans="10:19" x14ac:dyDescent="0.15">
      <c r="J1366" s="38">
        <v>1357</v>
      </c>
      <c r="K1366" s="40"/>
      <c r="L1366" s="34">
        <f t="shared" si="171"/>
        <v>8.6627717503590736E-4</v>
      </c>
      <c r="M1366" s="35">
        <f t="shared" si="172"/>
        <v>-5.0323255594798915E-8</v>
      </c>
      <c r="N1366" s="44">
        <f t="shared" si="170"/>
        <v>-2.7491266840142144E-6</v>
      </c>
      <c r="O1366" s="45" t="e">
        <f t="shared" si="173"/>
        <v>#VALUE!</v>
      </c>
      <c r="P1366" s="52" t="str">
        <f t="shared" si="174"/>
        <v/>
      </c>
      <c r="Q1366" s="53" t="str">
        <f t="shared" si="175"/>
        <v/>
      </c>
      <c r="R1366" s="54" t="str">
        <f t="shared" si="176"/>
        <v/>
      </c>
      <c r="S1366" s="53" t="str">
        <f t="shared" si="177"/>
        <v/>
      </c>
    </row>
    <row r="1367" spans="10:19" x14ac:dyDescent="0.15">
      <c r="J1367" s="38">
        <v>1358</v>
      </c>
      <c r="K1367" s="40"/>
      <c r="L1367" s="34">
        <f t="shared" si="171"/>
        <v>8.6622675556014526E-4</v>
      </c>
      <c r="M1367" s="35">
        <f t="shared" si="172"/>
        <v>-5.0515631981569895E-8</v>
      </c>
      <c r="N1367" s="44">
        <f t="shared" si="170"/>
        <v>-2.7582863043337054E-6</v>
      </c>
      <c r="O1367" s="45" t="e">
        <f t="shared" si="173"/>
        <v>#VALUE!</v>
      </c>
      <c r="P1367" s="52" t="str">
        <f t="shared" si="174"/>
        <v/>
      </c>
      <c r="Q1367" s="53" t="str">
        <f t="shared" si="175"/>
        <v/>
      </c>
      <c r="R1367" s="54" t="str">
        <f t="shared" si="176"/>
        <v/>
      </c>
      <c r="S1367" s="53" t="str">
        <f t="shared" si="177"/>
        <v/>
      </c>
    </row>
    <row r="1368" spans="10:19" x14ac:dyDescent="0.15">
      <c r="J1368" s="38">
        <v>1359</v>
      </c>
      <c r="K1368" s="40"/>
      <c r="L1368" s="34">
        <f t="shared" si="171"/>
        <v>8.6617614389966938E-4</v>
      </c>
      <c r="M1368" s="35">
        <f t="shared" si="172"/>
        <v>-5.0707625192827609E-8</v>
      </c>
      <c r="N1368" s="44">
        <f t="shared" si="170"/>
        <v>-2.7674279720024371E-6</v>
      </c>
      <c r="O1368" s="45" t="e">
        <f t="shared" si="173"/>
        <v>#VALUE!</v>
      </c>
      <c r="P1368" s="52" t="str">
        <f t="shared" si="174"/>
        <v/>
      </c>
      <c r="Q1368" s="53" t="str">
        <f t="shared" si="175"/>
        <v/>
      </c>
      <c r="R1368" s="54" t="str">
        <f t="shared" si="176"/>
        <v/>
      </c>
      <c r="S1368" s="53" t="str">
        <f t="shared" si="177"/>
        <v/>
      </c>
    </row>
    <row r="1369" spans="10:19" x14ac:dyDescent="0.15">
      <c r="J1369" s="38">
        <v>1360</v>
      </c>
      <c r="K1369" s="40"/>
      <c r="L1369" s="34">
        <f t="shared" si="171"/>
        <v>8.6612534043714595E-4</v>
      </c>
      <c r="M1369" s="35">
        <f t="shared" si="172"/>
        <v>-5.0899236245509383E-8</v>
      </c>
      <c r="N1369" s="44">
        <f t="shared" si="170"/>
        <v>-2.7765517339091179E-6</v>
      </c>
      <c r="O1369" s="45" t="e">
        <f t="shared" si="173"/>
        <v>#VALUE!</v>
      </c>
      <c r="P1369" s="52" t="str">
        <f t="shared" si="174"/>
        <v/>
      </c>
      <c r="Q1369" s="53" t="str">
        <f t="shared" si="175"/>
        <v/>
      </c>
      <c r="R1369" s="54" t="str">
        <f t="shared" si="176"/>
        <v/>
      </c>
      <c r="S1369" s="53" t="str">
        <f t="shared" si="177"/>
        <v/>
      </c>
    </row>
    <row r="1370" spans="10:19" x14ac:dyDescent="0.15">
      <c r="J1370" s="38">
        <v>1361</v>
      </c>
      <c r="K1370" s="40"/>
      <c r="L1370" s="34">
        <f t="shared" si="171"/>
        <v>8.660743455542265E-4</v>
      </c>
      <c r="M1370" s="35">
        <f t="shared" si="172"/>
        <v>-5.1090466153181196E-8</v>
      </c>
      <c r="N1370" s="44">
        <f t="shared" si="170"/>
        <v>-2.785657636790017E-6</v>
      </c>
      <c r="O1370" s="45" t="e">
        <f t="shared" si="173"/>
        <v>#VALUE!</v>
      </c>
      <c r="P1370" s="52" t="str">
        <f t="shared" si="174"/>
        <v/>
      </c>
      <c r="Q1370" s="53" t="str">
        <f t="shared" si="175"/>
        <v/>
      </c>
      <c r="R1370" s="54" t="str">
        <f t="shared" si="176"/>
        <v/>
      </c>
      <c r="S1370" s="53" t="str">
        <f t="shared" si="177"/>
        <v/>
      </c>
    </row>
    <row r="1371" spans="10:19" x14ac:dyDescent="0.15">
      <c r="J1371" s="38">
        <v>1362</v>
      </c>
      <c r="K1371" s="40"/>
      <c r="L1371" s="34">
        <f t="shared" si="171"/>
        <v>8.6602315963155109E-4</v>
      </c>
      <c r="M1371" s="35">
        <f t="shared" si="172"/>
        <v>-5.1281315926051022E-8</v>
      </c>
      <c r="N1371" s="44">
        <f t="shared" si="170"/>
        <v>-2.7947457272293986E-6</v>
      </c>
      <c r="O1371" s="45" t="e">
        <f t="shared" si="173"/>
        <v>#VALUE!</v>
      </c>
      <c r="P1371" s="52" t="str">
        <f t="shared" si="174"/>
        <v/>
      </c>
      <c r="Q1371" s="53" t="str">
        <f t="shared" si="175"/>
        <v/>
      </c>
      <c r="R1371" s="54" t="str">
        <f t="shared" si="176"/>
        <v/>
      </c>
      <c r="S1371" s="53" t="str">
        <f t="shared" si="177"/>
        <v/>
      </c>
    </row>
    <row r="1372" spans="10:19" x14ac:dyDescent="0.15">
      <c r="J1372" s="38">
        <v>1363</v>
      </c>
      <c r="K1372" s="40"/>
      <c r="L1372" s="34">
        <f t="shared" si="171"/>
        <v>8.659717830487504E-4</v>
      </c>
      <c r="M1372" s="35">
        <f t="shared" si="172"/>
        <v>-5.1471786570982022E-8</v>
      </c>
      <c r="N1372" s="44">
        <f t="shared" si="170"/>
        <v>-2.803816051658763E-6</v>
      </c>
      <c r="O1372" s="45" t="e">
        <f t="shared" si="173"/>
        <v>#VALUE!</v>
      </c>
      <c r="P1372" s="52" t="str">
        <f t="shared" si="174"/>
        <v/>
      </c>
      <c r="Q1372" s="53" t="str">
        <f t="shared" si="175"/>
        <v/>
      </c>
      <c r="R1372" s="54" t="str">
        <f t="shared" si="176"/>
        <v/>
      </c>
      <c r="S1372" s="53" t="str">
        <f t="shared" si="177"/>
        <v/>
      </c>
    </row>
    <row r="1373" spans="10:19" x14ac:dyDescent="0.15">
      <c r="J1373" s="38">
        <v>1364</v>
      </c>
      <c r="K1373" s="40"/>
      <c r="L1373" s="34">
        <f t="shared" si="171"/>
        <v>8.6592021618445039E-4</v>
      </c>
      <c r="M1373" s="35">
        <f t="shared" si="172"/>
        <v>-5.1661879091506128E-8</v>
      </c>
      <c r="N1373" s="44">
        <f t="shared" si="170"/>
        <v>-2.8128686563592313E-6</v>
      </c>
      <c r="O1373" s="45" t="e">
        <f t="shared" si="173"/>
        <v>#VALUE!</v>
      </c>
      <c r="P1373" s="52" t="str">
        <f t="shared" si="174"/>
        <v/>
      </c>
      <c r="Q1373" s="53" t="str">
        <f t="shared" si="175"/>
        <v/>
      </c>
      <c r="R1373" s="54" t="str">
        <f t="shared" si="176"/>
        <v/>
      </c>
      <c r="S1373" s="53" t="str">
        <f t="shared" si="177"/>
        <v/>
      </c>
    </row>
    <row r="1374" spans="10:19" x14ac:dyDescent="0.15">
      <c r="J1374" s="38">
        <v>1365</v>
      </c>
      <c r="K1374" s="40"/>
      <c r="L1374" s="34">
        <f t="shared" si="171"/>
        <v>8.6586845941627542E-4</v>
      </c>
      <c r="M1374" s="35">
        <f t="shared" si="172"/>
        <v>-5.1851594487837068E-8</v>
      </c>
      <c r="N1374" s="44">
        <f t="shared" si="170"/>
        <v>-2.821903587461763E-6</v>
      </c>
      <c r="O1374" s="45" t="e">
        <f t="shared" si="173"/>
        <v>#VALUE!</v>
      </c>
      <c r="P1374" s="52" t="str">
        <f t="shared" si="174"/>
        <v/>
      </c>
      <c r="Q1374" s="53" t="str">
        <f t="shared" si="175"/>
        <v/>
      </c>
      <c r="R1374" s="54" t="str">
        <f t="shared" si="176"/>
        <v/>
      </c>
      <c r="S1374" s="53" t="str">
        <f t="shared" si="177"/>
        <v/>
      </c>
    </row>
    <row r="1375" spans="10:19" x14ac:dyDescent="0.15">
      <c r="J1375" s="38">
        <v>1366</v>
      </c>
      <c r="K1375" s="40"/>
      <c r="L1375" s="34">
        <f t="shared" si="171"/>
        <v>8.6581651312085054E-4</v>
      </c>
      <c r="M1375" s="35">
        <f t="shared" si="172"/>
        <v>-5.2040933756883427E-8</v>
      </c>
      <c r="N1375" s="44">
        <f t="shared" si="170"/>
        <v>-2.8309208909449868E-6</v>
      </c>
      <c r="O1375" s="45" t="e">
        <f t="shared" si="173"/>
        <v>#VALUE!</v>
      </c>
      <c r="P1375" s="52" t="str">
        <f t="shared" si="174"/>
        <v/>
      </c>
      <c r="Q1375" s="53" t="str">
        <f t="shared" si="175"/>
        <v/>
      </c>
      <c r="R1375" s="54" t="str">
        <f t="shared" si="176"/>
        <v/>
      </c>
      <c r="S1375" s="53" t="str">
        <f t="shared" si="177"/>
        <v/>
      </c>
    </row>
    <row r="1376" spans="10:19" x14ac:dyDescent="0.15">
      <c r="J1376" s="38">
        <v>1367</v>
      </c>
      <c r="K1376" s="40"/>
      <c r="L1376" s="34">
        <f t="shared" si="171"/>
        <v>8.6576437767380628E-4</v>
      </c>
      <c r="M1376" s="35">
        <f t="shared" si="172"/>
        <v>-5.2229897892262073E-8</v>
      </c>
      <c r="N1376" s="44">
        <f t="shared" si="170"/>
        <v>-2.8399206126412729E-6</v>
      </c>
      <c r="O1376" s="45" t="e">
        <f t="shared" si="173"/>
        <v>#VALUE!</v>
      </c>
      <c r="P1376" s="52" t="str">
        <f t="shared" si="174"/>
        <v/>
      </c>
      <c r="Q1376" s="53" t="str">
        <f t="shared" si="175"/>
        <v/>
      </c>
      <c r="R1376" s="54" t="str">
        <f t="shared" si="176"/>
        <v/>
      </c>
      <c r="S1376" s="53" t="str">
        <f t="shared" si="177"/>
        <v/>
      </c>
    </row>
    <row r="1377" spans="10:19" x14ac:dyDescent="0.15">
      <c r="J1377" s="38">
        <v>1368</v>
      </c>
      <c r="K1377" s="40"/>
      <c r="L1377" s="34">
        <f t="shared" si="171"/>
        <v>8.6571205344978034E-4</v>
      </c>
      <c r="M1377" s="35">
        <f t="shared" si="172"/>
        <v>-5.2418487884310781E-8</v>
      </c>
      <c r="N1377" s="44">
        <f t="shared" si="170"/>
        <v>-2.8489027982310944E-6</v>
      </c>
      <c r="O1377" s="45" t="e">
        <f t="shared" si="173"/>
        <v>#VALUE!</v>
      </c>
      <c r="P1377" s="52" t="str">
        <f t="shared" si="174"/>
        <v/>
      </c>
      <c r="Q1377" s="53" t="str">
        <f t="shared" si="175"/>
        <v/>
      </c>
      <c r="R1377" s="54" t="str">
        <f t="shared" si="176"/>
        <v/>
      </c>
      <c r="S1377" s="53" t="str">
        <f t="shared" si="177"/>
        <v/>
      </c>
    </row>
    <row r="1378" spans="10:19" x14ac:dyDescent="0.15">
      <c r="J1378" s="38">
        <v>1369</v>
      </c>
      <c r="K1378" s="40"/>
      <c r="L1378" s="34">
        <f t="shared" si="171"/>
        <v>8.6565954082242305E-4</v>
      </c>
      <c r="M1378" s="35">
        <f t="shared" si="172"/>
        <v>-5.2606704720101527E-8</v>
      </c>
      <c r="N1378" s="44">
        <f t="shared" si="170"/>
        <v>-2.8578674932494249E-6</v>
      </c>
      <c r="O1378" s="45" t="e">
        <f t="shared" si="173"/>
        <v>#VALUE!</v>
      </c>
      <c r="P1378" s="52" t="str">
        <f t="shared" si="174"/>
        <v/>
      </c>
      <c r="Q1378" s="53" t="str">
        <f t="shared" si="175"/>
        <v/>
      </c>
      <c r="R1378" s="54" t="str">
        <f t="shared" si="176"/>
        <v/>
      </c>
      <c r="S1378" s="53" t="str">
        <f t="shared" si="177"/>
        <v/>
      </c>
    </row>
    <row r="1379" spans="10:19" x14ac:dyDescent="0.15">
      <c r="J1379" s="38">
        <v>1370</v>
      </c>
      <c r="K1379" s="40"/>
      <c r="L1379" s="34">
        <f t="shared" si="171"/>
        <v>8.6560684016439779E-4</v>
      </c>
      <c r="M1379" s="35">
        <f t="shared" si="172"/>
        <v>-5.2794549383453353E-8</v>
      </c>
      <c r="N1379" s="44">
        <f t="shared" si="170"/>
        <v>-2.8668147430809671E-6</v>
      </c>
      <c r="O1379" s="45" t="e">
        <f t="shared" si="173"/>
        <v>#VALUE!</v>
      </c>
      <c r="P1379" s="52" t="str">
        <f t="shared" si="174"/>
        <v/>
      </c>
      <c r="Q1379" s="53" t="str">
        <f t="shared" si="175"/>
        <v/>
      </c>
      <c r="R1379" s="54" t="str">
        <f t="shared" si="176"/>
        <v/>
      </c>
      <c r="S1379" s="53" t="str">
        <f t="shared" si="177"/>
        <v/>
      </c>
    </row>
    <row r="1380" spans="10:19" x14ac:dyDescent="0.15">
      <c r="J1380" s="38">
        <v>1371</v>
      </c>
      <c r="K1380" s="40"/>
      <c r="L1380" s="34">
        <f t="shared" si="171"/>
        <v>8.6555395184738653E-4</v>
      </c>
      <c r="M1380" s="35">
        <f t="shared" si="172"/>
        <v>-5.2982022854944994E-8</v>
      </c>
      <c r="N1380" s="44">
        <f t="shared" si="170"/>
        <v>-2.8757445929648157E-6</v>
      </c>
      <c r="O1380" s="45" t="e">
        <f t="shared" si="173"/>
        <v>#VALUE!</v>
      </c>
      <c r="P1380" s="52" t="str">
        <f t="shared" si="174"/>
        <v/>
      </c>
      <c r="Q1380" s="53" t="str">
        <f t="shared" si="175"/>
        <v/>
      </c>
      <c r="R1380" s="54" t="str">
        <f t="shared" si="176"/>
        <v/>
      </c>
      <c r="S1380" s="53" t="str">
        <f t="shared" si="177"/>
        <v/>
      </c>
    </row>
    <row r="1381" spans="10:19" x14ac:dyDescent="0.15">
      <c r="J1381" s="38">
        <v>1372</v>
      </c>
      <c r="K1381" s="40"/>
      <c r="L1381" s="34">
        <f t="shared" si="171"/>
        <v>8.6550087624209272E-4</v>
      </c>
      <c r="M1381" s="35">
        <f t="shared" si="172"/>
        <v>-5.3169126111928004E-8</v>
      </c>
      <c r="N1381" s="44">
        <f t="shared" si="170"/>
        <v>-2.8846570879939148E-6</v>
      </c>
      <c r="O1381" s="45" t="e">
        <f t="shared" si="173"/>
        <v>#VALUE!</v>
      </c>
      <c r="P1381" s="52" t="str">
        <f t="shared" si="174"/>
        <v/>
      </c>
      <c r="Q1381" s="53" t="str">
        <f t="shared" si="175"/>
        <v/>
      </c>
      <c r="R1381" s="54" t="str">
        <f t="shared" si="176"/>
        <v/>
      </c>
      <c r="S1381" s="53" t="str">
        <f t="shared" si="177"/>
        <v/>
      </c>
    </row>
    <row r="1382" spans="10:19" x14ac:dyDescent="0.15">
      <c r="J1382" s="38">
        <v>1373</v>
      </c>
      <c r="K1382" s="40"/>
      <c r="L1382" s="34">
        <f t="shared" si="171"/>
        <v>8.6544761371824288E-4</v>
      </c>
      <c r="M1382" s="35">
        <f t="shared" si="172"/>
        <v>-5.3355860128539208E-8</v>
      </c>
      <c r="N1382" s="44">
        <f t="shared" si="170"/>
        <v>-2.8935522731134318E-6</v>
      </c>
      <c r="O1382" s="45" t="e">
        <f t="shared" si="173"/>
        <v>#VALUE!</v>
      </c>
      <c r="P1382" s="52" t="str">
        <f t="shared" si="174"/>
        <v/>
      </c>
      <c r="Q1382" s="53" t="str">
        <f t="shared" si="175"/>
        <v/>
      </c>
      <c r="R1382" s="54" t="str">
        <f t="shared" si="176"/>
        <v/>
      </c>
      <c r="S1382" s="53" t="str">
        <f t="shared" si="177"/>
        <v/>
      </c>
    </row>
    <row r="1383" spans="10:19" x14ac:dyDescent="0.15">
      <c r="J1383" s="38">
        <v>1374</v>
      </c>
      <c r="K1383" s="40"/>
      <c r="L1383" s="34">
        <f t="shared" si="171"/>
        <v>8.6539416464459192E-4</v>
      </c>
      <c r="M1383" s="35">
        <f t="shared" si="172"/>
        <v>-5.3542225875713582E-8</v>
      </c>
      <c r="N1383" s="44">
        <f t="shared" si="170"/>
        <v>-2.9024301931249857E-6</v>
      </c>
      <c r="O1383" s="45" t="e">
        <f t="shared" si="173"/>
        <v>#VALUE!</v>
      </c>
      <c r="P1383" s="52" t="str">
        <f t="shared" si="174"/>
        <v/>
      </c>
      <c r="Q1383" s="53" t="str">
        <f t="shared" si="175"/>
        <v/>
      </c>
      <c r="R1383" s="54" t="str">
        <f t="shared" si="176"/>
        <v/>
      </c>
      <c r="S1383" s="53" t="str">
        <f t="shared" si="177"/>
        <v/>
      </c>
    </row>
    <row r="1384" spans="10:19" x14ac:dyDescent="0.15">
      <c r="J1384" s="38">
        <v>1375</v>
      </c>
      <c r="K1384" s="40"/>
      <c r="L1384" s="34">
        <f t="shared" si="171"/>
        <v>8.653405293889252E-4</v>
      </c>
      <c r="M1384" s="35">
        <f t="shared" si="172"/>
        <v>-5.3728224321196847E-8</v>
      </c>
      <c r="N1384" s="44">
        <f t="shared" si="170"/>
        <v>-2.9112908926841536E-6</v>
      </c>
      <c r="O1384" s="45" t="e">
        <f t="shared" si="173"/>
        <v>#VALUE!</v>
      </c>
      <c r="P1384" s="52" t="str">
        <f t="shared" si="174"/>
        <v/>
      </c>
      <c r="Q1384" s="53" t="str">
        <f t="shared" si="175"/>
        <v/>
      </c>
      <c r="R1384" s="54" t="str">
        <f t="shared" si="176"/>
        <v/>
      </c>
      <c r="S1384" s="53" t="str">
        <f t="shared" si="177"/>
        <v/>
      </c>
    </row>
    <row r="1385" spans="10:19" x14ac:dyDescent="0.15">
      <c r="J1385" s="38">
        <v>1376</v>
      </c>
      <c r="K1385" s="40"/>
      <c r="L1385" s="34">
        <f t="shared" si="171"/>
        <v>8.6528670831806191E-4</v>
      </c>
      <c r="M1385" s="35">
        <f t="shared" si="172"/>
        <v>-5.3913856429557833E-8</v>
      </c>
      <c r="N1385" s="44">
        <f t="shared" si="170"/>
        <v>-2.9201344163024218E-6</v>
      </c>
      <c r="O1385" s="45" t="e">
        <f t="shared" si="173"/>
        <v>#VALUE!</v>
      </c>
      <c r="P1385" s="52" t="str">
        <f t="shared" si="174"/>
        <v/>
      </c>
      <c r="Q1385" s="53" t="str">
        <f t="shared" si="175"/>
        <v/>
      </c>
      <c r="R1385" s="54" t="str">
        <f t="shared" si="176"/>
        <v/>
      </c>
      <c r="S1385" s="53" t="str">
        <f t="shared" si="177"/>
        <v/>
      </c>
    </row>
    <row r="1386" spans="10:19" x14ac:dyDescent="0.15">
      <c r="J1386" s="38">
        <v>1377</v>
      </c>
      <c r="K1386" s="40"/>
      <c r="L1386" s="34">
        <f t="shared" si="171"/>
        <v>8.6523270179785818E-4</v>
      </c>
      <c r="M1386" s="35">
        <f t="shared" si="172"/>
        <v>-5.409912316220132E-8</v>
      </c>
      <c r="N1386" s="44">
        <f t="shared" si="170"/>
        <v>-2.9289608083480538E-6</v>
      </c>
      <c r="O1386" s="45" t="e">
        <f t="shared" si="173"/>
        <v>#VALUE!</v>
      </c>
      <c r="P1386" s="52" t="str">
        <f t="shared" si="174"/>
        <v/>
      </c>
      <c r="Q1386" s="53" t="str">
        <f t="shared" si="175"/>
        <v/>
      </c>
      <c r="R1386" s="54" t="str">
        <f t="shared" si="176"/>
        <v/>
      </c>
      <c r="S1386" s="53" t="str">
        <f t="shared" si="177"/>
        <v/>
      </c>
    </row>
    <row r="1387" spans="10:19" x14ac:dyDescent="0.15">
      <c r="J1387" s="38">
        <v>1378</v>
      </c>
      <c r="K1387" s="40"/>
      <c r="L1387" s="34">
        <f t="shared" si="171"/>
        <v>8.6517851019320992E-4</v>
      </c>
      <c r="M1387" s="35">
        <f t="shared" si="172"/>
        <v>-5.4284025477380116E-8</v>
      </c>
      <c r="N1387" s="44">
        <f t="shared" si="170"/>
        <v>-2.937770113045331E-6</v>
      </c>
      <c r="O1387" s="45" t="e">
        <f t="shared" si="173"/>
        <v>#VALUE!</v>
      </c>
      <c r="P1387" s="52" t="str">
        <f t="shared" si="174"/>
        <v/>
      </c>
      <c r="Q1387" s="53" t="str">
        <f t="shared" si="175"/>
        <v/>
      </c>
      <c r="R1387" s="54" t="str">
        <f t="shared" si="176"/>
        <v/>
      </c>
      <c r="S1387" s="53" t="str">
        <f t="shared" si="177"/>
        <v/>
      </c>
    </row>
    <row r="1388" spans="10:19" x14ac:dyDescent="0.15">
      <c r="J1388" s="38">
        <v>1379</v>
      </c>
      <c r="K1388" s="40"/>
      <c r="L1388" s="34">
        <f t="shared" si="171"/>
        <v>8.6512413386805726E-4</v>
      </c>
      <c r="M1388" s="35">
        <f t="shared" si="172"/>
        <v>-5.4468564330207764E-8</v>
      </c>
      <c r="N1388" s="44">
        <f t="shared" si="170"/>
        <v>-2.9465623744770464E-6</v>
      </c>
      <c r="O1388" s="45" t="e">
        <f t="shared" si="173"/>
        <v>#VALUE!</v>
      </c>
      <c r="P1388" s="52" t="str">
        <f t="shared" si="174"/>
        <v/>
      </c>
      <c r="Q1388" s="53" t="str">
        <f t="shared" si="175"/>
        <v/>
      </c>
      <c r="R1388" s="54" t="str">
        <f t="shared" si="176"/>
        <v/>
      </c>
      <c r="S1388" s="53" t="str">
        <f t="shared" si="177"/>
        <v/>
      </c>
    </row>
    <row r="1389" spans="10:19" x14ac:dyDescent="0.15">
      <c r="J1389" s="38">
        <v>1380</v>
      </c>
      <c r="K1389" s="40"/>
      <c r="L1389" s="34">
        <f t="shared" si="171"/>
        <v>8.6506957318538641E-4</v>
      </c>
      <c r="M1389" s="35">
        <f t="shared" si="172"/>
        <v>-5.4652740672670722E-8</v>
      </c>
      <c r="N1389" s="44">
        <f t="shared" si="170"/>
        <v>-2.9553376365827697E-6</v>
      </c>
      <c r="O1389" s="45" t="e">
        <f t="shared" si="173"/>
        <v>#VALUE!</v>
      </c>
      <c r="P1389" s="52" t="str">
        <f t="shared" si="174"/>
        <v/>
      </c>
      <c r="Q1389" s="53" t="str">
        <f t="shared" si="175"/>
        <v/>
      </c>
      <c r="R1389" s="54" t="str">
        <f t="shared" si="176"/>
        <v/>
      </c>
      <c r="S1389" s="53" t="str">
        <f t="shared" si="177"/>
        <v/>
      </c>
    </row>
    <row r="1390" spans="10:19" x14ac:dyDescent="0.15">
      <c r="J1390" s="38">
        <v>1381</v>
      </c>
      <c r="K1390" s="40"/>
      <c r="L1390" s="34">
        <f t="shared" si="171"/>
        <v>8.6501482850723254E-4</v>
      </c>
      <c r="M1390" s="35">
        <f t="shared" si="172"/>
        <v>-5.4836555453640648E-8</v>
      </c>
      <c r="N1390" s="44">
        <f t="shared" si="170"/>
        <v>-2.9640959431607994E-6</v>
      </c>
      <c r="O1390" s="45" t="e">
        <f t="shared" si="173"/>
        <v>#VALUE!</v>
      </c>
      <c r="P1390" s="52" t="str">
        <f t="shared" si="174"/>
        <v/>
      </c>
      <c r="Q1390" s="53" t="str">
        <f t="shared" si="175"/>
        <v/>
      </c>
      <c r="R1390" s="54" t="str">
        <f t="shared" si="176"/>
        <v/>
      </c>
      <c r="S1390" s="53" t="str">
        <f t="shared" si="177"/>
        <v/>
      </c>
    </row>
    <row r="1391" spans="10:19" x14ac:dyDescent="0.15">
      <c r="J1391" s="38">
        <v>1382</v>
      </c>
      <c r="K1391" s="40"/>
      <c r="L1391" s="34">
        <f t="shared" si="171"/>
        <v>8.649599001946842E-4</v>
      </c>
      <c r="M1391" s="35">
        <f t="shared" si="172"/>
        <v>-5.502000961888664E-8</v>
      </c>
      <c r="N1391" s="44">
        <f t="shared" si="170"/>
        <v>-2.9728373378690295E-6</v>
      </c>
      <c r="O1391" s="45" t="e">
        <f t="shared" si="173"/>
        <v>#VALUE!</v>
      </c>
      <c r="P1391" s="52" t="str">
        <f t="shared" si="174"/>
        <v/>
      </c>
      <c r="Q1391" s="53" t="str">
        <f t="shared" si="175"/>
        <v/>
      </c>
      <c r="R1391" s="54" t="str">
        <f t="shared" si="176"/>
        <v/>
      </c>
      <c r="S1391" s="53" t="str">
        <f t="shared" si="177"/>
        <v/>
      </c>
    </row>
    <row r="1392" spans="10:19" x14ac:dyDescent="0.15">
      <c r="J1392" s="38">
        <v>1383</v>
      </c>
      <c r="K1392" s="40"/>
      <c r="L1392" s="34">
        <f t="shared" si="171"/>
        <v>8.649047886078857E-4</v>
      </c>
      <c r="M1392" s="35">
        <f t="shared" si="172"/>
        <v>-5.5203104111087353E-8</v>
      </c>
      <c r="N1392" s="44">
        <f t="shared" si="170"/>
        <v>-2.9815618642242995E-6</v>
      </c>
      <c r="O1392" s="45" t="e">
        <f t="shared" si="173"/>
        <v>#VALUE!</v>
      </c>
      <c r="P1392" s="52" t="str">
        <f t="shared" si="174"/>
        <v/>
      </c>
      <c r="Q1392" s="53" t="str">
        <f t="shared" si="175"/>
        <v/>
      </c>
      <c r="R1392" s="54" t="str">
        <f t="shared" si="176"/>
        <v/>
      </c>
      <c r="S1392" s="53" t="str">
        <f t="shared" si="177"/>
        <v/>
      </c>
    </row>
    <row r="1393" spans="10:19" x14ac:dyDescent="0.15">
      <c r="J1393" s="38">
        <v>1384</v>
      </c>
      <c r="K1393" s="40"/>
      <c r="L1393" s="34">
        <f t="shared" si="171"/>
        <v>8.6484949410603983E-4</v>
      </c>
      <c r="M1393" s="35">
        <f t="shared" si="172"/>
        <v>-5.5385839869843269E-8</v>
      </c>
      <c r="N1393" s="44">
        <f t="shared" si="170"/>
        <v>-2.9902695656041289E-6</v>
      </c>
      <c r="O1393" s="45" t="e">
        <f t="shared" si="173"/>
        <v>#VALUE!</v>
      </c>
      <c r="P1393" s="52" t="str">
        <f t="shared" si="174"/>
        <v/>
      </c>
      <c r="Q1393" s="53" t="str">
        <f t="shared" si="175"/>
        <v/>
      </c>
      <c r="R1393" s="54" t="str">
        <f t="shared" si="176"/>
        <v/>
      </c>
      <c r="S1393" s="53" t="str">
        <f t="shared" si="177"/>
        <v/>
      </c>
    </row>
    <row r="1394" spans="10:19" x14ac:dyDescent="0.15">
      <c r="J1394" s="38">
        <v>1385</v>
      </c>
      <c r="K1394" s="40"/>
      <c r="L1394" s="34">
        <f t="shared" si="171"/>
        <v>8.6479401704741166E-4</v>
      </c>
      <c r="M1394" s="35">
        <f t="shared" si="172"/>
        <v>-5.5568217831688573E-8</v>
      </c>
      <c r="N1394" s="44">
        <f t="shared" si="170"/>
        <v>-2.9989604852460666E-6</v>
      </c>
      <c r="O1394" s="45" t="e">
        <f t="shared" si="173"/>
        <v>#VALUE!</v>
      </c>
      <c r="P1394" s="52" t="str">
        <f t="shared" si="174"/>
        <v/>
      </c>
      <c r="Q1394" s="53" t="str">
        <f t="shared" si="175"/>
        <v/>
      </c>
      <c r="R1394" s="54" t="str">
        <f t="shared" si="176"/>
        <v/>
      </c>
      <c r="S1394" s="53" t="str">
        <f t="shared" si="177"/>
        <v/>
      </c>
    </row>
    <row r="1395" spans="10:19" x14ac:dyDescent="0.15">
      <c r="J1395" s="38">
        <v>1386</v>
      </c>
      <c r="K1395" s="40"/>
      <c r="L1395" s="34">
        <f t="shared" si="171"/>
        <v>8.6473835778933092E-4</v>
      </c>
      <c r="M1395" s="35">
        <f t="shared" si="172"/>
        <v>-5.5750238930103139E-8</v>
      </c>
      <c r="N1395" s="44">
        <f t="shared" si="170"/>
        <v>-3.0076346662493173E-6</v>
      </c>
      <c r="O1395" s="45" t="e">
        <f t="shared" si="173"/>
        <v>#VALUE!</v>
      </c>
      <c r="P1395" s="52" t="str">
        <f t="shared" si="174"/>
        <v/>
      </c>
      <c r="Q1395" s="53" t="str">
        <f t="shared" si="175"/>
        <v/>
      </c>
      <c r="R1395" s="54" t="str">
        <f t="shared" si="176"/>
        <v/>
      </c>
      <c r="S1395" s="53" t="str">
        <f t="shared" si="177"/>
        <v/>
      </c>
    </row>
    <row r="1396" spans="10:19" x14ac:dyDescent="0.15">
      <c r="J1396" s="38">
        <v>1387</v>
      </c>
      <c r="K1396" s="40"/>
      <c r="L1396" s="34">
        <f t="shared" si="171"/>
        <v>8.6468251668819578E-4</v>
      </c>
      <c r="M1396" s="35">
        <f t="shared" si="172"/>
        <v>-5.5931904095524733E-8</v>
      </c>
      <c r="N1396" s="44">
        <f t="shared" si="170"/>
        <v>-3.0162921515743081E-6</v>
      </c>
      <c r="O1396" s="45" t="e">
        <f t="shared" si="173"/>
        <v>#VALUE!</v>
      </c>
      <c r="P1396" s="52" t="str">
        <f t="shared" si="174"/>
        <v/>
      </c>
      <c r="Q1396" s="53" t="str">
        <f t="shared" si="175"/>
        <v/>
      </c>
      <c r="R1396" s="54" t="str">
        <f t="shared" si="176"/>
        <v/>
      </c>
      <c r="S1396" s="53" t="str">
        <f t="shared" si="177"/>
        <v/>
      </c>
    </row>
    <row r="1397" spans="10:19" x14ac:dyDescent="0.15">
      <c r="J1397" s="38">
        <v>1388</v>
      </c>
      <c r="K1397" s="40"/>
      <c r="L1397" s="34">
        <f t="shared" si="171"/>
        <v>8.6462649409947516E-4</v>
      </c>
      <c r="M1397" s="35">
        <f t="shared" si="172"/>
        <v>-5.6113214255360558E-8</v>
      </c>
      <c r="N1397" s="44">
        <f t="shared" si="170"/>
        <v>-3.0249329840443141E-6</v>
      </c>
      <c r="O1397" s="45" t="e">
        <f t="shared" si="173"/>
        <v>#VALUE!</v>
      </c>
      <c r="P1397" s="52" t="str">
        <f t="shared" si="174"/>
        <v/>
      </c>
      <c r="Q1397" s="53" t="str">
        <f t="shared" si="175"/>
        <v/>
      </c>
      <c r="R1397" s="54" t="str">
        <f t="shared" si="176"/>
        <v/>
      </c>
      <c r="S1397" s="53" t="str">
        <f t="shared" si="177"/>
        <v/>
      </c>
    </row>
    <row r="1398" spans="10:19" x14ac:dyDescent="0.15">
      <c r="J1398" s="38">
        <v>1389</v>
      </c>
      <c r="K1398" s="40"/>
      <c r="L1398" s="34">
        <f t="shared" si="171"/>
        <v>8.6457029037771195E-4</v>
      </c>
      <c r="M1398" s="35">
        <f t="shared" si="172"/>
        <v>-5.6294170333999341E-8</v>
      </c>
      <c r="N1398" s="44">
        <f t="shared" si="170"/>
        <v>-3.0335572063447001E-6</v>
      </c>
      <c r="O1398" s="45" t="e">
        <f t="shared" si="173"/>
        <v>#VALUE!</v>
      </c>
      <c r="P1398" s="52" t="str">
        <f t="shared" si="174"/>
        <v/>
      </c>
      <c r="Q1398" s="53" t="str">
        <f t="shared" si="175"/>
        <v/>
      </c>
      <c r="R1398" s="54" t="str">
        <f t="shared" si="176"/>
        <v/>
      </c>
      <c r="S1398" s="53" t="str">
        <f t="shared" si="177"/>
        <v/>
      </c>
    </row>
    <row r="1399" spans="10:19" x14ac:dyDescent="0.15">
      <c r="J1399" s="38">
        <v>1390</v>
      </c>
      <c r="K1399" s="40"/>
      <c r="L1399" s="34">
        <f t="shared" si="171"/>
        <v>8.6451390587652702E-4</v>
      </c>
      <c r="M1399" s="35">
        <f t="shared" si="172"/>
        <v>-5.6474773252823061E-8</v>
      </c>
      <c r="N1399" s="44">
        <f t="shared" si="170"/>
        <v>-3.0421648610254141E-6</v>
      </c>
      <c r="O1399" s="45" t="e">
        <f t="shared" si="173"/>
        <v>#VALUE!</v>
      </c>
      <c r="P1399" s="52" t="str">
        <f t="shared" si="174"/>
        <v/>
      </c>
      <c r="Q1399" s="53" t="str">
        <f t="shared" si="175"/>
        <v/>
      </c>
      <c r="R1399" s="54" t="str">
        <f t="shared" si="176"/>
        <v/>
      </c>
      <c r="S1399" s="53" t="str">
        <f t="shared" si="177"/>
        <v/>
      </c>
    </row>
    <row r="1400" spans="10:19" x14ac:dyDescent="0.15">
      <c r="J1400" s="38">
        <v>1391</v>
      </c>
      <c r="K1400" s="40"/>
      <c r="L1400" s="34">
        <f t="shared" si="171"/>
        <v>8.6445734094862015E-4</v>
      </c>
      <c r="M1400" s="35">
        <f t="shared" si="172"/>
        <v>-5.6655023930218502E-8</v>
      </c>
      <c r="N1400" s="44">
        <f t="shared" si="170"/>
        <v>-3.0507559904984936E-6</v>
      </c>
      <c r="O1400" s="45" t="e">
        <f t="shared" si="173"/>
        <v>#VALUE!</v>
      </c>
      <c r="P1400" s="52" t="str">
        <f t="shared" si="174"/>
        <v/>
      </c>
      <c r="Q1400" s="53" t="str">
        <f t="shared" si="175"/>
        <v/>
      </c>
      <c r="R1400" s="54" t="str">
        <f t="shared" si="176"/>
        <v/>
      </c>
      <c r="S1400" s="53" t="str">
        <f t="shared" si="177"/>
        <v/>
      </c>
    </row>
    <row r="1401" spans="10:19" x14ac:dyDescent="0.15">
      <c r="J1401" s="38">
        <v>1392</v>
      </c>
      <c r="K1401" s="40"/>
      <c r="L1401" s="34">
        <f t="shared" si="171"/>
        <v>8.6440059594577513E-4</v>
      </c>
      <c r="M1401" s="35">
        <f t="shared" si="172"/>
        <v>-5.6834923281589239E-8</v>
      </c>
      <c r="N1401" s="44">
        <f t="shared" si="170"/>
        <v>-3.0593306370414264E-6</v>
      </c>
      <c r="O1401" s="45" t="e">
        <f t="shared" si="173"/>
        <v>#VALUE!</v>
      </c>
      <c r="P1401" s="52" t="str">
        <f t="shared" si="174"/>
        <v/>
      </c>
      <c r="Q1401" s="53" t="str">
        <f t="shared" si="175"/>
        <v/>
      </c>
      <c r="R1401" s="54" t="str">
        <f t="shared" si="176"/>
        <v/>
      </c>
      <c r="S1401" s="53" t="str">
        <f t="shared" si="177"/>
        <v/>
      </c>
    </row>
    <row r="1402" spans="10:19" x14ac:dyDescent="0.15">
      <c r="J1402" s="38">
        <v>1393</v>
      </c>
      <c r="K1402" s="40"/>
      <c r="L1402" s="34">
        <f t="shared" si="171"/>
        <v>8.6434367121886147E-4</v>
      </c>
      <c r="M1402" s="35">
        <f t="shared" si="172"/>
        <v>-5.701447221936699E-8</v>
      </c>
      <c r="N1402" s="44">
        <f t="shared" si="170"/>
        <v>-3.0678888427968258E-6</v>
      </c>
      <c r="O1402" s="45" t="e">
        <f t="shared" si="173"/>
        <v>#VALUE!</v>
      </c>
      <c r="P1402" s="52" t="str">
        <f t="shared" si="174"/>
        <v/>
      </c>
      <c r="Q1402" s="53" t="str">
        <f t="shared" si="175"/>
        <v/>
      </c>
      <c r="R1402" s="54" t="str">
        <f t="shared" si="176"/>
        <v/>
      </c>
      <c r="S1402" s="53" t="str">
        <f t="shared" si="177"/>
        <v/>
      </c>
    </row>
    <row r="1403" spans="10:19" x14ac:dyDescent="0.15">
      <c r="J1403" s="38">
        <v>1394</v>
      </c>
      <c r="K1403" s="40"/>
      <c r="L1403" s="34">
        <f t="shared" si="171"/>
        <v>8.6428656711783774E-4</v>
      </c>
      <c r="M1403" s="35">
        <f t="shared" si="172"/>
        <v>-5.719367165302334E-8</v>
      </c>
      <c r="N1403" s="44">
        <f t="shared" si="170"/>
        <v>-3.0764306497716712E-6</v>
      </c>
      <c r="O1403" s="45" t="e">
        <f t="shared" si="173"/>
        <v>#VALUE!</v>
      </c>
      <c r="P1403" s="52" t="str">
        <f t="shared" si="174"/>
        <v/>
      </c>
      <c r="Q1403" s="53" t="str">
        <f t="shared" si="175"/>
        <v/>
      </c>
      <c r="R1403" s="54" t="str">
        <f t="shared" si="176"/>
        <v/>
      </c>
      <c r="S1403" s="53" t="str">
        <f t="shared" si="177"/>
        <v/>
      </c>
    </row>
    <row r="1404" spans="10:19" x14ac:dyDescent="0.15">
      <c r="J1404" s="38">
        <v>1395</v>
      </c>
      <c r="K1404" s="40"/>
      <c r="L1404" s="34">
        <f t="shared" si="171"/>
        <v>8.642292839917547E-4</v>
      </c>
      <c r="M1404" s="35">
        <f t="shared" si="172"/>
        <v>-5.7372522489081198E-8</v>
      </c>
      <c r="N1404" s="44">
        <f t="shared" si="170"/>
        <v>-3.0849560998395852E-6</v>
      </c>
      <c r="O1404" s="45" t="e">
        <f t="shared" si="173"/>
        <v>#VALUE!</v>
      </c>
      <c r="P1404" s="52" t="str">
        <f t="shared" si="174"/>
        <v/>
      </c>
      <c r="Q1404" s="53" t="str">
        <f t="shared" si="175"/>
        <v/>
      </c>
      <c r="R1404" s="54" t="str">
        <f t="shared" si="176"/>
        <v/>
      </c>
      <c r="S1404" s="53" t="str">
        <f t="shared" si="177"/>
        <v/>
      </c>
    </row>
    <row r="1405" spans="10:19" x14ac:dyDescent="0.15">
      <c r="J1405" s="38">
        <v>1396</v>
      </c>
      <c r="K1405" s="40"/>
      <c r="L1405" s="34">
        <f t="shared" si="171"/>
        <v>8.6417182218875746E-4</v>
      </c>
      <c r="M1405" s="35">
        <f t="shared" si="172"/>
        <v>-5.7551025631126262E-8</v>
      </c>
      <c r="N1405" s="44">
        <f t="shared" si="170"/>
        <v>-3.0934652347399663E-6</v>
      </c>
      <c r="O1405" s="45" t="e">
        <f t="shared" si="173"/>
        <v>#VALUE!</v>
      </c>
      <c r="P1405" s="52" t="str">
        <f t="shared" si="174"/>
        <v/>
      </c>
      <c r="Q1405" s="53" t="str">
        <f t="shared" si="175"/>
        <v/>
      </c>
      <c r="R1405" s="54" t="str">
        <f t="shared" si="176"/>
        <v/>
      </c>
      <c r="S1405" s="53" t="str">
        <f t="shared" si="177"/>
        <v/>
      </c>
    </row>
    <row r="1406" spans="10:19" x14ac:dyDescent="0.15">
      <c r="J1406" s="38">
        <v>1397</v>
      </c>
      <c r="K1406" s="40"/>
      <c r="L1406" s="34">
        <f t="shared" si="171"/>
        <v>8.6411418205609007E-4</v>
      </c>
      <c r="M1406" s="35">
        <f t="shared" si="172"/>
        <v>-5.7729181979818413E-8</v>
      </c>
      <c r="N1406" s="44">
        <f t="shared" si="170"/>
        <v>-3.1019580960804823E-6</v>
      </c>
      <c r="O1406" s="45" t="e">
        <f t="shared" si="173"/>
        <v>#VALUE!</v>
      </c>
      <c r="P1406" s="52" t="str">
        <f t="shared" si="174"/>
        <v/>
      </c>
      <c r="Q1406" s="53" t="str">
        <f t="shared" si="175"/>
        <v/>
      </c>
      <c r="R1406" s="54" t="str">
        <f t="shared" si="176"/>
        <v/>
      </c>
      <c r="S1406" s="53" t="str">
        <f t="shared" si="177"/>
        <v/>
      </c>
    </row>
    <row r="1407" spans="10:19" x14ac:dyDescent="0.15">
      <c r="J1407" s="38">
        <v>1398</v>
      </c>
      <c r="K1407" s="40"/>
      <c r="L1407" s="34">
        <f t="shared" si="171"/>
        <v>8.6405636394009636E-4</v>
      </c>
      <c r="M1407" s="35">
        <f t="shared" si="172"/>
        <v>-5.7906992432903181E-8</v>
      </c>
      <c r="N1407" s="44">
        <f t="shared" si="170"/>
        <v>-3.110434725334902E-6</v>
      </c>
      <c r="O1407" s="45" t="e">
        <f t="shared" si="173"/>
        <v>#VALUE!</v>
      </c>
      <c r="P1407" s="52" t="str">
        <f t="shared" si="174"/>
        <v/>
      </c>
      <c r="Q1407" s="53" t="str">
        <f t="shared" si="175"/>
        <v/>
      </c>
      <c r="R1407" s="54" t="str">
        <f t="shared" si="176"/>
        <v/>
      </c>
      <c r="S1407" s="53" t="str">
        <f t="shared" si="177"/>
        <v/>
      </c>
    </row>
    <row r="1408" spans="10:19" x14ac:dyDescent="0.15">
      <c r="J1408" s="38">
        <v>1399</v>
      </c>
      <c r="K1408" s="40"/>
      <c r="L1408" s="34">
        <f t="shared" si="171"/>
        <v>8.639983681862245E-4</v>
      </c>
      <c r="M1408" s="35">
        <f t="shared" si="172"/>
        <v>-5.8084457885222893E-8</v>
      </c>
      <c r="N1408" s="44">
        <f t="shared" si="170"/>
        <v>-3.1188951638452637E-6</v>
      </c>
      <c r="O1408" s="45" t="e">
        <f t="shared" si="173"/>
        <v>#VALUE!</v>
      </c>
      <c r="P1408" s="52" t="str">
        <f t="shared" si="174"/>
        <v/>
      </c>
      <c r="Q1408" s="53" t="str">
        <f t="shared" si="175"/>
        <v/>
      </c>
      <c r="R1408" s="54" t="str">
        <f t="shared" si="176"/>
        <v/>
      </c>
      <c r="S1408" s="53" t="str">
        <f t="shared" si="177"/>
        <v/>
      </c>
    </row>
    <row r="1409" spans="10:19" x14ac:dyDescent="0.15">
      <c r="J1409" s="38">
        <v>1400</v>
      </c>
      <c r="K1409" s="75">
        <f>B28</f>
        <v>9.274795E-4</v>
      </c>
      <c r="L1409" s="34">
        <f t="shared" si="171"/>
        <v>8.6394019513902896E-4</v>
      </c>
      <c r="M1409" s="35">
        <f t="shared" si="172"/>
        <v>-5.8261579228728089E-8</v>
      </c>
      <c r="N1409" s="44">
        <f t="shared" si="170"/>
        <v>-3.1273394528229595E-6</v>
      </c>
      <c r="O1409" s="45" t="e">
        <f t="shared" si="173"/>
        <v>#VALUE!</v>
      </c>
      <c r="P1409" s="52" t="str">
        <f t="shared" si="174"/>
        <v/>
      </c>
      <c r="Q1409" s="53" t="str">
        <f t="shared" si="175"/>
        <v/>
      </c>
      <c r="R1409" s="54" t="str">
        <f t="shared" si="176"/>
        <v/>
      </c>
      <c r="S1409" s="53" t="str">
        <f t="shared" si="177"/>
        <v/>
      </c>
    </row>
    <row r="1410" spans="10:19" x14ac:dyDescent="0.15">
      <c r="J1410" s="38">
        <v>1401</v>
      </c>
      <c r="K1410" s="40"/>
      <c r="L1410" s="34">
        <f t="shared" si="171"/>
        <v>8.6388184514217374E-4</v>
      </c>
      <c r="M1410" s="35">
        <f t="shared" si="172"/>
        <v>-5.8438357352488613E-8</v>
      </c>
      <c r="N1410" s="44">
        <f t="shared" si="170"/>
        <v>-3.1357676333465664E-6</v>
      </c>
      <c r="O1410" s="45" t="e">
        <f t="shared" si="173"/>
        <v>#VALUE!</v>
      </c>
      <c r="P1410" s="52" t="str">
        <f t="shared" si="174"/>
        <v/>
      </c>
      <c r="Q1410" s="53" t="str">
        <f t="shared" si="175"/>
        <v/>
      </c>
      <c r="R1410" s="54" t="str">
        <f t="shared" si="176"/>
        <v/>
      </c>
      <c r="S1410" s="53" t="str">
        <f t="shared" si="177"/>
        <v/>
      </c>
    </row>
    <row r="1411" spans="10:19" x14ac:dyDescent="0.15">
      <c r="J1411" s="38">
        <v>1402</v>
      </c>
      <c r="K1411" s="40"/>
      <c r="L1411" s="34">
        <f t="shared" si="171"/>
        <v>8.63823318538435E-4</v>
      </c>
      <c r="M1411" s="35">
        <f t="shared" si="172"/>
        <v>-5.8614793142704805E-8</v>
      </c>
      <c r="N1411" s="44">
        <f t="shared" si="170"/>
        <v>-3.1441797463653163E-6</v>
      </c>
      <c r="O1411" s="45" t="e">
        <f t="shared" si="173"/>
        <v>#VALUE!</v>
      </c>
      <c r="P1411" s="52" t="str">
        <f t="shared" si="174"/>
        <v/>
      </c>
      <c r="Q1411" s="53" t="str">
        <f t="shared" si="175"/>
        <v/>
      </c>
      <c r="R1411" s="54" t="str">
        <f t="shared" si="176"/>
        <v/>
      </c>
      <c r="S1411" s="53" t="str">
        <f t="shared" si="177"/>
        <v/>
      </c>
    </row>
    <row r="1412" spans="10:19" x14ac:dyDescent="0.15">
      <c r="J1412" s="38">
        <v>1403</v>
      </c>
      <c r="K1412" s="40"/>
      <c r="L1412" s="34">
        <f t="shared" si="171"/>
        <v>8.6376461566970493E-4</v>
      </c>
      <c r="M1412" s="35">
        <f t="shared" si="172"/>
        <v>-5.8790887482718704E-8</v>
      </c>
      <c r="N1412" s="44">
        <f t="shared" si="170"/>
        <v>-3.1525758326988789E-6</v>
      </c>
      <c r="O1412" s="45" t="e">
        <f t="shared" si="173"/>
        <v>#VALUE!</v>
      </c>
      <c r="P1412" s="52" t="str">
        <f t="shared" si="174"/>
        <v/>
      </c>
      <c r="Q1412" s="53" t="str">
        <f t="shared" si="175"/>
        <v/>
      </c>
      <c r="R1412" s="54" t="str">
        <f t="shared" si="176"/>
        <v/>
      </c>
      <c r="S1412" s="53" t="str">
        <f t="shared" si="177"/>
        <v/>
      </c>
    </row>
    <row r="1413" spans="10:19" x14ac:dyDescent="0.15">
      <c r="J1413" s="38">
        <v>1404</v>
      </c>
      <c r="K1413" s="40"/>
      <c r="L1413" s="34">
        <f t="shared" si="171"/>
        <v>8.6370573687699268E-4</v>
      </c>
      <c r="M1413" s="35">
        <f t="shared" si="172"/>
        <v>-5.8966641253024877E-8</v>
      </c>
      <c r="N1413" s="44">
        <f t="shared" si="170"/>
        <v>-3.1609559330359523E-6</v>
      </c>
      <c r="O1413" s="45" t="e">
        <f t="shared" si="173"/>
        <v>#VALUE!</v>
      </c>
      <c r="P1413" s="52" t="str">
        <f t="shared" si="174"/>
        <v/>
      </c>
      <c r="Q1413" s="53" t="str">
        <f t="shared" si="175"/>
        <v/>
      </c>
      <c r="R1413" s="54" t="str">
        <f t="shared" si="176"/>
        <v/>
      </c>
      <c r="S1413" s="53" t="str">
        <f t="shared" si="177"/>
        <v/>
      </c>
    </row>
    <row r="1414" spans="10:19" x14ac:dyDescent="0.15">
      <c r="J1414" s="38">
        <v>1405</v>
      </c>
      <c r="K1414" s="40"/>
      <c r="L1414" s="34">
        <f t="shared" si="171"/>
        <v>8.6364668250042958E-4</v>
      </c>
      <c r="M1414" s="35">
        <f t="shared" si="172"/>
        <v>-5.9142055331281649E-8</v>
      </c>
      <c r="N1414" s="44">
        <f t="shared" si="170"/>
        <v>-3.169320087937624E-6</v>
      </c>
      <c r="O1414" s="45" t="e">
        <f t="shared" si="173"/>
        <v>#VALUE!</v>
      </c>
      <c r="P1414" s="52" t="str">
        <f t="shared" si="174"/>
        <v/>
      </c>
      <c r="Q1414" s="53" t="str">
        <f t="shared" si="175"/>
        <v/>
      </c>
      <c r="R1414" s="54" t="str">
        <f t="shared" si="176"/>
        <v/>
      </c>
      <c r="S1414" s="53" t="str">
        <f t="shared" si="177"/>
        <v/>
      </c>
    </row>
    <row r="1415" spans="10:19" x14ac:dyDescent="0.15">
      <c r="J1415" s="38">
        <v>1406</v>
      </c>
      <c r="K1415" s="40"/>
      <c r="L1415" s="34">
        <f t="shared" si="171"/>
        <v>8.6358745287926921E-4</v>
      </c>
      <c r="M1415" s="35">
        <f t="shared" si="172"/>
        <v>-5.9317130592321924E-8</v>
      </c>
      <c r="N1415" s="44">
        <f t="shared" si="170"/>
        <v>-3.1776683378346602E-6</v>
      </c>
      <c r="O1415" s="45" t="e">
        <f t="shared" si="173"/>
        <v>#VALUE!</v>
      </c>
      <c r="P1415" s="52" t="str">
        <f t="shared" si="174"/>
        <v/>
      </c>
      <c r="Q1415" s="53" t="str">
        <f t="shared" si="175"/>
        <v/>
      </c>
      <c r="R1415" s="54" t="str">
        <f t="shared" si="176"/>
        <v/>
      </c>
      <c r="S1415" s="53" t="str">
        <f t="shared" si="177"/>
        <v/>
      </c>
    </row>
    <row r="1416" spans="10:19" x14ac:dyDescent="0.15">
      <c r="J1416" s="38">
        <v>1407</v>
      </c>
      <c r="K1416" s="40"/>
      <c r="L1416" s="34">
        <f t="shared" si="171"/>
        <v>8.6352804835189314E-4</v>
      </c>
      <c r="M1416" s="35">
        <f t="shared" si="172"/>
        <v>-5.9491867908164256E-8</v>
      </c>
      <c r="N1416" s="44">
        <f t="shared" si="170"/>
        <v>-3.1860007230322769E-6</v>
      </c>
      <c r="O1416" s="45" t="e">
        <f t="shared" si="173"/>
        <v>#VALUE!</v>
      </c>
      <c r="P1416" s="52" t="str">
        <f t="shared" si="174"/>
        <v/>
      </c>
      <c r="Q1416" s="53" t="str">
        <f t="shared" si="175"/>
        <v/>
      </c>
      <c r="R1416" s="54" t="str">
        <f t="shared" si="176"/>
        <v/>
      </c>
      <c r="S1416" s="53" t="str">
        <f t="shared" si="177"/>
        <v/>
      </c>
    </row>
    <row r="1417" spans="10:19" x14ac:dyDescent="0.15">
      <c r="J1417" s="38">
        <v>1408</v>
      </c>
      <c r="K1417" s="40"/>
      <c r="L1417" s="34">
        <f t="shared" si="171"/>
        <v>8.6346846925581156E-4</v>
      </c>
      <c r="M1417" s="35">
        <f t="shared" si="172"/>
        <v>-5.9666268148023513E-8</v>
      </c>
      <c r="N1417" s="44">
        <f t="shared" ref="N1417:N1480" si="178">(L1467-L1417)</f>
        <v>-3.1943172837052601E-6</v>
      </c>
      <c r="O1417" s="45" t="e">
        <f t="shared" si="173"/>
        <v>#VALUE!</v>
      </c>
      <c r="P1417" s="52" t="str">
        <f t="shared" si="174"/>
        <v/>
      </c>
      <c r="Q1417" s="53" t="str">
        <f t="shared" si="175"/>
        <v/>
      </c>
      <c r="R1417" s="54" t="str">
        <f t="shared" si="176"/>
        <v/>
      </c>
      <c r="S1417" s="53" t="str">
        <f t="shared" si="177"/>
        <v/>
      </c>
    </row>
    <row r="1418" spans="10:19" x14ac:dyDescent="0.15">
      <c r="J1418" s="38">
        <v>1409</v>
      </c>
      <c r="K1418" s="40"/>
      <c r="L1418" s="34">
        <f t="shared" ref="L1418:L1481" si="179">$F$39*((1-$F$40*J1418)/(1+$F$41*J1418))*(J1418-$F$42)</f>
        <v>8.6340871592766695E-4</v>
      </c>
      <c r="M1418" s="35">
        <f t="shared" ref="M1418:M1481" si="180">$F$39*((1-2*$F$40*J1418-$F$40*$F$41*(J1418^2)+($F$41+$F$40)*$F$42)/(1+$F$41*J1418)^2)</f>
        <v>-5.9840332178321742E-8</v>
      </c>
      <c r="N1418" s="44">
        <f t="shared" si="178"/>
        <v>-3.2026180599032793E-6</v>
      </c>
      <c r="O1418" s="45" t="e">
        <f t="shared" ref="O1418:O1481" si="181">IF(N1418&lt;=$B$49,1+O1417,0)</f>
        <v>#VALUE!</v>
      </c>
      <c r="P1418" s="52" t="str">
        <f t="shared" ref="P1418:P1481" si="182">IF(J1418&lt;=$F$42,J1418,"")</f>
        <v/>
      </c>
      <c r="Q1418" s="53" t="str">
        <f t="shared" ref="Q1418:Q1481" si="183">IF(J1418&lt;=$F$42,L1418,"")</f>
        <v/>
      </c>
      <c r="R1418" s="54" t="str">
        <f t="shared" ref="R1418:R1481" si="184">IF(AND(J1418&gt;=$F$42,J1418&lt;=200),J1418,"")</f>
        <v/>
      </c>
      <c r="S1418" s="53" t="str">
        <f t="shared" ref="S1418:S1481" si="185">IF(AND(J1418&gt;=$F$42,J1418&lt;=200),L1418,"")</f>
        <v/>
      </c>
    </row>
    <row r="1419" spans="10:19" x14ac:dyDescent="0.15">
      <c r="J1419" s="38">
        <v>1410</v>
      </c>
      <c r="K1419" s="40"/>
      <c r="L1419" s="34">
        <f t="shared" si="179"/>
        <v>8.6334878870323684E-4</v>
      </c>
      <c r="M1419" s="35">
        <f t="shared" si="180"/>
        <v>-6.0014060862699037E-8</v>
      </c>
      <c r="N1419" s="44">
        <f t="shared" si="178"/>
        <v>-3.2109030915487185E-6</v>
      </c>
      <c r="O1419" s="45" t="e">
        <f t="shared" si="181"/>
        <v>#VALUE!</v>
      </c>
      <c r="P1419" s="52" t="str">
        <f t="shared" si="182"/>
        <v/>
      </c>
      <c r="Q1419" s="53" t="str">
        <f t="shared" si="183"/>
        <v/>
      </c>
      <c r="R1419" s="54" t="str">
        <f t="shared" si="184"/>
        <v/>
      </c>
      <c r="S1419" s="53" t="str">
        <f t="shared" si="185"/>
        <v/>
      </c>
    </row>
    <row r="1420" spans="10:19" x14ac:dyDescent="0.15">
      <c r="J1420" s="38">
        <v>1411</v>
      </c>
      <c r="K1420" s="40"/>
      <c r="L1420" s="34">
        <f t="shared" si="179"/>
        <v>8.6328868791743648E-4</v>
      </c>
      <c r="M1420" s="35">
        <f t="shared" si="180"/>
        <v>-6.0187455062024058E-8</v>
      </c>
      <c r="N1420" s="44">
        <f t="shared" si="178"/>
        <v>-3.2191724184377603E-6</v>
      </c>
      <c r="O1420" s="45" t="e">
        <f t="shared" si="181"/>
        <v>#VALUE!</v>
      </c>
      <c r="P1420" s="52" t="str">
        <f t="shared" si="182"/>
        <v/>
      </c>
      <c r="Q1420" s="53" t="str">
        <f t="shared" si="183"/>
        <v/>
      </c>
      <c r="R1420" s="54" t="str">
        <f t="shared" si="184"/>
        <v/>
      </c>
      <c r="S1420" s="53" t="str">
        <f t="shared" si="185"/>
        <v/>
      </c>
    </row>
    <row r="1421" spans="10:19" x14ac:dyDescent="0.15">
      <c r="J1421" s="38">
        <v>1412</v>
      </c>
      <c r="K1421" s="40"/>
      <c r="L1421" s="34">
        <f t="shared" si="179"/>
        <v>8.6322841390432169E-4</v>
      </c>
      <c r="M1421" s="35">
        <f t="shared" si="180"/>
        <v>-6.0360515634404935E-8</v>
      </c>
      <c r="N1421" s="44">
        <f t="shared" si="178"/>
        <v>-3.2274260802411456E-6</v>
      </c>
      <c r="O1421" s="45" t="e">
        <f t="shared" si="181"/>
        <v>#VALUE!</v>
      </c>
      <c r="P1421" s="52" t="str">
        <f t="shared" si="182"/>
        <v/>
      </c>
      <c r="Q1421" s="53" t="str">
        <f t="shared" si="183"/>
        <v/>
      </c>
      <c r="R1421" s="54" t="str">
        <f t="shared" si="184"/>
        <v/>
      </c>
      <c r="S1421" s="53" t="str">
        <f t="shared" si="185"/>
        <v/>
      </c>
    </row>
    <row r="1422" spans="10:19" x14ac:dyDescent="0.15">
      <c r="J1422" s="38">
        <v>1413</v>
      </c>
      <c r="K1422" s="40"/>
      <c r="L1422" s="34">
        <f t="shared" si="179"/>
        <v>8.6316796699709164E-4</v>
      </c>
      <c r="M1422" s="35">
        <f t="shared" si="180"/>
        <v>-6.053324343519973E-8</v>
      </c>
      <c r="N1422" s="44">
        <f t="shared" si="178"/>
        <v>-3.2356641165038474E-6</v>
      </c>
      <c r="O1422" s="45" t="e">
        <f t="shared" si="181"/>
        <v>#VALUE!</v>
      </c>
      <c r="P1422" s="52" t="str">
        <f t="shared" si="182"/>
        <v/>
      </c>
      <c r="Q1422" s="53" t="str">
        <f t="shared" si="183"/>
        <v/>
      </c>
      <c r="R1422" s="54" t="str">
        <f t="shared" si="184"/>
        <v/>
      </c>
      <c r="S1422" s="53" t="str">
        <f t="shared" si="185"/>
        <v/>
      </c>
    </row>
    <row r="1423" spans="10:19" x14ac:dyDescent="0.15">
      <c r="J1423" s="38">
        <v>1414</v>
      </c>
      <c r="K1423" s="40"/>
      <c r="L1423" s="34">
        <f t="shared" si="179"/>
        <v>8.6310734752809116E-4</v>
      </c>
      <c r="M1423" s="35">
        <f t="shared" si="180"/>
        <v>-6.0705639317026937E-8</v>
      </c>
      <c r="N1423" s="44">
        <f t="shared" si="178"/>
        <v>-3.2438865666473485E-6</v>
      </c>
      <c r="O1423" s="45" t="e">
        <f t="shared" si="181"/>
        <v>#VALUE!</v>
      </c>
      <c r="P1423" s="52" t="str">
        <f t="shared" si="182"/>
        <v/>
      </c>
      <c r="Q1423" s="53" t="str">
        <f t="shared" si="183"/>
        <v/>
      </c>
      <c r="R1423" s="54" t="str">
        <f t="shared" si="184"/>
        <v/>
      </c>
      <c r="S1423" s="53" t="str">
        <f t="shared" si="185"/>
        <v/>
      </c>
    </row>
    <row r="1424" spans="10:19" x14ac:dyDescent="0.15">
      <c r="J1424" s="38">
        <v>1415</v>
      </c>
      <c r="K1424" s="40"/>
      <c r="L1424" s="34">
        <f t="shared" si="179"/>
        <v>8.6304655582881366E-4</v>
      </c>
      <c r="M1424" s="35">
        <f t="shared" si="180"/>
        <v>-6.0877704129776217E-8</v>
      </c>
      <c r="N1424" s="44">
        <f t="shared" si="178"/>
        <v>-3.2520934699668217E-6</v>
      </c>
      <c r="O1424" s="45" t="e">
        <f t="shared" si="181"/>
        <v>#VALUE!</v>
      </c>
      <c r="P1424" s="52" t="str">
        <f t="shared" si="182"/>
        <v/>
      </c>
      <c r="Q1424" s="53" t="str">
        <f t="shared" si="183"/>
        <v/>
      </c>
      <c r="R1424" s="54" t="str">
        <f t="shared" si="184"/>
        <v/>
      </c>
      <c r="S1424" s="53" t="str">
        <f t="shared" si="185"/>
        <v/>
      </c>
    </row>
    <row r="1425" spans="10:19" x14ac:dyDescent="0.15">
      <c r="J1425" s="38">
        <v>1416</v>
      </c>
      <c r="K1425" s="40"/>
      <c r="L1425" s="34">
        <f t="shared" si="179"/>
        <v>8.6298559222990556E-4</v>
      </c>
      <c r="M1425" s="35">
        <f t="shared" si="180"/>
        <v>-6.10494387206187E-8</v>
      </c>
      <c r="N1425" s="44">
        <f t="shared" si="178"/>
        <v>-3.2602848656363348E-6</v>
      </c>
      <c r="O1425" s="45" t="e">
        <f t="shared" si="181"/>
        <v>#VALUE!</v>
      </c>
      <c r="P1425" s="52" t="str">
        <f t="shared" si="182"/>
        <v/>
      </c>
      <c r="Q1425" s="53" t="str">
        <f t="shared" si="183"/>
        <v/>
      </c>
      <c r="R1425" s="54" t="str">
        <f t="shared" si="184"/>
        <v/>
      </c>
      <c r="S1425" s="53" t="str">
        <f t="shared" si="185"/>
        <v/>
      </c>
    </row>
    <row r="1426" spans="10:19" x14ac:dyDescent="0.15">
      <c r="J1426" s="38">
        <v>1417</v>
      </c>
      <c r="K1426" s="40"/>
      <c r="L1426" s="34">
        <f t="shared" si="179"/>
        <v>8.6292445706116501E-4</v>
      </c>
      <c r="M1426" s="35">
        <f t="shared" si="180"/>
        <v>-6.1220843934017542E-8</v>
      </c>
      <c r="N1426" s="44">
        <f t="shared" si="178"/>
        <v>-3.2684607927040794E-6</v>
      </c>
      <c r="O1426" s="45" t="e">
        <f t="shared" si="181"/>
        <v>#VALUE!</v>
      </c>
      <c r="P1426" s="52" t="str">
        <f t="shared" si="182"/>
        <v/>
      </c>
      <c r="Q1426" s="53" t="str">
        <f t="shared" si="183"/>
        <v/>
      </c>
      <c r="R1426" s="54" t="str">
        <f t="shared" si="184"/>
        <v/>
      </c>
      <c r="S1426" s="53" t="str">
        <f t="shared" si="185"/>
        <v/>
      </c>
    </row>
    <row r="1427" spans="10:19" x14ac:dyDescent="0.15">
      <c r="J1427" s="38">
        <v>1418</v>
      </c>
      <c r="K1427" s="40"/>
      <c r="L1427" s="34">
        <f t="shared" si="179"/>
        <v>8.6286315065154924E-4</v>
      </c>
      <c r="M1427" s="35">
        <f t="shared" si="180"/>
        <v>-6.1391920611738112E-8</v>
      </c>
      <c r="N1427" s="44">
        <f t="shared" si="178"/>
        <v>-3.2766212900973589E-6</v>
      </c>
      <c r="O1427" s="45" t="e">
        <f t="shared" si="181"/>
        <v>#VALUE!</v>
      </c>
      <c r="P1427" s="52" t="str">
        <f t="shared" si="182"/>
        <v/>
      </c>
      <c r="Q1427" s="53" t="str">
        <f t="shared" si="183"/>
        <v/>
      </c>
      <c r="R1427" s="54" t="str">
        <f t="shared" si="184"/>
        <v/>
      </c>
      <c r="S1427" s="53" t="str">
        <f t="shared" si="185"/>
        <v/>
      </c>
    </row>
    <row r="1428" spans="10:19" x14ac:dyDescent="0.15">
      <c r="J1428" s="38">
        <v>1419</v>
      </c>
      <c r="K1428" s="40"/>
      <c r="L1428" s="34">
        <f t="shared" si="179"/>
        <v>8.6280167332917362E-4</v>
      </c>
      <c r="M1428" s="35">
        <f t="shared" si="180"/>
        <v>-6.1562669592858527E-8</v>
      </c>
      <c r="N1428" s="44">
        <f t="shared" si="178"/>
        <v>-3.2847663966197689E-6</v>
      </c>
      <c r="O1428" s="45" t="e">
        <f t="shared" si="181"/>
        <v>#VALUE!</v>
      </c>
      <c r="P1428" s="52" t="str">
        <f t="shared" si="182"/>
        <v/>
      </c>
      <c r="Q1428" s="53" t="str">
        <f t="shared" si="183"/>
        <v/>
      </c>
      <c r="R1428" s="54" t="str">
        <f t="shared" si="184"/>
        <v/>
      </c>
      <c r="S1428" s="53" t="str">
        <f t="shared" si="185"/>
        <v/>
      </c>
    </row>
    <row r="1429" spans="10:19" x14ac:dyDescent="0.15">
      <c r="J1429" s="38">
        <v>1420</v>
      </c>
      <c r="K1429" s="40"/>
      <c r="L1429" s="34">
        <f t="shared" si="179"/>
        <v>8.6274002542131682E-4</v>
      </c>
      <c r="M1429" s="35">
        <f t="shared" si="180"/>
        <v>-6.1733091713779855E-8</v>
      </c>
      <c r="N1429" s="44">
        <f t="shared" si="178"/>
        <v>-3.2928961509537998E-6</v>
      </c>
      <c r="O1429" s="45" t="e">
        <f t="shared" si="181"/>
        <v>#VALUE!</v>
      </c>
      <c r="P1429" s="52" t="str">
        <f t="shared" si="182"/>
        <v/>
      </c>
      <c r="Q1429" s="53" t="str">
        <f t="shared" si="183"/>
        <v/>
      </c>
      <c r="R1429" s="54" t="str">
        <f t="shared" si="184"/>
        <v/>
      </c>
      <c r="S1429" s="53" t="str">
        <f t="shared" si="185"/>
        <v/>
      </c>
    </row>
    <row r="1430" spans="10:19" x14ac:dyDescent="0.15">
      <c r="J1430" s="38">
        <v>1421</v>
      </c>
      <c r="K1430" s="40"/>
      <c r="L1430" s="34">
        <f t="shared" si="179"/>
        <v>8.6267820725442171E-4</v>
      </c>
      <c r="M1430" s="35">
        <f t="shared" si="180"/>
        <v>-6.1903187808236415E-8</v>
      </c>
      <c r="N1430" s="44">
        <f t="shared" si="178"/>
        <v>-3.3010105916601862E-6</v>
      </c>
      <c r="O1430" s="45" t="e">
        <f t="shared" si="181"/>
        <v>#VALUE!</v>
      </c>
      <c r="P1430" s="52" t="str">
        <f t="shared" si="182"/>
        <v/>
      </c>
      <c r="Q1430" s="53" t="str">
        <f t="shared" si="183"/>
        <v/>
      </c>
      <c r="R1430" s="54" t="str">
        <f t="shared" si="184"/>
        <v/>
      </c>
      <c r="S1430" s="53" t="str">
        <f t="shared" si="185"/>
        <v/>
      </c>
    </row>
    <row r="1431" spans="10:19" x14ac:dyDescent="0.15">
      <c r="J1431" s="38">
        <v>1422</v>
      </c>
      <c r="K1431" s="40"/>
      <c r="L1431" s="34">
        <f t="shared" si="179"/>
        <v>8.6261621915409881E-4</v>
      </c>
      <c r="M1431" s="35">
        <f t="shared" si="180"/>
        <v>-6.2072958707305832E-8</v>
      </c>
      <c r="N1431" s="44">
        <f t="shared" si="178"/>
        <v>-3.309109757178557E-6</v>
      </c>
      <c r="O1431" s="45" t="e">
        <f t="shared" si="181"/>
        <v>#VALUE!</v>
      </c>
      <c r="P1431" s="52" t="str">
        <f t="shared" si="182"/>
        <v/>
      </c>
      <c r="Q1431" s="53" t="str">
        <f t="shared" si="183"/>
        <v/>
      </c>
      <c r="R1431" s="54" t="str">
        <f t="shared" si="184"/>
        <v/>
      </c>
      <c r="S1431" s="53" t="str">
        <f t="shared" si="185"/>
        <v/>
      </c>
    </row>
    <row r="1432" spans="10:19" x14ac:dyDescent="0.15">
      <c r="J1432" s="38">
        <v>1423</v>
      </c>
      <c r="K1432" s="40"/>
      <c r="L1432" s="34">
        <f t="shared" si="179"/>
        <v>8.6255406144512944E-4</v>
      </c>
      <c r="M1432" s="35">
        <f t="shared" si="180"/>
        <v>-6.2242405239419285E-8</v>
      </c>
      <c r="N1432" s="44">
        <f t="shared" si="178"/>
        <v>-3.317193685828195E-6</v>
      </c>
      <c r="O1432" s="45" t="e">
        <f t="shared" si="181"/>
        <v>#VALUE!</v>
      </c>
      <c r="P1432" s="52" t="str">
        <f t="shared" si="182"/>
        <v/>
      </c>
      <c r="Q1432" s="53" t="str">
        <f t="shared" si="183"/>
        <v/>
      </c>
      <c r="R1432" s="54" t="str">
        <f t="shared" si="184"/>
        <v/>
      </c>
      <c r="S1432" s="53" t="str">
        <f t="shared" si="185"/>
        <v/>
      </c>
    </row>
    <row r="1433" spans="10:19" x14ac:dyDescent="0.15">
      <c r="J1433" s="38">
        <v>1424</v>
      </c>
      <c r="K1433" s="40"/>
      <c r="L1433" s="34">
        <f t="shared" si="179"/>
        <v>8.6249173445146694E-4</v>
      </c>
      <c r="M1433" s="35">
        <f t="shared" si="180"/>
        <v>-6.2411528230371692E-8</v>
      </c>
      <c r="N1433" s="44">
        <f t="shared" si="178"/>
        <v>-3.3252624158079279E-6</v>
      </c>
      <c r="O1433" s="45" t="e">
        <f t="shared" si="181"/>
        <v>#VALUE!</v>
      </c>
      <c r="P1433" s="52" t="str">
        <f t="shared" si="182"/>
        <v/>
      </c>
      <c r="Q1433" s="53" t="str">
        <f t="shared" si="183"/>
        <v/>
      </c>
      <c r="R1433" s="54" t="str">
        <f t="shared" si="184"/>
        <v/>
      </c>
      <c r="S1433" s="53" t="str">
        <f t="shared" si="185"/>
        <v/>
      </c>
    </row>
    <row r="1434" spans="10:19" x14ac:dyDescent="0.15">
      <c r="J1434" s="38">
        <v>1425</v>
      </c>
      <c r="K1434" s="40"/>
      <c r="L1434" s="34">
        <f t="shared" si="179"/>
        <v>8.6242923849624105E-4</v>
      </c>
      <c r="M1434" s="35">
        <f t="shared" si="180"/>
        <v>-6.2580328503331628E-8</v>
      </c>
      <c r="N1434" s="44">
        <f t="shared" si="178"/>
        <v>-3.3333159851974296E-6</v>
      </c>
      <c r="O1434" s="45" t="e">
        <f t="shared" si="181"/>
        <v>#VALUE!</v>
      </c>
      <c r="P1434" s="52" t="str">
        <f t="shared" si="182"/>
        <v/>
      </c>
      <c r="Q1434" s="53" t="str">
        <f t="shared" si="183"/>
        <v/>
      </c>
      <c r="R1434" s="54" t="str">
        <f t="shared" si="184"/>
        <v/>
      </c>
      <c r="S1434" s="53" t="str">
        <f t="shared" si="185"/>
        <v/>
      </c>
    </row>
    <row r="1435" spans="10:19" x14ac:dyDescent="0.15">
      <c r="J1435" s="38">
        <v>1426</v>
      </c>
      <c r="K1435" s="40"/>
      <c r="L1435" s="34">
        <f t="shared" si="179"/>
        <v>8.6236657390175949E-4</v>
      </c>
      <c r="M1435" s="35">
        <f t="shared" si="180"/>
        <v>-6.2748806878851448E-8</v>
      </c>
      <c r="N1435" s="44">
        <f t="shared" si="178"/>
        <v>-3.341354431957654E-6</v>
      </c>
      <c r="O1435" s="45" t="e">
        <f t="shared" si="181"/>
        <v>#VALUE!</v>
      </c>
      <c r="P1435" s="52" t="str">
        <f t="shared" si="182"/>
        <v/>
      </c>
      <c r="Q1435" s="53" t="str">
        <f t="shared" si="183"/>
        <v/>
      </c>
      <c r="R1435" s="54" t="str">
        <f t="shared" si="184"/>
        <v/>
      </c>
      <c r="S1435" s="53" t="str">
        <f t="shared" si="185"/>
        <v/>
      </c>
    </row>
    <row r="1436" spans="10:19" x14ac:dyDescent="0.15">
      <c r="J1436" s="38">
        <v>1427</v>
      </c>
      <c r="K1436" s="40"/>
      <c r="L1436" s="34">
        <f t="shared" si="179"/>
        <v>8.6230374098951012E-4</v>
      </c>
      <c r="M1436" s="35">
        <f t="shared" si="180"/>
        <v>-6.2916964174877134E-8</v>
      </c>
      <c r="N1436" s="44">
        <f t="shared" si="178"/>
        <v>-3.3493777939288833E-6</v>
      </c>
      <c r="O1436" s="45" t="e">
        <f t="shared" si="181"/>
        <v>#VALUE!</v>
      </c>
      <c r="P1436" s="52" t="str">
        <f t="shared" si="182"/>
        <v/>
      </c>
      <c r="Q1436" s="53" t="str">
        <f t="shared" si="183"/>
        <v/>
      </c>
      <c r="R1436" s="54" t="str">
        <f t="shared" si="184"/>
        <v/>
      </c>
      <c r="S1436" s="53" t="str">
        <f t="shared" si="185"/>
        <v/>
      </c>
    </row>
    <row r="1437" spans="10:19" x14ac:dyDescent="0.15">
      <c r="J1437" s="38">
        <v>1428</v>
      </c>
      <c r="K1437" s="40"/>
      <c r="L1437" s="34">
        <f t="shared" si="179"/>
        <v>8.6224074008016459E-4</v>
      </c>
      <c r="M1437" s="35">
        <f t="shared" si="180"/>
        <v>-6.3084801206758378E-8</v>
      </c>
      <c r="N1437" s="44">
        <f t="shared" si="178"/>
        <v>-3.3573861088350646E-6</v>
      </c>
      <c r="O1437" s="45" t="e">
        <f t="shared" si="181"/>
        <v>#VALUE!</v>
      </c>
      <c r="P1437" s="52" t="str">
        <f t="shared" si="182"/>
        <v/>
      </c>
      <c r="Q1437" s="53" t="str">
        <f t="shared" si="183"/>
        <v/>
      </c>
      <c r="R1437" s="54" t="str">
        <f t="shared" si="184"/>
        <v/>
      </c>
      <c r="S1437" s="53" t="str">
        <f t="shared" si="185"/>
        <v/>
      </c>
    </row>
    <row r="1438" spans="10:19" x14ac:dyDescent="0.15">
      <c r="J1438" s="38">
        <v>1429</v>
      </c>
      <c r="K1438" s="40"/>
      <c r="L1438" s="34">
        <f t="shared" si="179"/>
        <v>8.6217757149358021E-4</v>
      </c>
      <c r="M1438" s="35">
        <f t="shared" si="180"/>
        <v>-6.325231878725838E-8</v>
      </c>
      <c r="N1438" s="44">
        <f t="shared" si="178"/>
        <v>-3.3653794142813167E-6</v>
      </c>
      <c r="O1438" s="45" t="e">
        <f t="shared" si="181"/>
        <v>#VALUE!</v>
      </c>
      <c r="P1438" s="52" t="str">
        <f t="shared" si="182"/>
        <v/>
      </c>
      <c r="Q1438" s="53" t="str">
        <f t="shared" si="183"/>
        <v/>
      </c>
      <c r="R1438" s="54" t="str">
        <f t="shared" si="184"/>
        <v/>
      </c>
      <c r="S1438" s="53" t="str">
        <f t="shared" si="185"/>
        <v/>
      </c>
    </row>
    <row r="1439" spans="10:19" x14ac:dyDescent="0.15">
      <c r="J1439" s="38">
        <v>1430</v>
      </c>
      <c r="K1439" s="40"/>
      <c r="L1439" s="34">
        <f t="shared" si="179"/>
        <v>8.6211423554880364E-4</v>
      </c>
      <c r="M1439" s="35">
        <f t="shared" si="180"/>
        <v>-6.3419517726563557E-8</v>
      </c>
      <c r="N1439" s="44">
        <f t="shared" si="178"/>
        <v>-3.3733577477556643E-6</v>
      </c>
      <c r="O1439" s="45" t="e">
        <f t="shared" si="181"/>
        <v>#VALUE!</v>
      </c>
      <c r="P1439" s="52" t="str">
        <f t="shared" si="182"/>
        <v/>
      </c>
      <c r="Q1439" s="53" t="str">
        <f t="shared" si="183"/>
        <v/>
      </c>
      <c r="R1439" s="54" t="str">
        <f t="shared" si="184"/>
        <v/>
      </c>
      <c r="S1439" s="53" t="str">
        <f t="shared" si="185"/>
        <v/>
      </c>
    </row>
    <row r="1440" spans="10:19" x14ac:dyDescent="0.15">
      <c r="J1440" s="38">
        <v>1431</v>
      </c>
      <c r="K1440" s="40"/>
      <c r="L1440" s="34">
        <f t="shared" si="179"/>
        <v>8.6205073256407174E-4</v>
      </c>
      <c r="M1440" s="35">
        <f t="shared" si="180"/>
        <v>-6.3586398832293805E-8</v>
      </c>
      <c r="N1440" s="44">
        <f t="shared" si="178"/>
        <v>-3.3813211466291468E-6</v>
      </c>
      <c r="O1440" s="45" t="e">
        <f t="shared" si="181"/>
        <v>#VALUE!</v>
      </c>
      <c r="P1440" s="52" t="str">
        <f t="shared" si="182"/>
        <v/>
      </c>
      <c r="Q1440" s="53" t="str">
        <f t="shared" si="183"/>
        <v/>
      </c>
      <c r="R1440" s="54" t="str">
        <f t="shared" si="184"/>
        <v/>
      </c>
      <c r="S1440" s="53" t="str">
        <f t="shared" si="185"/>
        <v/>
      </c>
    </row>
    <row r="1441" spans="10:19" x14ac:dyDescent="0.15">
      <c r="J1441" s="38">
        <v>1432</v>
      </c>
      <c r="K1441" s="40"/>
      <c r="L1441" s="34">
        <f t="shared" si="179"/>
        <v>8.6198706285681517E-4</v>
      </c>
      <c r="M1441" s="35">
        <f t="shared" si="180"/>
        <v>-6.375296290951155E-8</v>
      </c>
      <c r="N1441" s="44">
        <f t="shared" si="178"/>
        <v>-3.3892696481562521E-6</v>
      </c>
      <c r="O1441" s="45" t="e">
        <f t="shared" si="181"/>
        <v>#VALUE!</v>
      </c>
      <c r="P1441" s="52" t="str">
        <f t="shared" si="182"/>
        <v/>
      </c>
      <c r="Q1441" s="53" t="str">
        <f t="shared" si="183"/>
        <v/>
      </c>
      <c r="R1441" s="54" t="str">
        <f t="shared" si="184"/>
        <v/>
      </c>
      <c r="S1441" s="53" t="str">
        <f t="shared" si="185"/>
        <v/>
      </c>
    </row>
    <row r="1442" spans="10:19" x14ac:dyDescent="0.15">
      <c r="J1442" s="38">
        <v>1433</v>
      </c>
      <c r="K1442" s="40"/>
      <c r="L1442" s="34">
        <f t="shared" si="179"/>
        <v>8.619232267436614E-4</v>
      </c>
      <c r="M1442" s="35">
        <f t="shared" si="180"/>
        <v>-6.3919210760732094E-8</v>
      </c>
      <c r="N1442" s="44">
        <f t="shared" si="178"/>
        <v>-3.3972032894753496E-6</v>
      </c>
      <c r="O1442" s="45" t="e">
        <f t="shared" si="181"/>
        <v>#VALUE!</v>
      </c>
      <c r="P1442" s="52" t="str">
        <f t="shared" si="182"/>
        <v/>
      </c>
      <c r="Q1442" s="53" t="str">
        <f t="shared" si="183"/>
        <v/>
      </c>
      <c r="R1442" s="54" t="str">
        <f t="shared" si="184"/>
        <v/>
      </c>
      <c r="S1442" s="53" t="str">
        <f t="shared" si="185"/>
        <v/>
      </c>
    </row>
    <row r="1443" spans="10:19" x14ac:dyDescent="0.15">
      <c r="J1443" s="38">
        <v>1434</v>
      </c>
      <c r="K1443" s="40"/>
      <c r="L1443" s="34">
        <f t="shared" si="179"/>
        <v>8.618592245404357E-4</v>
      </c>
      <c r="M1443" s="35">
        <f t="shared" si="180"/>
        <v>-6.4085143185932848E-8</v>
      </c>
      <c r="N1443" s="44">
        <f t="shared" si="178"/>
        <v>-3.4051221076084742E-6</v>
      </c>
      <c r="O1443" s="45" t="e">
        <f t="shared" si="181"/>
        <v>#VALUE!</v>
      </c>
      <c r="P1443" s="52" t="str">
        <f t="shared" si="182"/>
        <v/>
      </c>
      <c r="Q1443" s="53" t="str">
        <f t="shared" si="183"/>
        <v/>
      </c>
      <c r="R1443" s="54" t="str">
        <f t="shared" si="184"/>
        <v/>
      </c>
      <c r="S1443" s="53" t="str">
        <f t="shared" si="185"/>
        <v/>
      </c>
    </row>
    <row r="1444" spans="10:19" x14ac:dyDescent="0.15">
      <c r="J1444" s="38">
        <v>1435</v>
      </c>
      <c r="K1444" s="40"/>
      <c r="L1444" s="34">
        <f t="shared" si="179"/>
        <v>8.6179505656216559E-4</v>
      </c>
      <c r="M1444" s="35">
        <f t="shared" si="180"/>
        <v>-6.4250760982563248E-8</v>
      </c>
      <c r="N1444" s="44">
        <f t="shared" si="178"/>
        <v>-3.4130261394639278E-6</v>
      </c>
      <c r="O1444" s="45" t="e">
        <f t="shared" si="181"/>
        <v>#VALUE!</v>
      </c>
      <c r="P1444" s="52" t="str">
        <f t="shared" si="182"/>
        <v/>
      </c>
      <c r="Q1444" s="53" t="str">
        <f t="shared" si="183"/>
        <v/>
      </c>
      <c r="R1444" s="54" t="str">
        <f t="shared" si="184"/>
        <v/>
      </c>
      <c r="S1444" s="53" t="str">
        <f t="shared" si="185"/>
        <v/>
      </c>
    </row>
    <row r="1445" spans="10:19" x14ac:dyDescent="0.15">
      <c r="J1445" s="38">
        <v>1436</v>
      </c>
      <c r="K1445" s="40"/>
      <c r="L1445" s="34">
        <f t="shared" si="179"/>
        <v>8.617307231230816E-4</v>
      </c>
      <c r="M1445" s="35">
        <f t="shared" si="180"/>
        <v>-6.4416064945554267E-8</v>
      </c>
      <c r="N1445" s="44">
        <f t="shared" si="178"/>
        <v>-3.4209154218338943E-6</v>
      </c>
      <c r="O1445" s="45" t="e">
        <f t="shared" si="181"/>
        <v>#VALUE!</v>
      </c>
      <c r="P1445" s="52" t="str">
        <f t="shared" si="182"/>
        <v/>
      </c>
      <c r="Q1445" s="53" t="str">
        <f t="shared" si="183"/>
        <v/>
      </c>
      <c r="R1445" s="54" t="str">
        <f t="shared" si="184"/>
        <v/>
      </c>
      <c r="S1445" s="53" t="str">
        <f t="shared" si="185"/>
        <v/>
      </c>
    </row>
    <row r="1446" spans="10:19" x14ac:dyDescent="0.15">
      <c r="J1446" s="38">
        <v>1437</v>
      </c>
      <c r="K1446" s="40"/>
      <c r="L1446" s="34">
        <f t="shared" si="179"/>
        <v>8.6166622453662147E-4</v>
      </c>
      <c r="M1446" s="35">
        <f t="shared" si="180"/>
        <v>-6.4581055867327647E-8</v>
      </c>
      <c r="N1446" s="44">
        <f t="shared" si="178"/>
        <v>-3.4287899913968247E-6</v>
      </c>
      <c r="O1446" s="45" t="e">
        <f t="shared" si="181"/>
        <v>#VALUE!</v>
      </c>
      <c r="P1446" s="52" t="str">
        <f t="shared" si="182"/>
        <v/>
      </c>
      <c r="Q1446" s="53" t="str">
        <f t="shared" si="183"/>
        <v/>
      </c>
      <c r="R1446" s="54" t="str">
        <f t="shared" si="184"/>
        <v/>
      </c>
      <c r="S1446" s="53" t="str">
        <f t="shared" si="185"/>
        <v/>
      </c>
    </row>
    <row r="1447" spans="10:19" x14ac:dyDescent="0.15">
      <c r="J1447" s="38">
        <v>1438</v>
      </c>
      <c r="K1447" s="40"/>
      <c r="L1447" s="34">
        <f t="shared" si="179"/>
        <v>8.6160156111543085E-4</v>
      </c>
      <c r="M1447" s="35">
        <f t="shared" si="180"/>
        <v>-6.4745734537805958E-8</v>
      </c>
      <c r="N1447" s="44">
        <f t="shared" si="178"/>
        <v>-3.4366498847168952E-6</v>
      </c>
      <c r="O1447" s="45" t="e">
        <f t="shared" si="181"/>
        <v>#VALUE!</v>
      </c>
      <c r="P1447" s="52" t="str">
        <f t="shared" si="182"/>
        <v/>
      </c>
      <c r="Q1447" s="53" t="str">
        <f t="shared" si="183"/>
        <v/>
      </c>
      <c r="R1447" s="54" t="str">
        <f t="shared" si="184"/>
        <v/>
      </c>
      <c r="S1447" s="53" t="str">
        <f t="shared" si="185"/>
        <v/>
      </c>
    </row>
    <row r="1448" spans="10:19" x14ac:dyDescent="0.15">
      <c r="J1448" s="38">
        <v>1439</v>
      </c>
      <c r="K1448" s="40"/>
      <c r="L1448" s="34">
        <f t="shared" si="179"/>
        <v>8.6153673317136724E-4</v>
      </c>
      <c r="M1448" s="35">
        <f t="shared" si="180"/>
        <v>-6.4910101744421522E-8</v>
      </c>
      <c r="N1448" s="44">
        <f t="shared" si="178"/>
        <v>-3.4444951382446576E-6</v>
      </c>
      <c r="O1448" s="45" t="e">
        <f t="shared" si="181"/>
        <v>#VALUE!</v>
      </c>
      <c r="P1448" s="52" t="str">
        <f t="shared" si="182"/>
        <v/>
      </c>
      <c r="Q1448" s="53" t="str">
        <f t="shared" si="183"/>
        <v/>
      </c>
      <c r="R1448" s="54" t="str">
        <f t="shared" si="184"/>
        <v/>
      </c>
      <c r="S1448" s="53" t="str">
        <f t="shared" si="185"/>
        <v/>
      </c>
    </row>
    <row r="1449" spans="10:19" x14ac:dyDescent="0.15">
      <c r="J1449" s="38">
        <v>1440</v>
      </c>
      <c r="K1449" s="40"/>
      <c r="L1449" s="34">
        <f t="shared" si="179"/>
        <v>8.6147174101550161E-4</v>
      </c>
      <c r="M1449" s="35">
        <f t="shared" si="180"/>
        <v>-6.5074158272126138E-8</v>
      </c>
      <c r="N1449" s="44">
        <f t="shared" si="178"/>
        <v>-3.4523257883185571E-6</v>
      </c>
      <c r="O1449" s="45" t="e">
        <f t="shared" si="181"/>
        <v>#VALUE!</v>
      </c>
      <c r="P1449" s="52" t="str">
        <f t="shared" si="182"/>
        <v/>
      </c>
      <c r="Q1449" s="53" t="str">
        <f t="shared" si="183"/>
        <v/>
      </c>
      <c r="R1449" s="54" t="str">
        <f t="shared" si="184"/>
        <v/>
      </c>
      <c r="S1449" s="53" t="str">
        <f t="shared" si="185"/>
        <v/>
      </c>
    </row>
    <row r="1450" spans="10:19" x14ac:dyDescent="0.15">
      <c r="J1450" s="38">
        <v>1441</v>
      </c>
      <c r="K1450" s="40"/>
      <c r="L1450" s="34">
        <f t="shared" si="179"/>
        <v>8.6140658495812165E-4</v>
      </c>
      <c r="M1450" s="35">
        <f t="shared" si="180"/>
        <v>-6.5237904903400423E-8</v>
      </c>
      <c r="N1450" s="44">
        <f t="shared" si="178"/>
        <v>-3.4601418711627642E-6</v>
      </c>
      <c r="O1450" s="45" t="e">
        <f t="shared" si="181"/>
        <v>#VALUE!</v>
      </c>
      <c r="P1450" s="52" t="str">
        <f t="shared" si="182"/>
        <v/>
      </c>
      <c r="Q1450" s="53" t="str">
        <f t="shared" si="183"/>
        <v/>
      </c>
      <c r="R1450" s="54" t="str">
        <f t="shared" si="184"/>
        <v/>
      </c>
      <c r="S1450" s="53" t="str">
        <f t="shared" si="185"/>
        <v/>
      </c>
    </row>
    <row r="1451" spans="10:19" x14ac:dyDescent="0.15">
      <c r="J1451" s="38">
        <v>1442</v>
      </c>
      <c r="K1451" s="40"/>
      <c r="L1451" s="34">
        <f t="shared" si="179"/>
        <v>8.613412653087337E-4</v>
      </c>
      <c r="M1451" s="35">
        <f t="shared" si="180"/>
        <v>-6.5401342418262991E-8</v>
      </c>
      <c r="N1451" s="44">
        <f t="shared" si="178"/>
        <v>-3.4679434228902101E-6</v>
      </c>
      <c r="O1451" s="45" t="e">
        <f t="shared" si="181"/>
        <v>#VALUE!</v>
      </c>
      <c r="P1451" s="52" t="str">
        <f t="shared" si="182"/>
        <v/>
      </c>
      <c r="Q1451" s="53" t="str">
        <f t="shared" si="183"/>
        <v/>
      </c>
      <c r="R1451" s="54" t="str">
        <f t="shared" si="184"/>
        <v/>
      </c>
      <c r="S1451" s="53" t="str">
        <f t="shared" si="185"/>
        <v/>
      </c>
    </row>
    <row r="1452" spans="10:19" x14ac:dyDescent="0.15">
      <c r="J1452" s="38">
        <v>1443</v>
      </c>
      <c r="K1452" s="40"/>
      <c r="L1452" s="34">
        <f t="shared" si="179"/>
        <v>8.6127578237606465E-4</v>
      </c>
      <c r="M1452" s="35">
        <f t="shared" si="180"/>
        <v>-6.5564471594279856E-8</v>
      </c>
      <c r="N1452" s="44">
        <f t="shared" si="178"/>
        <v>-3.4757304795018278E-6</v>
      </c>
      <c r="O1452" s="45" t="e">
        <f t="shared" si="181"/>
        <v>#VALUE!</v>
      </c>
      <c r="P1452" s="52" t="str">
        <f t="shared" si="182"/>
        <v/>
      </c>
      <c r="Q1452" s="53" t="str">
        <f t="shared" si="183"/>
        <v/>
      </c>
      <c r="R1452" s="54" t="str">
        <f t="shared" si="184"/>
        <v/>
      </c>
      <c r="S1452" s="53" t="str">
        <f t="shared" si="185"/>
        <v/>
      </c>
    </row>
    <row r="1453" spans="10:19" x14ac:dyDescent="0.15">
      <c r="J1453" s="38">
        <v>1444</v>
      </c>
      <c r="K1453" s="40"/>
      <c r="L1453" s="34">
        <f t="shared" si="179"/>
        <v>8.6121013646806607E-4</v>
      </c>
      <c r="M1453" s="35">
        <f t="shared" si="180"/>
        <v>-6.5727293206573701E-8</v>
      </c>
      <c r="N1453" s="44">
        <f t="shared" si="178"/>
        <v>-3.4835030768868777E-6</v>
      </c>
      <c r="O1453" s="45" t="e">
        <f t="shared" si="181"/>
        <v>#VALUE!</v>
      </c>
      <c r="P1453" s="52" t="str">
        <f t="shared" si="182"/>
        <v/>
      </c>
      <c r="Q1453" s="53" t="str">
        <f t="shared" si="183"/>
        <v/>
      </c>
      <c r="R1453" s="54" t="str">
        <f t="shared" si="184"/>
        <v/>
      </c>
      <c r="S1453" s="53" t="str">
        <f t="shared" si="185"/>
        <v/>
      </c>
    </row>
    <row r="1454" spans="10:19" x14ac:dyDescent="0.15">
      <c r="J1454" s="38">
        <v>1445</v>
      </c>
      <c r="K1454" s="40"/>
      <c r="L1454" s="34">
        <f t="shared" si="179"/>
        <v>8.6114432789191511E-4</v>
      </c>
      <c r="M1454" s="35">
        <f t="shared" si="180"/>
        <v>-6.5889808027832981E-8</v>
      </c>
      <c r="N1454" s="44">
        <f t="shared" si="178"/>
        <v>-3.4912612508247905E-6</v>
      </c>
      <c r="O1454" s="45" t="e">
        <f t="shared" si="181"/>
        <v>#VALUE!</v>
      </c>
      <c r="P1454" s="52" t="str">
        <f t="shared" si="182"/>
        <v/>
      </c>
      <c r="Q1454" s="53" t="str">
        <f t="shared" si="183"/>
        <v/>
      </c>
      <c r="R1454" s="54" t="str">
        <f t="shared" si="184"/>
        <v/>
      </c>
      <c r="S1454" s="53" t="str">
        <f t="shared" si="185"/>
        <v/>
      </c>
    </row>
    <row r="1455" spans="10:19" x14ac:dyDescent="0.15">
      <c r="J1455" s="38">
        <v>1446</v>
      </c>
      <c r="K1455" s="40"/>
      <c r="L1455" s="34">
        <f t="shared" si="179"/>
        <v>8.6107835695401749E-4</v>
      </c>
      <c r="M1455" s="35">
        <f t="shared" si="180"/>
        <v>-6.6052016828321242E-8</v>
      </c>
      <c r="N1455" s="44">
        <f t="shared" si="178"/>
        <v>-3.4990050369823481E-6</v>
      </c>
      <c r="O1455" s="45" t="e">
        <f t="shared" si="181"/>
        <v>#VALUE!</v>
      </c>
      <c r="P1455" s="52" t="str">
        <f t="shared" si="182"/>
        <v/>
      </c>
      <c r="Q1455" s="53" t="str">
        <f t="shared" si="183"/>
        <v/>
      </c>
      <c r="R1455" s="54" t="str">
        <f t="shared" si="184"/>
        <v/>
      </c>
      <c r="S1455" s="53" t="str">
        <f t="shared" si="185"/>
        <v/>
      </c>
    </row>
    <row r="1456" spans="10:19" x14ac:dyDescent="0.15">
      <c r="J1456" s="38">
        <v>1447</v>
      </c>
      <c r="K1456" s="40"/>
      <c r="L1456" s="34">
        <f t="shared" si="179"/>
        <v>8.6101222396000958E-4</v>
      </c>
      <c r="M1456" s="35">
        <f t="shared" si="180"/>
        <v>-6.6213920375886038E-8</v>
      </c>
      <c r="N1456" s="44">
        <f t="shared" si="178"/>
        <v>-3.5067344709173703E-6</v>
      </c>
      <c r="O1456" s="45" t="e">
        <f t="shared" si="181"/>
        <v>#VALUE!</v>
      </c>
      <c r="P1456" s="52" t="str">
        <f t="shared" si="182"/>
        <v/>
      </c>
      <c r="Q1456" s="53" t="str">
        <f t="shared" si="183"/>
        <v/>
      </c>
      <c r="R1456" s="54" t="str">
        <f t="shared" si="184"/>
        <v/>
      </c>
      <c r="S1456" s="53" t="str">
        <f t="shared" si="185"/>
        <v/>
      </c>
    </row>
    <row r="1457" spans="10:19" x14ac:dyDescent="0.15">
      <c r="J1457" s="38">
        <v>1448</v>
      </c>
      <c r="K1457" s="40"/>
      <c r="L1457" s="34">
        <f t="shared" si="179"/>
        <v>8.6094592921476146E-4</v>
      </c>
      <c r="M1457" s="35">
        <f t="shared" si="180"/>
        <v>-6.6375519435968282E-8</v>
      </c>
      <c r="N1457" s="44">
        <f t="shared" si="178"/>
        <v>-3.5144495880779555E-6</v>
      </c>
      <c r="O1457" s="45" t="e">
        <f t="shared" si="181"/>
        <v>#VALUE!</v>
      </c>
      <c r="P1457" s="52" t="str">
        <f t="shared" si="182"/>
        <v/>
      </c>
      <c r="Q1457" s="53" t="str">
        <f t="shared" si="183"/>
        <v/>
      </c>
      <c r="R1457" s="54" t="str">
        <f t="shared" si="184"/>
        <v/>
      </c>
      <c r="S1457" s="53" t="str">
        <f t="shared" si="185"/>
        <v/>
      </c>
    </row>
    <row r="1458" spans="10:19" x14ac:dyDescent="0.15">
      <c r="J1458" s="38">
        <v>1449</v>
      </c>
      <c r="K1458" s="40"/>
      <c r="L1458" s="34">
        <f t="shared" si="179"/>
        <v>8.6087947302237924E-4</v>
      </c>
      <c r="M1458" s="35">
        <f t="shared" si="180"/>
        <v>-6.6536814771611091E-8</v>
      </c>
      <c r="N1458" s="44">
        <f t="shared" si="178"/>
        <v>-3.5221504238023725E-6</v>
      </c>
      <c r="O1458" s="45" t="e">
        <f t="shared" si="181"/>
        <v>#VALUE!</v>
      </c>
      <c r="P1458" s="52" t="str">
        <f t="shared" si="182"/>
        <v/>
      </c>
      <c r="Q1458" s="53" t="str">
        <f t="shared" si="183"/>
        <v/>
      </c>
      <c r="R1458" s="54" t="str">
        <f t="shared" si="184"/>
        <v/>
      </c>
      <c r="S1458" s="53" t="str">
        <f t="shared" si="185"/>
        <v/>
      </c>
    </row>
    <row r="1459" spans="10:19" x14ac:dyDescent="0.15">
      <c r="J1459" s="38">
        <v>1450</v>
      </c>
      <c r="K1459" s="40"/>
      <c r="L1459" s="34">
        <f t="shared" si="179"/>
        <v>8.60812855686206E-4</v>
      </c>
      <c r="M1459" s="35">
        <f t="shared" si="180"/>
        <v>-6.6697807143468807E-8</v>
      </c>
      <c r="N1459" s="44">
        <f t="shared" si="178"/>
        <v>-3.5298370133198193E-6</v>
      </c>
      <c r="O1459" s="45" t="e">
        <f t="shared" si="181"/>
        <v>#VALUE!</v>
      </c>
      <c r="P1459" s="52" t="str">
        <f t="shared" si="182"/>
        <v/>
      </c>
      <c r="Q1459" s="53" t="str">
        <f t="shared" si="183"/>
        <v/>
      </c>
      <c r="R1459" s="54" t="str">
        <f t="shared" si="184"/>
        <v/>
      </c>
      <c r="S1459" s="53" t="str">
        <f t="shared" si="185"/>
        <v/>
      </c>
    </row>
    <row r="1460" spans="10:19" x14ac:dyDescent="0.15">
      <c r="J1460" s="38">
        <v>1451</v>
      </c>
      <c r="K1460" s="40"/>
      <c r="L1460" s="34">
        <f t="shared" si="179"/>
        <v>8.6074607750882717E-4</v>
      </c>
      <c r="M1460" s="35">
        <f t="shared" si="180"/>
        <v>-6.685849730981603E-8</v>
      </c>
      <c r="N1460" s="44">
        <f t="shared" si="178"/>
        <v>-3.5375093917521579E-6</v>
      </c>
      <c r="O1460" s="45" t="e">
        <f t="shared" si="181"/>
        <v>#VALUE!</v>
      </c>
      <c r="P1460" s="52" t="str">
        <f t="shared" si="182"/>
        <v/>
      </c>
      <c r="Q1460" s="53" t="str">
        <f t="shared" si="183"/>
        <v/>
      </c>
      <c r="R1460" s="54" t="str">
        <f t="shared" si="184"/>
        <v/>
      </c>
      <c r="S1460" s="53" t="str">
        <f t="shared" si="185"/>
        <v/>
      </c>
    </row>
    <row r="1461" spans="10:19" x14ac:dyDescent="0.15">
      <c r="J1461" s="38">
        <v>1452</v>
      </c>
      <c r="K1461" s="40"/>
      <c r="L1461" s="34">
        <f t="shared" si="179"/>
        <v>8.6067913879206968E-4</v>
      </c>
      <c r="M1461" s="35">
        <f t="shared" si="180"/>
        <v>-6.7018886026556636E-8</v>
      </c>
      <c r="N1461" s="44">
        <f t="shared" si="178"/>
        <v>-3.5451675941113123E-6</v>
      </c>
      <c r="O1461" s="45" t="e">
        <f t="shared" si="181"/>
        <v>#VALUE!</v>
      </c>
      <c r="P1461" s="52" t="str">
        <f t="shared" si="182"/>
        <v/>
      </c>
      <c r="Q1461" s="53" t="str">
        <f t="shared" si="183"/>
        <v/>
      </c>
      <c r="R1461" s="54" t="str">
        <f t="shared" si="184"/>
        <v/>
      </c>
      <c r="S1461" s="53" t="str">
        <f t="shared" si="185"/>
        <v/>
      </c>
    </row>
    <row r="1462" spans="10:19" x14ac:dyDescent="0.15">
      <c r="J1462" s="38">
        <v>1453</v>
      </c>
      <c r="K1462" s="40"/>
      <c r="L1462" s="34">
        <f t="shared" si="179"/>
        <v>8.6061203983700606E-4</v>
      </c>
      <c r="M1462" s="35">
        <f t="shared" si="180"/>
        <v>-6.7178974047232338E-8</v>
      </c>
      <c r="N1462" s="44">
        <f t="shared" si="178"/>
        <v>-3.5528116553024125E-6</v>
      </c>
      <c r="O1462" s="45" t="e">
        <f t="shared" si="181"/>
        <v>#VALUE!</v>
      </c>
      <c r="P1462" s="52" t="str">
        <f t="shared" si="182"/>
        <v/>
      </c>
      <c r="Q1462" s="53" t="str">
        <f t="shared" si="183"/>
        <v/>
      </c>
      <c r="R1462" s="54" t="str">
        <f t="shared" si="184"/>
        <v/>
      </c>
      <c r="S1462" s="53" t="str">
        <f t="shared" si="185"/>
        <v/>
      </c>
    </row>
    <row r="1463" spans="10:19" x14ac:dyDescent="0.15">
      <c r="J1463" s="38">
        <v>1454</v>
      </c>
      <c r="K1463" s="40"/>
      <c r="L1463" s="34">
        <f t="shared" si="179"/>
        <v>8.6054478094395672E-4</v>
      </c>
      <c r="M1463" s="35">
        <f t="shared" si="180"/>
        <v>-6.7338762123032054E-8</v>
      </c>
      <c r="N1463" s="44">
        <f t="shared" si="178"/>
        <v>-3.5604416101235777E-6</v>
      </c>
      <c r="O1463" s="45" t="e">
        <f t="shared" si="181"/>
        <v>#VALUE!</v>
      </c>
      <c r="P1463" s="52" t="str">
        <f t="shared" si="182"/>
        <v/>
      </c>
      <c r="Q1463" s="53" t="str">
        <f t="shared" si="183"/>
        <v/>
      </c>
      <c r="R1463" s="54" t="str">
        <f t="shared" si="184"/>
        <v/>
      </c>
      <c r="S1463" s="53" t="str">
        <f t="shared" si="185"/>
        <v/>
      </c>
    </row>
    <row r="1464" spans="10:19" x14ac:dyDescent="0.15">
      <c r="J1464" s="38">
        <v>1455</v>
      </c>
      <c r="K1464" s="40"/>
      <c r="L1464" s="34">
        <f t="shared" si="179"/>
        <v>8.6047736241249195E-4</v>
      </c>
      <c r="M1464" s="35">
        <f t="shared" si="180"/>
        <v>-6.7498251002800103E-8</v>
      </c>
      <c r="N1464" s="44">
        <f t="shared" si="178"/>
        <v>-3.5680574932648321E-6</v>
      </c>
      <c r="O1464" s="45" t="e">
        <f t="shared" si="181"/>
        <v>#VALUE!</v>
      </c>
      <c r="P1464" s="52" t="str">
        <f t="shared" si="182"/>
        <v/>
      </c>
      <c r="Q1464" s="53" t="str">
        <f t="shared" si="183"/>
        <v/>
      </c>
      <c r="R1464" s="54" t="str">
        <f t="shared" si="184"/>
        <v/>
      </c>
      <c r="S1464" s="53" t="str">
        <f t="shared" si="185"/>
        <v/>
      </c>
    </row>
    <row r="1465" spans="10:19" x14ac:dyDescent="0.15">
      <c r="J1465" s="38">
        <v>1456</v>
      </c>
      <c r="K1465" s="40"/>
      <c r="L1465" s="34">
        <f t="shared" si="179"/>
        <v>8.6040978454143455E-4</v>
      </c>
      <c r="M1465" s="35">
        <f t="shared" si="180"/>
        <v>-6.7657441433045601E-8</v>
      </c>
      <c r="N1465" s="44">
        <f t="shared" si="178"/>
        <v>-3.5756593393105988E-6</v>
      </c>
      <c r="O1465" s="45" t="e">
        <f t="shared" si="181"/>
        <v>#VALUE!</v>
      </c>
      <c r="P1465" s="52" t="str">
        <f t="shared" si="182"/>
        <v/>
      </c>
      <c r="Q1465" s="53" t="str">
        <f t="shared" si="183"/>
        <v/>
      </c>
      <c r="R1465" s="54" t="str">
        <f t="shared" si="184"/>
        <v/>
      </c>
      <c r="S1465" s="53" t="str">
        <f t="shared" si="185"/>
        <v/>
      </c>
    </row>
    <row r="1466" spans="10:19" x14ac:dyDescent="0.15">
      <c r="J1466" s="38">
        <v>1457</v>
      </c>
      <c r="K1466" s="40"/>
      <c r="L1466" s="34">
        <f t="shared" si="179"/>
        <v>8.6034204762886087E-4</v>
      </c>
      <c r="M1466" s="35">
        <f t="shared" si="180"/>
        <v>-6.7816334157950665E-8</v>
      </c>
      <c r="N1466" s="44">
        <f t="shared" si="178"/>
        <v>-3.5832471827380733E-6</v>
      </c>
      <c r="O1466" s="45" t="e">
        <f t="shared" si="181"/>
        <v>#VALUE!</v>
      </c>
      <c r="P1466" s="52" t="str">
        <f t="shared" si="182"/>
        <v/>
      </c>
      <c r="Q1466" s="53" t="str">
        <f t="shared" si="183"/>
        <v/>
      </c>
      <c r="R1466" s="54" t="str">
        <f t="shared" si="184"/>
        <v/>
      </c>
      <c r="S1466" s="53" t="str">
        <f t="shared" si="185"/>
        <v/>
      </c>
    </row>
    <row r="1467" spans="10:19" x14ac:dyDescent="0.15">
      <c r="J1467" s="38">
        <v>1458</v>
      </c>
      <c r="K1467" s="40"/>
      <c r="L1467" s="34">
        <f t="shared" si="179"/>
        <v>8.602741519721063E-4</v>
      </c>
      <c r="M1467" s="35">
        <f t="shared" si="180"/>
        <v>-6.7974929919379426E-8</v>
      </c>
      <c r="N1467" s="44">
        <f t="shared" si="178"/>
        <v>-3.5908210579203674E-6</v>
      </c>
      <c r="O1467" s="45" t="e">
        <f t="shared" si="181"/>
        <v>#VALUE!</v>
      </c>
      <c r="P1467" s="52" t="str">
        <f t="shared" si="182"/>
        <v/>
      </c>
      <c r="Q1467" s="53" t="str">
        <f t="shared" si="183"/>
        <v/>
      </c>
      <c r="R1467" s="54" t="str">
        <f t="shared" si="184"/>
        <v/>
      </c>
      <c r="S1467" s="53" t="str">
        <f t="shared" si="185"/>
        <v/>
      </c>
    </row>
    <row r="1468" spans="10:19" x14ac:dyDescent="0.15">
      <c r="J1468" s="38">
        <v>1459</v>
      </c>
      <c r="K1468" s="40"/>
      <c r="L1468" s="34">
        <f t="shared" si="179"/>
        <v>8.6020609786776367E-4</v>
      </c>
      <c r="M1468" s="35">
        <f t="shared" si="180"/>
        <v>-6.8133229456886636E-8</v>
      </c>
      <c r="N1468" s="44">
        <f t="shared" si="178"/>
        <v>-3.5983809991235825E-6</v>
      </c>
      <c r="O1468" s="45" t="e">
        <f t="shared" si="181"/>
        <v>#VALUE!</v>
      </c>
      <c r="P1468" s="52" t="str">
        <f t="shared" si="182"/>
        <v/>
      </c>
      <c r="Q1468" s="53" t="str">
        <f t="shared" si="183"/>
        <v/>
      </c>
      <c r="R1468" s="54" t="str">
        <f t="shared" si="184"/>
        <v/>
      </c>
      <c r="S1468" s="53" t="str">
        <f t="shared" si="185"/>
        <v/>
      </c>
    </row>
    <row r="1469" spans="10:19" x14ac:dyDescent="0.15">
      <c r="J1469" s="38">
        <v>1460</v>
      </c>
      <c r="K1469" s="40"/>
      <c r="L1469" s="34">
        <f t="shared" si="179"/>
        <v>8.6013788561168812E-4</v>
      </c>
      <c r="M1469" s="35">
        <f t="shared" si="180"/>
        <v>-6.8291233507726223E-8</v>
      </c>
      <c r="N1469" s="44">
        <f t="shared" si="178"/>
        <v>-3.6059270405091942E-6</v>
      </c>
      <c r="O1469" s="45" t="e">
        <f t="shared" si="181"/>
        <v>#VALUE!</v>
      </c>
      <c r="P1469" s="52" t="str">
        <f t="shared" si="182"/>
        <v/>
      </c>
      <c r="Q1469" s="53" t="str">
        <f t="shared" si="183"/>
        <v/>
      </c>
      <c r="R1469" s="54" t="str">
        <f t="shared" si="184"/>
        <v/>
      </c>
      <c r="S1469" s="53" t="str">
        <f t="shared" si="185"/>
        <v/>
      </c>
    </row>
    <row r="1470" spans="10:19" x14ac:dyDescent="0.15">
      <c r="J1470" s="38">
        <v>1461</v>
      </c>
      <c r="K1470" s="40"/>
      <c r="L1470" s="34">
        <f t="shared" si="179"/>
        <v>8.6006951549899872E-4</v>
      </c>
      <c r="M1470" s="35">
        <f t="shared" si="180"/>
        <v>-6.8448942806859876E-8</v>
      </c>
      <c r="N1470" s="44">
        <f t="shared" si="178"/>
        <v>-3.6134592161344865E-6</v>
      </c>
      <c r="O1470" s="45" t="e">
        <f t="shared" si="181"/>
        <v>#VALUE!</v>
      </c>
      <c r="P1470" s="52" t="str">
        <f t="shared" si="182"/>
        <v/>
      </c>
      <c r="Q1470" s="53" t="str">
        <f t="shared" si="183"/>
        <v/>
      </c>
      <c r="R1470" s="54" t="str">
        <f t="shared" si="184"/>
        <v/>
      </c>
      <c r="S1470" s="53" t="str">
        <f t="shared" si="185"/>
        <v/>
      </c>
    </row>
    <row r="1471" spans="10:19" x14ac:dyDescent="0.15">
      <c r="J1471" s="38">
        <v>1462</v>
      </c>
      <c r="K1471" s="40"/>
      <c r="L1471" s="34">
        <f t="shared" si="179"/>
        <v>8.6000098782408054E-4</v>
      </c>
      <c r="M1471" s="35">
        <f t="shared" si="180"/>
        <v>-6.8606358086965667E-8</v>
      </c>
      <c r="N1471" s="44">
        <f t="shared" si="178"/>
        <v>-3.620977559951684E-6</v>
      </c>
      <c r="O1471" s="45" t="e">
        <f t="shared" si="181"/>
        <v>#VALUE!</v>
      </c>
      <c r="P1471" s="52" t="str">
        <f t="shared" si="182"/>
        <v/>
      </c>
      <c r="Q1471" s="53" t="str">
        <f t="shared" si="183"/>
        <v/>
      </c>
      <c r="R1471" s="54" t="str">
        <f t="shared" si="184"/>
        <v/>
      </c>
      <c r="S1471" s="53" t="str">
        <f t="shared" si="185"/>
        <v/>
      </c>
    </row>
    <row r="1472" spans="10:19" x14ac:dyDescent="0.15">
      <c r="J1472" s="38">
        <v>1463</v>
      </c>
      <c r="K1472" s="40"/>
      <c r="L1472" s="34">
        <f t="shared" si="179"/>
        <v>8.5993230288058779E-4</v>
      </c>
      <c r="M1472" s="35">
        <f t="shared" si="180"/>
        <v>-6.8763480078446487E-8</v>
      </c>
      <c r="N1472" s="44">
        <f t="shared" si="178"/>
        <v>-3.6284821058105545E-6</v>
      </c>
      <c r="O1472" s="45" t="e">
        <f t="shared" si="181"/>
        <v>#VALUE!</v>
      </c>
      <c r="P1472" s="52" t="str">
        <f t="shared" si="182"/>
        <v/>
      </c>
      <c r="Q1472" s="53" t="str">
        <f t="shared" si="183"/>
        <v/>
      </c>
      <c r="R1472" s="54" t="str">
        <f t="shared" si="184"/>
        <v/>
      </c>
      <c r="S1472" s="53" t="str">
        <f t="shared" si="185"/>
        <v/>
      </c>
    </row>
    <row r="1473" spans="10:19" x14ac:dyDescent="0.15">
      <c r="J1473" s="38">
        <v>1464</v>
      </c>
      <c r="K1473" s="40"/>
      <c r="L1473" s="34">
        <f t="shared" si="179"/>
        <v>8.5986346096144381E-4</v>
      </c>
      <c r="M1473" s="35">
        <f t="shared" si="180"/>
        <v>-6.8920309509438616E-8</v>
      </c>
      <c r="N1473" s="44">
        <f t="shared" si="178"/>
        <v>-3.6359728874558062E-6</v>
      </c>
      <c r="O1473" s="45" t="e">
        <f t="shared" si="181"/>
        <v>#VALUE!</v>
      </c>
      <c r="P1473" s="52" t="str">
        <f t="shared" si="182"/>
        <v/>
      </c>
      <c r="Q1473" s="53" t="str">
        <f t="shared" si="183"/>
        <v/>
      </c>
      <c r="R1473" s="54" t="str">
        <f t="shared" si="184"/>
        <v/>
      </c>
      <c r="S1473" s="53" t="str">
        <f t="shared" si="185"/>
        <v/>
      </c>
    </row>
    <row r="1474" spans="10:19" x14ac:dyDescent="0.15">
      <c r="J1474" s="38">
        <v>1465</v>
      </c>
      <c r="K1474" s="40"/>
      <c r="L1474" s="34">
        <f t="shared" si="179"/>
        <v>8.5979446235884683E-4</v>
      </c>
      <c r="M1474" s="35">
        <f t="shared" si="180"/>
        <v>-6.9076847105819963E-8</v>
      </c>
      <c r="N1474" s="44">
        <f t="shared" si="178"/>
        <v>-3.6434499385296906E-6</v>
      </c>
      <c r="O1474" s="45" t="e">
        <f t="shared" si="181"/>
        <v>#VALUE!</v>
      </c>
      <c r="P1474" s="52" t="str">
        <f t="shared" si="182"/>
        <v/>
      </c>
      <c r="Q1474" s="53" t="str">
        <f t="shared" si="183"/>
        <v/>
      </c>
      <c r="R1474" s="54" t="str">
        <f t="shared" si="184"/>
        <v/>
      </c>
      <c r="S1474" s="53" t="str">
        <f t="shared" si="185"/>
        <v/>
      </c>
    </row>
    <row r="1475" spans="10:19" x14ac:dyDescent="0.15">
      <c r="J1475" s="38">
        <v>1466</v>
      </c>
      <c r="K1475" s="40"/>
      <c r="L1475" s="34">
        <f t="shared" si="179"/>
        <v>8.5972530736426922E-4</v>
      </c>
      <c r="M1475" s="35">
        <f t="shared" si="180"/>
        <v>-6.9233093591218742E-8</v>
      </c>
      <c r="N1475" s="44">
        <f t="shared" si="178"/>
        <v>-3.6509132925724355E-6</v>
      </c>
      <c r="O1475" s="45" t="e">
        <f t="shared" si="181"/>
        <v>#VALUE!</v>
      </c>
      <c r="P1475" s="52" t="str">
        <f t="shared" si="182"/>
        <v/>
      </c>
      <c r="Q1475" s="53" t="str">
        <f t="shared" si="183"/>
        <v/>
      </c>
      <c r="R1475" s="54" t="str">
        <f t="shared" si="184"/>
        <v/>
      </c>
      <c r="S1475" s="53" t="str">
        <f t="shared" si="185"/>
        <v/>
      </c>
    </row>
    <row r="1476" spans="10:19" x14ac:dyDescent="0.15">
      <c r="J1476" s="38">
        <v>1467</v>
      </c>
      <c r="K1476" s="40"/>
      <c r="L1476" s="34">
        <f t="shared" si="179"/>
        <v>8.5965599626846093E-4</v>
      </c>
      <c r="M1476" s="35">
        <f t="shared" si="180"/>
        <v>-6.9389049687021587E-8</v>
      </c>
      <c r="N1476" s="44">
        <f t="shared" si="178"/>
        <v>-3.6583629830202937E-6</v>
      </c>
      <c r="O1476" s="45" t="e">
        <f t="shared" si="181"/>
        <v>#VALUE!</v>
      </c>
      <c r="P1476" s="52" t="str">
        <f t="shared" si="182"/>
        <v/>
      </c>
      <c r="Q1476" s="53" t="str">
        <f t="shared" si="183"/>
        <v/>
      </c>
      <c r="R1476" s="54" t="str">
        <f t="shared" si="184"/>
        <v/>
      </c>
      <c r="S1476" s="53" t="str">
        <f t="shared" si="185"/>
        <v/>
      </c>
    </row>
    <row r="1477" spans="10:19" x14ac:dyDescent="0.15">
      <c r="J1477" s="38">
        <v>1468</v>
      </c>
      <c r="K1477" s="40"/>
      <c r="L1477" s="34">
        <f t="shared" si="179"/>
        <v>8.5958652936145188E-4</v>
      </c>
      <c r="M1477" s="35">
        <f t="shared" si="180"/>
        <v>-6.954471611238197E-8</v>
      </c>
      <c r="N1477" s="44">
        <f t="shared" si="178"/>
        <v>-3.6657990432090127E-6</v>
      </c>
      <c r="O1477" s="45" t="e">
        <f t="shared" si="181"/>
        <v>#VALUE!</v>
      </c>
      <c r="P1477" s="52" t="str">
        <f t="shared" si="182"/>
        <v/>
      </c>
      <c r="Q1477" s="53" t="str">
        <f t="shared" si="183"/>
        <v/>
      </c>
      <c r="R1477" s="54" t="str">
        <f t="shared" si="184"/>
        <v/>
      </c>
      <c r="S1477" s="53" t="str">
        <f t="shared" si="185"/>
        <v/>
      </c>
    </row>
    <row r="1478" spans="10:19" x14ac:dyDescent="0.15">
      <c r="J1478" s="38">
        <v>1469</v>
      </c>
      <c r="K1478" s="40"/>
      <c r="L1478" s="34">
        <f t="shared" si="179"/>
        <v>8.5951690693255385E-4</v>
      </c>
      <c r="M1478" s="35">
        <f t="shared" si="180"/>
        <v>-6.9700093584228629E-8</v>
      </c>
      <c r="N1478" s="44">
        <f t="shared" si="178"/>
        <v>-3.6732215063724248E-6</v>
      </c>
      <c r="O1478" s="45" t="e">
        <f t="shared" si="181"/>
        <v>#VALUE!</v>
      </c>
      <c r="P1478" s="52" t="str">
        <f t="shared" si="182"/>
        <v/>
      </c>
      <c r="Q1478" s="53" t="str">
        <f t="shared" si="183"/>
        <v/>
      </c>
      <c r="R1478" s="54" t="str">
        <f t="shared" si="184"/>
        <v/>
      </c>
      <c r="S1478" s="53" t="str">
        <f t="shared" si="185"/>
        <v/>
      </c>
    </row>
    <row r="1479" spans="10:19" x14ac:dyDescent="0.15">
      <c r="J1479" s="38">
        <v>1470</v>
      </c>
      <c r="K1479" s="40"/>
      <c r="L1479" s="34">
        <f t="shared" si="179"/>
        <v>8.5944712927036302E-4</v>
      </c>
      <c r="M1479" s="35">
        <f t="shared" si="180"/>
        <v>-6.9855182817273461E-8</v>
      </c>
      <c r="N1479" s="44">
        <f t="shared" si="178"/>
        <v>-3.680630405642339E-6</v>
      </c>
      <c r="O1479" s="45" t="e">
        <f t="shared" si="181"/>
        <v>#VALUE!</v>
      </c>
      <c r="P1479" s="52" t="str">
        <f t="shared" si="182"/>
        <v/>
      </c>
      <c r="Q1479" s="53" t="str">
        <f t="shared" si="183"/>
        <v/>
      </c>
      <c r="R1479" s="54" t="str">
        <f t="shared" si="184"/>
        <v/>
      </c>
      <c r="S1479" s="53" t="str">
        <f t="shared" si="185"/>
        <v/>
      </c>
    </row>
    <row r="1480" spans="10:19" x14ac:dyDescent="0.15">
      <c r="J1480" s="38">
        <v>1471</v>
      </c>
      <c r="K1480" s="40"/>
      <c r="L1480" s="34">
        <f t="shared" si="179"/>
        <v>8.5937719666276152E-4</v>
      </c>
      <c r="M1480" s="35">
        <f t="shared" si="180"/>
        <v>-7.0009984524020239E-8</v>
      </c>
      <c r="N1480" s="44">
        <f t="shared" si="178"/>
        <v>-3.6880257740510344E-6</v>
      </c>
      <c r="O1480" s="45" t="e">
        <f t="shared" si="181"/>
        <v>#VALUE!</v>
      </c>
      <c r="P1480" s="52" t="str">
        <f t="shared" si="182"/>
        <v/>
      </c>
      <c r="Q1480" s="53" t="str">
        <f t="shared" si="183"/>
        <v/>
      </c>
      <c r="R1480" s="54" t="str">
        <f t="shared" si="184"/>
        <v/>
      </c>
      <c r="S1480" s="53" t="str">
        <f t="shared" si="185"/>
        <v/>
      </c>
    </row>
    <row r="1481" spans="10:19" x14ac:dyDescent="0.15">
      <c r="J1481" s="38">
        <v>1472</v>
      </c>
      <c r="K1481" s="40"/>
      <c r="L1481" s="34">
        <f t="shared" si="179"/>
        <v>8.5930710939692025E-4</v>
      </c>
      <c r="M1481" s="35">
        <f t="shared" si="180"/>
        <v>-7.0164499414772343E-8</v>
      </c>
      <c r="N1481" s="44">
        <f t="shared" ref="N1481:N1544" si="186">(L1531-L1481)</f>
        <v>-3.6954076445284414E-6</v>
      </c>
      <c r="O1481" s="45" t="e">
        <f t="shared" si="181"/>
        <v>#VALUE!</v>
      </c>
      <c r="P1481" s="52" t="str">
        <f t="shared" si="182"/>
        <v/>
      </c>
      <c r="Q1481" s="53" t="str">
        <f t="shared" si="183"/>
        <v/>
      </c>
      <c r="R1481" s="54" t="str">
        <f t="shared" si="184"/>
        <v/>
      </c>
      <c r="S1481" s="53" t="str">
        <f t="shared" si="185"/>
        <v/>
      </c>
    </row>
    <row r="1482" spans="10:19" x14ac:dyDescent="0.15">
      <c r="J1482" s="38">
        <v>1473</v>
      </c>
      <c r="K1482" s="40"/>
      <c r="L1482" s="34">
        <f t="shared" ref="L1482:L1545" si="187">$F$39*((1-$F$40*J1482)/(1+$F$41*J1482))*(J1482-$F$42)</f>
        <v>8.5923686775930125E-4</v>
      </c>
      <c r="M1482" s="35">
        <f t="shared" ref="M1482:M1545" si="188">$F$39*((1-2*$F$40*J1482-$F$40*$F$41*(J1482^2)+($F$41+$F$40)*$F$42)/(1+$F$41*J1482)^2)</f>
        <v>-7.0318728197641151E-8</v>
      </c>
      <c r="N1482" s="44">
        <f t="shared" si="186"/>
        <v>-3.7027760499066956E-6</v>
      </c>
      <c r="O1482" s="45" t="e">
        <f t="shared" ref="O1482:O1545" si="189">IF(N1482&lt;=$B$49,1+O1481,0)</f>
        <v>#VALUE!</v>
      </c>
      <c r="P1482" s="52" t="str">
        <f t="shared" ref="P1482:P1545" si="190">IF(J1482&lt;=$F$42,J1482,"")</f>
        <v/>
      </c>
      <c r="Q1482" s="53" t="str">
        <f t="shared" ref="Q1482:Q1545" si="191">IF(J1482&lt;=$F$42,L1482,"")</f>
        <v/>
      </c>
      <c r="R1482" s="54" t="str">
        <f t="shared" ref="R1482:R1545" si="192">IF(AND(J1482&gt;=$F$42,J1482&lt;=200),J1482,"")</f>
        <v/>
      </c>
      <c r="S1482" s="53" t="str">
        <f t="shared" ref="S1482:S1545" si="193">IF(AND(J1482&gt;=$F$42,J1482&lt;=200),L1482,"")</f>
        <v/>
      </c>
    </row>
    <row r="1483" spans="10:19" x14ac:dyDescent="0.15">
      <c r="J1483" s="38">
        <v>1474</v>
      </c>
      <c r="K1483" s="40"/>
      <c r="L1483" s="34">
        <f t="shared" si="187"/>
        <v>8.5916647203565901E-4</v>
      </c>
      <c r="M1483" s="35">
        <f t="shared" si="188"/>
        <v>-7.0472671578554125E-8</v>
      </c>
      <c r="N1483" s="44">
        <f t="shared" si="186"/>
        <v>-3.7101310229158005E-6</v>
      </c>
      <c r="O1483" s="45" t="e">
        <f t="shared" si="189"/>
        <v>#VALUE!</v>
      </c>
      <c r="P1483" s="52" t="str">
        <f t="shared" si="190"/>
        <v/>
      </c>
      <c r="Q1483" s="53" t="str">
        <f t="shared" si="191"/>
        <v/>
      </c>
      <c r="R1483" s="54" t="str">
        <f t="shared" si="192"/>
        <v/>
      </c>
      <c r="S1483" s="53" t="str">
        <f t="shared" si="193"/>
        <v/>
      </c>
    </row>
    <row r="1484" spans="10:19" x14ac:dyDescent="0.15">
      <c r="J1484" s="38">
        <v>1475</v>
      </c>
      <c r="K1484" s="40"/>
      <c r="L1484" s="34">
        <f t="shared" si="187"/>
        <v>8.5909592251104362E-4</v>
      </c>
      <c r="M1484" s="35">
        <f t="shared" si="188"/>
        <v>-7.0626330261262819E-8</v>
      </c>
      <c r="N1484" s="44">
        <f t="shared" si="186"/>
        <v>-3.7174725961880732E-6</v>
      </c>
      <c r="O1484" s="45" t="e">
        <f t="shared" si="189"/>
        <v>#VALUE!</v>
      </c>
      <c r="P1484" s="52" t="str">
        <f t="shared" si="190"/>
        <v/>
      </c>
      <c r="Q1484" s="53" t="str">
        <f t="shared" si="191"/>
        <v/>
      </c>
      <c r="R1484" s="54" t="str">
        <f t="shared" si="192"/>
        <v/>
      </c>
      <c r="S1484" s="53" t="str">
        <f t="shared" si="193"/>
        <v/>
      </c>
    </row>
    <row r="1485" spans="10:19" x14ac:dyDescent="0.15">
      <c r="J1485" s="38">
        <v>1476</v>
      </c>
      <c r="K1485" s="40"/>
      <c r="L1485" s="34">
        <f t="shared" si="187"/>
        <v>8.5902521946980184E-4</v>
      </c>
      <c r="M1485" s="35">
        <f t="shared" si="188"/>
        <v>-7.0779704947350991E-8</v>
      </c>
      <c r="N1485" s="44">
        <f t="shared" si="186"/>
        <v>-3.7248008022558671E-6</v>
      </c>
      <c r="O1485" s="45" t="e">
        <f t="shared" si="189"/>
        <v>#VALUE!</v>
      </c>
      <c r="P1485" s="52" t="str">
        <f t="shared" si="190"/>
        <v/>
      </c>
      <c r="Q1485" s="53" t="str">
        <f t="shared" si="191"/>
        <v/>
      </c>
      <c r="R1485" s="54" t="str">
        <f t="shared" si="192"/>
        <v/>
      </c>
      <c r="S1485" s="53" t="str">
        <f t="shared" si="193"/>
        <v/>
      </c>
    </row>
    <row r="1486" spans="10:19" x14ac:dyDescent="0.15">
      <c r="J1486" s="38">
        <v>1477</v>
      </c>
      <c r="K1486" s="40"/>
      <c r="L1486" s="34">
        <f t="shared" si="187"/>
        <v>8.5895436319558124E-4</v>
      </c>
      <c r="M1486" s="35">
        <f t="shared" si="188"/>
        <v>-7.0932796336242532E-8</v>
      </c>
      <c r="N1486" s="44">
        <f t="shared" si="186"/>
        <v>-3.7321156735538492E-6</v>
      </c>
      <c r="O1486" s="45" t="e">
        <f t="shared" si="189"/>
        <v>#VALUE!</v>
      </c>
      <c r="P1486" s="52" t="str">
        <f t="shared" si="190"/>
        <v/>
      </c>
      <c r="Q1486" s="53" t="str">
        <f t="shared" si="191"/>
        <v/>
      </c>
      <c r="R1486" s="54" t="str">
        <f t="shared" si="192"/>
        <v/>
      </c>
      <c r="S1486" s="53" t="str">
        <f t="shared" si="193"/>
        <v/>
      </c>
    </row>
    <row r="1487" spans="10:19" x14ac:dyDescent="0.15">
      <c r="J1487" s="38">
        <v>1478</v>
      </c>
      <c r="K1487" s="40"/>
      <c r="L1487" s="34">
        <f t="shared" si="187"/>
        <v>8.5888335397132953E-4</v>
      </c>
      <c r="M1487" s="35">
        <f t="shared" si="188"/>
        <v>-7.1085605125209577E-8</v>
      </c>
      <c r="N1487" s="44">
        <f t="shared" si="186"/>
        <v>-3.7394172424167231E-6</v>
      </c>
      <c r="O1487" s="45" t="e">
        <f t="shared" si="189"/>
        <v>#VALUE!</v>
      </c>
      <c r="P1487" s="52" t="str">
        <f t="shared" si="190"/>
        <v/>
      </c>
      <c r="Q1487" s="53" t="str">
        <f t="shared" si="191"/>
        <v/>
      </c>
      <c r="R1487" s="54" t="str">
        <f t="shared" si="192"/>
        <v/>
      </c>
      <c r="S1487" s="53" t="str">
        <f t="shared" si="193"/>
        <v/>
      </c>
    </row>
    <row r="1488" spans="10:19" x14ac:dyDescent="0.15">
      <c r="J1488" s="38">
        <v>1479</v>
      </c>
      <c r="K1488" s="40"/>
      <c r="L1488" s="34">
        <f t="shared" si="187"/>
        <v>8.5881219207929889E-4</v>
      </c>
      <c r="M1488" s="35">
        <f t="shared" si="188"/>
        <v>-7.1238132009380236E-8</v>
      </c>
      <c r="N1488" s="44">
        <f t="shared" si="186"/>
        <v>-3.7467055410828065E-6</v>
      </c>
      <c r="O1488" s="45" t="e">
        <f t="shared" si="189"/>
        <v>#VALUE!</v>
      </c>
      <c r="P1488" s="52" t="str">
        <f t="shared" si="190"/>
        <v/>
      </c>
      <c r="Q1488" s="53" t="str">
        <f t="shared" si="191"/>
        <v/>
      </c>
      <c r="R1488" s="54" t="str">
        <f t="shared" si="192"/>
        <v/>
      </c>
      <c r="S1488" s="53" t="str">
        <f t="shared" si="193"/>
        <v/>
      </c>
    </row>
    <row r="1489" spans="10:19" x14ac:dyDescent="0.15">
      <c r="J1489" s="38">
        <v>1480</v>
      </c>
      <c r="K1489" s="40"/>
      <c r="L1489" s="34">
        <f t="shared" si="187"/>
        <v>8.5874087780104798E-4</v>
      </c>
      <c r="M1489" s="35">
        <f t="shared" si="188"/>
        <v>-7.139037768174676E-8</v>
      </c>
      <c r="N1489" s="44">
        <f t="shared" si="186"/>
        <v>-3.7539806016924056E-6</v>
      </c>
      <c r="O1489" s="45" t="e">
        <f t="shared" si="189"/>
        <v>#VALUE!</v>
      </c>
      <c r="P1489" s="52" t="str">
        <f t="shared" si="190"/>
        <v/>
      </c>
      <c r="Q1489" s="53" t="str">
        <f t="shared" si="191"/>
        <v/>
      </c>
      <c r="R1489" s="54" t="str">
        <f t="shared" si="192"/>
        <v/>
      </c>
      <c r="S1489" s="53" t="str">
        <f t="shared" si="193"/>
        <v/>
      </c>
    </row>
    <row r="1490" spans="10:19" x14ac:dyDescent="0.15">
      <c r="J1490" s="38">
        <v>1481</v>
      </c>
      <c r="K1490" s="40"/>
      <c r="L1490" s="34">
        <f t="shared" si="187"/>
        <v>8.586694114174426E-4</v>
      </c>
      <c r="M1490" s="35">
        <f t="shared" si="188"/>
        <v>-7.1542342833173162E-8</v>
      </c>
      <c r="N1490" s="44">
        <f t="shared" si="186"/>
        <v>-3.7612424562881398E-6</v>
      </c>
      <c r="O1490" s="45" t="e">
        <f t="shared" si="189"/>
        <v>#VALUE!</v>
      </c>
      <c r="P1490" s="52" t="str">
        <f t="shared" si="190"/>
        <v/>
      </c>
      <c r="Q1490" s="53" t="str">
        <f t="shared" si="191"/>
        <v/>
      </c>
      <c r="R1490" s="54" t="str">
        <f t="shared" si="192"/>
        <v/>
      </c>
      <c r="S1490" s="53" t="str">
        <f t="shared" si="193"/>
        <v/>
      </c>
    </row>
    <row r="1491" spans="10:19" x14ac:dyDescent="0.15">
      <c r="J1491" s="38">
        <v>1482</v>
      </c>
      <c r="K1491" s="40"/>
      <c r="L1491" s="34">
        <f t="shared" si="187"/>
        <v>8.5859779320865892E-4</v>
      </c>
      <c r="M1491" s="35">
        <f t="shared" si="188"/>
        <v>-7.1694028152403252E-8</v>
      </c>
      <c r="N1491" s="44">
        <f t="shared" si="186"/>
        <v>-3.7684911368153756E-6</v>
      </c>
      <c r="O1491" s="45" t="e">
        <f t="shared" si="189"/>
        <v>#VALUE!</v>
      </c>
      <c r="P1491" s="52" t="str">
        <f t="shared" si="190"/>
        <v/>
      </c>
      <c r="Q1491" s="53" t="str">
        <f t="shared" si="191"/>
        <v/>
      </c>
      <c r="R1491" s="54" t="str">
        <f t="shared" si="192"/>
        <v/>
      </c>
      <c r="S1491" s="53" t="str">
        <f t="shared" si="193"/>
        <v/>
      </c>
    </row>
    <row r="1492" spans="10:19" x14ac:dyDescent="0.15">
      <c r="J1492" s="38">
        <v>1483</v>
      </c>
      <c r="K1492" s="40"/>
      <c r="L1492" s="34">
        <f t="shared" si="187"/>
        <v>8.5852602345418605E-4</v>
      </c>
      <c r="M1492" s="35">
        <f t="shared" si="188"/>
        <v>-7.1845434326068263E-8</v>
      </c>
      <c r="N1492" s="44">
        <f t="shared" si="186"/>
        <v>-3.7757266751243948E-6</v>
      </c>
      <c r="O1492" s="45" t="e">
        <f t="shared" si="189"/>
        <v>#VALUE!</v>
      </c>
      <c r="P1492" s="52" t="str">
        <f t="shared" si="190"/>
        <v/>
      </c>
      <c r="Q1492" s="53" t="str">
        <f t="shared" si="191"/>
        <v/>
      </c>
      <c r="R1492" s="54" t="str">
        <f t="shared" si="192"/>
        <v/>
      </c>
      <c r="S1492" s="53" t="str">
        <f t="shared" si="193"/>
        <v/>
      </c>
    </row>
    <row r="1493" spans="10:19" x14ac:dyDescent="0.15">
      <c r="J1493" s="38">
        <v>1484</v>
      </c>
      <c r="K1493" s="40"/>
      <c r="L1493" s="34">
        <f t="shared" si="187"/>
        <v>8.5845410243282723E-4</v>
      </c>
      <c r="M1493" s="35">
        <f t="shared" si="188"/>
        <v>-7.1996562038694826E-8</v>
      </c>
      <c r="N1493" s="44">
        <f t="shared" si="186"/>
        <v>-3.7829491029682267E-6</v>
      </c>
      <c r="O1493" s="45" t="e">
        <f t="shared" si="189"/>
        <v>#VALUE!</v>
      </c>
      <c r="P1493" s="52" t="str">
        <f t="shared" si="190"/>
        <v/>
      </c>
      <c r="Q1493" s="53" t="str">
        <f t="shared" si="191"/>
        <v/>
      </c>
      <c r="R1493" s="54" t="str">
        <f t="shared" si="192"/>
        <v/>
      </c>
      <c r="S1493" s="53" t="str">
        <f t="shared" si="193"/>
        <v/>
      </c>
    </row>
    <row r="1494" spans="10:19" x14ac:dyDescent="0.15">
      <c r="J1494" s="38">
        <v>1485</v>
      </c>
      <c r="K1494" s="40"/>
      <c r="L1494" s="34">
        <f t="shared" si="187"/>
        <v>8.5838203042270167E-4</v>
      </c>
      <c r="M1494" s="35">
        <f t="shared" si="188"/>
        <v>-7.2147411972712479E-8</v>
      </c>
      <c r="N1494" s="44">
        <f t="shared" si="186"/>
        <v>-3.7901584520037314E-6</v>
      </c>
      <c r="O1494" s="45" t="e">
        <f t="shared" si="189"/>
        <v>#VALUE!</v>
      </c>
      <c r="P1494" s="52" t="str">
        <f t="shared" si="190"/>
        <v/>
      </c>
      <c r="Q1494" s="53" t="str">
        <f t="shared" si="191"/>
        <v/>
      </c>
      <c r="R1494" s="54" t="str">
        <f t="shared" si="192"/>
        <v/>
      </c>
      <c r="S1494" s="53" t="str">
        <f t="shared" si="193"/>
        <v/>
      </c>
    </row>
    <row r="1495" spans="10:19" x14ac:dyDescent="0.15">
      <c r="J1495" s="38">
        <v>1486</v>
      </c>
      <c r="K1495" s="40"/>
      <c r="L1495" s="34">
        <f t="shared" si="187"/>
        <v>8.5830980770124771E-4</v>
      </c>
      <c r="M1495" s="35">
        <f t="shared" si="188"/>
        <v>-7.2297984808461566E-8</v>
      </c>
      <c r="N1495" s="44">
        <f t="shared" si="186"/>
        <v>-3.7973547537934436E-6</v>
      </c>
      <c r="O1495" s="45" t="e">
        <f t="shared" si="189"/>
        <v>#VALUE!</v>
      </c>
      <c r="P1495" s="52" t="str">
        <f t="shared" si="190"/>
        <v/>
      </c>
      <c r="Q1495" s="53" t="str">
        <f t="shared" si="191"/>
        <v/>
      </c>
      <c r="R1495" s="54" t="str">
        <f t="shared" si="192"/>
        <v/>
      </c>
      <c r="S1495" s="53" t="str">
        <f t="shared" si="193"/>
        <v/>
      </c>
    </row>
    <row r="1496" spans="10:19" x14ac:dyDescent="0.15">
      <c r="J1496" s="38">
        <v>1487</v>
      </c>
      <c r="K1496" s="40"/>
      <c r="L1496" s="34">
        <f t="shared" si="187"/>
        <v>8.5823743454522465E-4</v>
      </c>
      <c r="M1496" s="35">
        <f t="shared" si="188"/>
        <v>-7.2448281224200808E-8</v>
      </c>
      <c r="N1496" s="44">
        <f t="shared" si="186"/>
        <v>-3.8045380398039463E-6</v>
      </c>
      <c r="O1496" s="45" t="e">
        <f t="shared" si="189"/>
        <v>#VALUE!</v>
      </c>
      <c r="P1496" s="52" t="str">
        <f t="shared" si="190"/>
        <v/>
      </c>
      <c r="Q1496" s="53" t="str">
        <f t="shared" si="191"/>
        <v/>
      </c>
      <c r="R1496" s="54" t="str">
        <f t="shared" si="192"/>
        <v/>
      </c>
      <c r="S1496" s="53" t="str">
        <f t="shared" si="193"/>
        <v/>
      </c>
    </row>
    <row r="1497" spans="10:19" x14ac:dyDescent="0.15">
      <c r="J1497" s="38">
        <v>1488</v>
      </c>
      <c r="K1497" s="40"/>
      <c r="L1497" s="34">
        <f t="shared" si="187"/>
        <v>8.5816491123071395E-4</v>
      </c>
      <c r="M1497" s="35">
        <f t="shared" si="188"/>
        <v>-7.2598301896114939E-8</v>
      </c>
      <c r="N1497" s="44">
        <f t="shared" si="186"/>
        <v>-3.8117083414066291E-6</v>
      </c>
      <c r="O1497" s="45" t="e">
        <f t="shared" si="189"/>
        <v>#VALUE!</v>
      </c>
      <c r="P1497" s="52" t="str">
        <f t="shared" si="190"/>
        <v/>
      </c>
      <c r="Q1497" s="53" t="str">
        <f t="shared" si="191"/>
        <v/>
      </c>
      <c r="R1497" s="54" t="str">
        <f t="shared" si="192"/>
        <v/>
      </c>
      <c r="S1497" s="53" t="str">
        <f t="shared" si="193"/>
        <v/>
      </c>
    </row>
    <row r="1498" spans="10:19" x14ac:dyDescent="0.15">
      <c r="J1498" s="38">
        <v>1489</v>
      </c>
      <c r="K1498" s="40"/>
      <c r="L1498" s="34">
        <f t="shared" si="187"/>
        <v>8.5809223803312259E-4</v>
      </c>
      <c r="M1498" s="35">
        <f t="shared" si="188"/>
        <v>-7.2748047498322356E-8</v>
      </c>
      <c r="N1498" s="44">
        <f t="shared" si="186"/>
        <v>-3.8188656898797491E-6</v>
      </c>
      <c r="O1498" s="45" t="e">
        <f t="shared" si="189"/>
        <v>#VALUE!</v>
      </c>
      <c r="P1498" s="52" t="str">
        <f t="shared" si="190"/>
        <v/>
      </c>
      <c r="Q1498" s="53" t="str">
        <f t="shared" si="191"/>
        <v/>
      </c>
      <c r="R1498" s="54" t="str">
        <f t="shared" si="192"/>
        <v/>
      </c>
      <c r="S1498" s="53" t="str">
        <f t="shared" si="193"/>
        <v/>
      </c>
    </row>
    <row r="1499" spans="10:19" x14ac:dyDescent="0.15">
      <c r="J1499" s="38">
        <v>1490</v>
      </c>
      <c r="K1499" s="40"/>
      <c r="L1499" s="34">
        <f t="shared" si="187"/>
        <v>8.5801941522718305E-4</v>
      </c>
      <c r="M1499" s="35">
        <f t="shared" si="188"/>
        <v>-7.2897518702882664E-8</v>
      </c>
      <c r="N1499" s="44">
        <f t="shared" si="186"/>
        <v>-3.8260101164051775E-6</v>
      </c>
      <c r="O1499" s="45" t="e">
        <f t="shared" si="189"/>
        <v>#VALUE!</v>
      </c>
      <c r="P1499" s="52" t="str">
        <f t="shared" si="190"/>
        <v/>
      </c>
      <c r="Q1499" s="53" t="str">
        <f t="shared" si="191"/>
        <v/>
      </c>
      <c r="R1499" s="54" t="str">
        <f t="shared" si="192"/>
        <v/>
      </c>
      <c r="S1499" s="53" t="str">
        <f t="shared" si="193"/>
        <v/>
      </c>
    </row>
    <row r="1500" spans="10:19" x14ac:dyDescent="0.15">
      <c r="J1500" s="38">
        <v>1491</v>
      </c>
      <c r="K1500" s="40"/>
      <c r="L1500" s="34">
        <f t="shared" si="187"/>
        <v>8.5794644308695889E-4</v>
      </c>
      <c r="M1500" s="35">
        <f t="shared" si="188"/>
        <v>-7.3046716179804271E-8</v>
      </c>
      <c r="N1500" s="44">
        <f t="shared" si="186"/>
        <v>-3.8331416520738211E-6</v>
      </c>
      <c r="O1500" s="45" t="e">
        <f t="shared" si="189"/>
        <v>#VALUE!</v>
      </c>
      <c r="P1500" s="52" t="str">
        <f t="shared" si="190"/>
        <v/>
      </c>
      <c r="Q1500" s="53" t="str">
        <f t="shared" si="191"/>
        <v/>
      </c>
      <c r="R1500" s="54" t="str">
        <f t="shared" si="192"/>
        <v/>
      </c>
      <c r="S1500" s="53" t="str">
        <f t="shared" si="193"/>
        <v/>
      </c>
    </row>
    <row r="1501" spans="10:19" x14ac:dyDescent="0.15">
      <c r="J1501" s="38">
        <v>1492</v>
      </c>
      <c r="K1501" s="40"/>
      <c r="L1501" s="34">
        <f t="shared" si="187"/>
        <v>8.5787332188584349E-4</v>
      </c>
      <c r="M1501" s="35">
        <f t="shared" si="188"/>
        <v>-7.3195640597051707E-8</v>
      </c>
      <c r="N1501" s="44">
        <f t="shared" si="186"/>
        <v>-3.840260327881719E-6</v>
      </c>
      <c r="O1501" s="45" t="e">
        <f t="shared" si="189"/>
        <v>#VALUE!</v>
      </c>
      <c r="P1501" s="52" t="str">
        <f t="shared" si="190"/>
        <v/>
      </c>
      <c r="Q1501" s="53" t="str">
        <f t="shared" si="191"/>
        <v/>
      </c>
      <c r="R1501" s="54" t="str">
        <f t="shared" si="192"/>
        <v/>
      </c>
      <c r="S1501" s="53" t="str">
        <f t="shared" si="193"/>
        <v/>
      </c>
    </row>
    <row r="1502" spans="10:19" x14ac:dyDescent="0.15">
      <c r="J1502" s="38">
        <v>1493</v>
      </c>
      <c r="K1502" s="40"/>
      <c r="L1502" s="34">
        <f t="shared" si="187"/>
        <v>8.5780005189656282E-4</v>
      </c>
      <c r="M1502" s="35">
        <f t="shared" si="188"/>
        <v>-7.3344292620553435E-8</v>
      </c>
      <c r="N1502" s="44">
        <f t="shared" si="186"/>
        <v>-3.8473661747310183E-6</v>
      </c>
      <c r="O1502" s="45" t="e">
        <f t="shared" si="189"/>
        <v>#VALUE!</v>
      </c>
      <c r="P1502" s="52" t="str">
        <f t="shared" si="190"/>
        <v/>
      </c>
      <c r="Q1502" s="53" t="str">
        <f t="shared" si="191"/>
        <v/>
      </c>
      <c r="R1502" s="54" t="str">
        <f t="shared" si="192"/>
        <v/>
      </c>
      <c r="S1502" s="53" t="str">
        <f t="shared" si="193"/>
        <v/>
      </c>
    </row>
    <row r="1503" spans="10:19" x14ac:dyDescent="0.15">
      <c r="J1503" s="38">
        <v>1494</v>
      </c>
      <c r="K1503" s="40"/>
      <c r="L1503" s="34">
        <f t="shared" si="187"/>
        <v>8.5772663339117919E-4</v>
      </c>
      <c r="M1503" s="35">
        <f t="shared" si="188"/>
        <v>-7.3492672914208943E-8</v>
      </c>
      <c r="N1503" s="44">
        <f t="shared" si="186"/>
        <v>-3.8544592234325764E-6</v>
      </c>
      <c r="O1503" s="45" t="e">
        <f t="shared" si="189"/>
        <v>#VALUE!</v>
      </c>
      <c r="P1503" s="52" t="str">
        <f t="shared" si="190"/>
        <v/>
      </c>
      <c r="Q1503" s="53" t="str">
        <f t="shared" si="191"/>
        <v/>
      </c>
      <c r="R1503" s="54" t="str">
        <f t="shared" si="192"/>
        <v/>
      </c>
      <c r="S1503" s="53" t="str">
        <f t="shared" si="193"/>
        <v/>
      </c>
    </row>
    <row r="1504" spans="10:19" x14ac:dyDescent="0.15">
      <c r="J1504" s="38">
        <v>1495</v>
      </c>
      <c r="K1504" s="40"/>
      <c r="L1504" s="34">
        <f t="shared" si="187"/>
        <v>8.5765306664109032E-4</v>
      </c>
      <c r="M1504" s="35">
        <f t="shared" si="188"/>
        <v>-7.3640782139896406E-8</v>
      </c>
      <c r="N1504" s="44">
        <f t="shared" si="186"/>
        <v>-3.8615395047028166E-6</v>
      </c>
      <c r="O1504" s="45" t="e">
        <f t="shared" si="189"/>
        <v>#VALUE!</v>
      </c>
      <c r="P1504" s="52" t="str">
        <f t="shared" si="190"/>
        <v/>
      </c>
      <c r="Q1504" s="53" t="str">
        <f t="shared" si="191"/>
        <v/>
      </c>
      <c r="R1504" s="54" t="str">
        <f t="shared" si="192"/>
        <v/>
      </c>
      <c r="S1504" s="53" t="str">
        <f t="shared" si="193"/>
        <v/>
      </c>
    </row>
    <row r="1505" spans="10:19" x14ac:dyDescent="0.15">
      <c r="J1505" s="38">
        <v>1496</v>
      </c>
      <c r="K1505" s="40"/>
      <c r="L1505" s="34">
        <f t="shared" si="187"/>
        <v>8.5757935191703514E-4</v>
      </c>
      <c r="M1505" s="35">
        <f t="shared" si="188"/>
        <v>-7.37886209574799E-8</v>
      </c>
      <c r="N1505" s="44">
        <f t="shared" si="186"/>
        <v>-3.8686070491691493E-6</v>
      </c>
      <c r="O1505" s="45" t="e">
        <f t="shared" si="189"/>
        <v>#VALUE!</v>
      </c>
      <c r="P1505" s="52" t="str">
        <f t="shared" si="190"/>
        <v/>
      </c>
      <c r="Q1505" s="53" t="str">
        <f t="shared" si="191"/>
        <v/>
      </c>
      <c r="R1505" s="54" t="str">
        <f t="shared" si="192"/>
        <v/>
      </c>
      <c r="S1505" s="53" t="str">
        <f t="shared" si="193"/>
        <v/>
      </c>
    </row>
    <row r="1506" spans="10:19" x14ac:dyDescent="0.15">
      <c r="J1506" s="38">
        <v>1497</v>
      </c>
      <c r="K1506" s="40"/>
      <c r="L1506" s="34">
        <f t="shared" si="187"/>
        <v>8.5750548948909221E-4</v>
      </c>
      <c r="M1506" s="35">
        <f t="shared" si="188"/>
        <v>-7.3936190024816936E-8</v>
      </c>
      <c r="N1506" s="44">
        <f t="shared" si="186"/>
        <v>-3.8756618873644422E-6</v>
      </c>
      <c r="O1506" s="45" t="e">
        <f t="shared" si="189"/>
        <v>#VALUE!</v>
      </c>
      <c r="P1506" s="52" t="str">
        <f t="shared" si="190"/>
        <v/>
      </c>
      <c r="Q1506" s="53" t="str">
        <f t="shared" si="191"/>
        <v/>
      </c>
      <c r="R1506" s="54" t="str">
        <f t="shared" si="192"/>
        <v/>
      </c>
      <c r="S1506" s="53" t="str">
        <f t="shared" si="193"/>
        <v/>
      </c>
    </row>
    <row r="1507" spans="10:19" x14ac:dyDescent="0.15">
      <c r="J1507" s="38">
        <v>1498</v>
      </c>
      <c r="K1507" s="40"/>
      <c r="L1507" s="34">
        <f t="shared" si="187"/>
        <v>8.574314796266835E-4</v>
      </c>
      <c r="M1507" s="35">
        <f t="shared" si="188"/>
        <v>-7.4083489997765586E-8</v>
      </c>
      <c r="N1507" s="44">
        <f t="shared" si="186"/>
        <v>-3.8827040497310325E-6</v>
      </c>
      <c r="O1507" s="45" t="e">
        <f t="shared" si="189"/>
        <v>#VALUE!</v>
      </c>
      <c r="P1507" s="52" t="str">
        <f t="shared" si="190"/>
        <v/>
      </c>
      <c r="Q1507" s="53" t="str">
        <f t="shared" si="191"/>
        <v/>
      </c>
      <c r="R1507" s="54" t="str">
        <f t="shared" si="192"/>
        <v/>
      </c>
      <c r="S1507" s="53" t="str">
        <f t="shared" si="193"/>
        <v/>
      </c>
    </row>
    <row r="1508" spans="10:19" x14ac:dyDescent="0.15">
      <c r="J1508" s="38">
        <v>1499</v>
      </c>
      <c r="K1508" s="40"/>
      <c r="L1508" s="34">
        <f t="shared" si="187"/>
        <v>8.5735732259857686E-4</v>
      </c>
      <c r="M1508" s="35">
        <f t="shared" si="188"/>
        <v>-7.4230521530191797E-8</v>
      </c>
      <c r="N1508" s="44">
        <f t="shared" si="186"/>
        <v>-3.8897335666206179E-6</v>
      </c>
      <c r="O1508" s="45" t="e">
        <f t="shared" si="189"/>
        <v>#VALUE!</v>
      </c>
      <c r="P1508" s="52" t="str">
        <f t="shared" si="190"/>
        <v/>
      </c>
      <c r="Q1508" s="53" t="str">
        <f t="shared" si="191"/>
        <v/>
      </c>
      <c r="R1508" s="54" t="str">
        <f t="shared" si="192"/>
        <v/>
      </c>
      <c r="S1508" s="53" t="str">
        <f t="shared" si="193"/>
        <v/>
      </c>
    </row>
    <row r="1509" spans="10:19" x14ac:dyDescent="0.15">
      <c r="J1509" s="38">
        <v>1500</v>
      </c>
      <c r="K1509" s="39">
        <f>B29</f>
        <v>9.6041910000000004E-4</v>
      </c>
      <c r="L1509" s="34">
        <f t="shared" si="187"/>
        <v>8.5728301867288618E-4</v>
      </c>
      <c r="M1509" s="35">
        <f t="shared" si="188"/>
        <v>-7.4377285273976916E-8</v>
      </c>
      <c r="N1509" s="44">
        <f t="shared" si="186"/>
        <v>-3.8967504682933893E-6</v>
      </c>
      <c r="O1509" s="45" t="e">
        <f t="shared" si="189"/>
        <v>#VALUE!</v>
      </c>
      <c r="P1509" s="52" t="str">
        <f t="shared" si="190"/>
        <v/>
      </c>
      <c r="Q1509" s="53" t="str">
        <f t="shared" si="191"/>
        <v/>
      </c>
      <c r="R1509" s="54" t="str">
        <f t="shared" si="192"/>
        <v/>
      </c>
      <c r="S1509" s="53" t="str">
        <f t="shared" si="193"/>
        <v/>
      </c>
    </row>
    <row r="1510" spans="10:19" x14ac:dyDescent="0.15">
      <c r="J1510" s="38">
        <v>1501</v>
      </c>
      <c r="K1510" s="40"/>
      <c r="L1510" s="34">
        <f t="shared" si="187"/>
        <v>8.5720856811707501E-4</v>
      </c>
      <c r="M1510" s="35">
        <f t="shared" si="188"/>
        <v>-7.4523781879024441E-8</v>
      </c>
      <c r="N1510" s="44">
        <f t="shared" si="186"/>
        <v>-3.9037547849190071E-6</v>
      </c>
      <c r="O1510" s="45" t="e">
        <f t="shared" si="189"/>
        <v>#VALUE!</v>
      </c>
      <c r="P1510" s="52" t="str">
        <f t="shared" si="190"/>
        <v/>
      </c>
      <c r="Q1510" s="53" t="str">
        <f t="shared" si="191"/>
        <v/>
      </c>
      <c r="R1510" s="54" t="str">
        <f t="shared" si="192"/>
        <v/>
      </c>
      <c r="S1510" s="53" t="str">
        <f t="shared" si="193"/>
        <v/>
      </c>
    </row>
    <row r="1511" spans="10:19" x14ac:dyDescent="0.15">
      <c r="J1511" s="38">
        <v>1502</v>
      </c>
      <c r="K1511" s="40"/>
      <c r="L1511" s="34">
        <f t="shared" si="187"/>
        <v>8.5713397119795837E-4</v>
      </c>
      <c r="M1511" s="35">
        <f t="shared" si="188"/>
        <v>-7.4670011993267792E-8</v>
      </c>
      <c r="N1511" s="44">
        <f t="shared" si="186"/>
        <v>-3.9107465465782268E-6</v>
      </c>
      <c r="O1511" s="45" t="e">
        <f t="shared" si="189"/>
        <v>#VALUE!</v>
      </c>
      <c r="P1511" s="52" t="str">
        <f t="shared" si="190"/>
        <v/>
      </c>
      <c r="Q1511" s="53" t="str">
        <f t="shared" si="191"/>
        <v/>
      </c>
      <c r="R1511" s="54" t="str">
        <f t="shared" si="192"/>
        <v/>
      </c>
      <c r="S1511" s="53" t="str">
        <f t="shared" si="193"/>
        <v/>
      </c>
    </row>
    <row r="1512" spans="10:19" x14ac:dyDescent="0.15">
      <c r="J1512" s="38">
        <v>1503</v>
      </c>
      <c r="K1512" s="40"/>
      <c r="L1512" s="34">
        <f t="shared" si="187"/>
        <v>8.5705922818170364E-4</v>
      </c>
      <c r="M1512" s="35">
        <f t="shared" si="188"/>
        <v>-7.4815976262676741E-8</v>
      </c>
      <c r="N1512" s="44">
        <f t="shared" si="186"/>
        <v>-3.9177257832602973E-6</v>
      </c>
      <c r="O1512" s="45" t="e">
        <f t="shared" si="189"/>
        <v>#VALUE!</v>
      </c>
      <c r="P1512" s="52" t="str">
        <f t="shared" si="190"/>
        <v/>
      </c>
      <c r="Q1512" s="53" t="str">
        <f t="shared" si="191"/>
        <v/>
      </c>
      <c r="R1512" s="54" t="str">
        <f t="shared" si="192"/>
        <v/>
      </c>
      <c r="S1512" s="53" t="str">
        <f t="shared" si="193"/>
        <v/>
      </c>
    </row>
    <row r="1513" spans="10:19" x14ac:dyDescent="0.15">
      <c r="J1513" s="38">
        <v>1504</v>
      </c>
      <c r="K1513" s="40"/>
      <c r="L1513" s="34">
        <f t="shared" si="187"/>
        <v>8.5698433933383315E-4</v>
      </c>
      <c r="M1513" s="35">
        <f t="shared" si="188"/>
        <v>-7.4961675331265406E-8</v>
      </c>
      <c r="N1513" s="44">
        <f t="shared" si="186"/>
        <v>-3.9246925248655629E-6</v>
      </c>
      <c r="O1513" s="45" t="e">
        <f t="shared" si="189"/>
        <v>#VALUE!</v>
      </c>
      <c r="P1513" s="52" t="str">
        <f t="shared" si="190"/>
        <v/>
      </c>
      <c r="Q1513" s="53" t="str">
        <f t="shared" si="191"/>
        <v/>
      </c>
      <c r="R1513" s="54" t="str">
        <f t="shared" si="192"/>
        <v/>
      </c>
      <c r="S1513" s="53" t="str">
        <f t="shared" si="193"/>
        <v/>
      </c>
    </row>
    <row r="1514" spans="10:19" x14ac:dyDescent="0.15">
      <c r="J1514" s="38">
        <v>1505</v>
      </c>
      <c r="K1514" s="40"/>
      <c r="L1514" s="34">
        <f t="shared" si="187"/>
        <v>8.5690930491922712E-4</v>
      </c>
      <c r="M1514" s="35">
        <f t="shared" si="188"/>
        <v>-7.5107109841098658E-8</v>
      </c>
      <c r="N1514" s="44">
        <f t="shared" si="186"/>
        <v>-3.9316468012063309E-6</v>
      </c>
      <c r="O1514" s="45" t="e">
        <f t="shared" si="189"/>
        <v>#VALUE!</v>
      </c>
      <c r="P1514" s="52" t="str">
        <f t="shared" si="190"/>
        <v/>
      </c>
      <c r="Q1514" s="53" t="str">
        <f t="shared" si="191"/>
        <v/>
      </c>
      <c r="R1514" s="54" t="str">
        <f t="shared" si="192"/>
        <v/>
      </c>
      <c r="S1514" s="53" t="str">
        <f t="shared" si="193"/>
        <v/>
      </c>
    </row>
    <row r="1515" spans="10:19" x14ac:dyDescent="0.15">
      <c r="J1515" s="38">
        <v>1506</v>
      </c>
      <c r="K1515" s="40"/>
      <c r="L1515" s="34">
        <f t="shared" si="187"/>
        <v>8.5683412520212395E-4</v>
      </c>
      <c r="M1515" s="35">
        <f t="shared" si="188"/>
        <v>-7.5252280432299425E-8</v>
      </c>
      <c r="N1515" s="44">
        <f t="shared" si="186"/>
        <v>-3.938588642004269E-6</v>
      </c>
      <c r="O1515" s="45" t="e">
        <f t="shared" si="189"/>
        <v>#VALUE!</v>
      </c>
      <c r="P1515" s="52" t="str">
        <f t="shared" si="190"/>
        <v/>
      </c>
      <c r="Q1515" s="53" t="str">
        <f t="shared" si="191"/>
        <v/>
      </c>
      <c r="R1515" s="54" t="str">
        <f t="shared" si="192"/>
        <v/>
      </c>
      <c r="S1515" s="53" t="str">
        <f t="shared" si="193"/>
        <v/>
      </c>
    </row>
    <row r="1516" spans="10:19" x14ac:dyDescent="0.15">
      <c r="J1516" s="38">
        <v>1507</v>
      </c>
      <c r="K1516" s="40"/>
      <c r="L1516" s="34">
        <f t="shared" si="187"/>
        <v>8.5675880044612279E-4</v>
      </c>
      <c r="M1516" s="35">
        <f t="shared" si="188"/>
        <v>-7.5397187743056027E-8</v>
      </c>
      <c r="N1516" s="44">
        <f t="shared" si="186"/>
        <v>-3.9455180768938752E-6</v>
      </c>
      <c r="O1516" s="45" t="e">
        <f t="shared" si="189"/>
        <v>#VALUE!</v>
      </c>
      <c r="P1516" s="52" t="str">
        <f t="shared" si="190"/>
        <v/>
      </c>
      <c r="Q1516" s="53" t="str">
        <f t="shared" si="191"/>
        <v/>
      </c>
      <c r="R1516" s="54" t="str">
        <f t="shared" si="192"/>
        <v/>
      </c>
      <c r="S1516" s="53" t="str">
        <f t="shared" si="193"/>
        <v/>
      </c>
    </row>
    <row r="1517" spans="10:19" x14ac:dyDescent="0.15">
      <c r="J1517" s="38">
        <v>1508</v>
      </c>
      <c r="K1517" s="40"/>
      <c r="L1517" s="34">
        <f t="shared" si="187"/>
        <v>8.5668333091418593E-4</v>
      </c>
      <c r="M1517" s="35">
        <f t="shared" si="188"/>
        <v>-7.554183240962855E-8</v>
      </c>
      <c r="N1517" s="44">
        <f t="shared" si="186"/>
        <v>-3.9524351354205262E-6</v>
      </c>
      <c r="O1517" s="45" t="e">
        <f t="shared" si="189"/>
        <v>#VALUE!</v>
      </c>
      <c r="P1517" s="52" t="str">
        <f t="shared" si="190"/>
        <v/>
      </c>
      <c r="Q1517" s="53" t="str">
        <f t="shared" si="191"/>
        <v/>
      </c>
      <c r="R1517" s="54" t="str">
        <f t="shared" si="192"/>
        <v/>
      </c>
      <c r="S1517" s="53" t="str">
        <f t="shared" si="193"/>
        <v/>
      </c>
    </row>
    <row r="1518" spans="10:19" x14ac:dyDescent="0.15">
      <c r="J1518" s="38">
        <v>1509</v>
      </c>
      <c r="K1518" s="40"/>
      <c r="L1518" s="34">
        <f t="shared" si="187"/>
        <v>8.5660771686864009E-4</v>
      </c>
      <c r="M1518" s="35">
        <f t="shared" si="188"/>
        <v>-7.5686215066356567E-8</v>
      </c>
      <c r="N1518" s="44">
        <f t="shared" si="186"/>
        <v>-3.9593398470419948E-6</v>
      </c>
      <c r="O1518" s="45" t="e">
        <f t="shared" si="189"/>
        <v>#VALUE!</v>
      </c>
      <c r="P1518" s="52" t="str">
        <f t="shared" si="190"/>
        <v/>
      </c>
      <c r="Q1518" s="53" t="str">
        <f t="shared" si="191"/>
        <v/>
      </c>
      <c r="R1518" s="54" t="str">
        <f t="shared" si="192"/>
        <v/>
      </c>
      <c r="S1518" s="53" t="str">
        <f t="shared" si="193"/>
        <v/>
      </c>
    </row>
    <row r="1519" spans="10:19" x14ac:dyDescent="0.15">
      <c r="J1519" s="38">
        <v>1510</v>
      </c>
      <c r="K1519" s="40"/>
      <c r="L1519" s="34">
        <f t="shared" si="187"/>
        <v>8.5653195857117892E-4</v>
      </c>
      <c r="M1519" s="35">
        <f t="shared" si="188"/>
        <v>-7.5830336345665516E-8</v>
      </c>
      <c r="N1519" s="44">
        <f t="shared" si="186"/>
        <v>-3.9662322411287759E-6</v>
      </c>
      <c r="O1519" s="45" t="e">
        <f t="shared" si="189"/>
        <v>#VALUE!</v>
      </c>
      <c r="P1519" s="52" t="str">
        <f t="shared" si="190"/>
        <v/>
      </c>
      <c r="Q1519" s="53" t="str">
        <f t="shared" si="191"/>
        <v/>
      </c>
      <c r="R1519" s="54" t="str">
        <f t="shared" si="192"/>
        <v/>
      </c>
      <c r="S1519" s="53" t="str">
        <f t="shared" si="193"/>
        <v/>
      </c>
    </row>
    <row r="1520" spans="10:19" x14ac:dyDescent="0.15">
      <c r="J1520" s="38">
        <v>1511</v>
      </c>
      <c r="K1520" s="40"/>
      <c r="L1520" s="34">
        <f t="shared" si="187"/>
        <v>8.5645605628286423E-4</v>
      </c>
      <c r="M1520" s="35">
        <f t="shared" si="188"/>
        <v>-7.5974196878073885E-8</v>
      </c>
      <c r="N1520" s="44">
        <f t="shared" si="186"/>
        <v>-3.973112346963327E-6</v>
      </c>
      <c r="O1520" s="45" t="e">
        <f t="shared" si="189"/>
        <v>#VALUE!</v>
      </c>
      <c r="P1520" s="52" t="str">
        <f t="shared" si="190"/>
        <v/>
      </c>
      <c r="Q1520" s="53" t="str">
        <f t="shared" si="191"/>
        <v/>
      </c>
      <c r="R1520" s="54" t="str">
        <f t="shared" si="192"/>
        <v/>
      </c>
      <c r="S1520" s="53" t="str">
        <f t="shared" si="193"/>
        <v/>
      </c>
    </row>
    <row r="1521" spans="10:19" x14ac:dyDescent="0.15">
      <c r="J1521" s="38">
        <v>1512</v>
      </c>
      <c r="K1521" s="40"/>
      <c r="L1521" s="34">
        <f t="shared" si="187"/>
        <v>8.5638001026412886E-4</v>
      </c>
      <c r="M1521" s="35">
        <f t="shared" si="188"/>
        <v>-7.6117797292200121E-8</v>
      </c>
      <c r="N1521" s="44">
        <f t="shared" si="186"/>
        <v>-3.9799801937423452E-6</v>
      </c>
      <c r="O1521" s="45" t="e">
        <f t="shared" si="189"/>
        <v>#VALUE!</v>
      </c>
      <c r="P1521" s="52" t="str">
        <f t="shared" si="190"/>
        <v/>
      </c>
      <c r="Q1521" s="53" t="str">
        <f t="shared" si="191"/>
        <v/>
      </c>
      <c r="R1521" s="54" t="str">
        <f t="shared" si="192"/>
        <v/>
      </c>
      <c r="S1521" s="53" t="str">
        <f t="shared" si="193"/>
        <v/>
      </c>
    </row>
    <row r="1522" spans="10:19" x14ac:dyDescent="0.15">
      <c r="J1522" s="38">
        <v>1513</v>
      </c>
      <c r="K1522" s="40"/>
      <c r="L1522" s="34">
        <f t="shared" si="187"/>
        <v>8.5630382077477724E-4</v>
      </c>
      <c r="M1522" s="35">
        <f t="shared" si="188"/>
        <v>-7.6261138214769328E-8</v>
      </c>
      <c r="N1522" s="44">
        <f t="shared" si="186"/>
        <v>-3.9868358105748158E-6</v>
      </c>
      <c r="O1522" s="45" t="e">
        <f t="shared" si="189"/>
        <v>#VALUE!</v>
      </c>
      <c r="P1522" s="52" t="str">
        <f t="shared" si="190"/>
        <v/>
      </c>
      <c r="Q1522" s="53" t="str">
        <f t="shared" si="191"/>
        <v/>
      </c>
      <c r="R1522" s="54" t="str">
        <f t="shared" si="192"/>
        <v/>
      </c>
      <c r="S1522" s="53" t="str">
        <f t="shared" si="193"/>
        <v/>
      </c>
    </row>
    <row r="1523" spans="10:19" x14ac:dyDescent="0.15">
      <c r="J1523" s="38">
        <v>1514</v>
      </c>
      <c r="K1523" s="40"/>
      <c r="L1523" s="34">
        <f t="shared" si="187"/>
        <v>8.56227488073988E-4</v>
      </c>
      <c r="M1523" s="35">
        <f t="shared" si="188"/>
        <v>-7.6404220270620347E-8</v>
      </c>
      <c r="N1523" s="44">
        <f t="shared" si="186"/>
        <v>-3.9936792264827709E-6</v>
      </c>
      <c r="O1523" s="45" t="e">
        <f t="shared" si="189"/>
        <v>#VALUE!</v>
      </c>
      <c r="P1523" s="52" t="str">
        <f t="shared" si="190"/>
        <v/>
      </c>
      <c r="Q1523" s="53" t="str">
        <f t="shared" si="191"/>
        <v/>
      </c>
      <c r="R1523" s="54" t="str">
        <f t="shared" si="192"/>
        <v/>
      </c>
      <c r="S1523" s="53" t="str">
        <f t="shared" si="193"/>
        <v/>
      </c>
    </row>
    <row r="1524" spans="10:19" x14ac:dyDescent="0.15">
      <c r="J1524" s="38">
        <v>1515</v>
      </c>
      <c r="K1524" s="40"/>
      <c r="L1524" s="34">
        <f t="shared" si="187"/>
        <v>8.5615101242031714E-4</v>
      </c>
      <c r="M1524" s="35">
        <f t="shared" si="188"/>
        <v>-7.6547044082712375E-8</v>
      </c>
      <c r="N1524" s="44">
        <f t="shared" si="186"/>
        <v>-4.0005104704048675E-6</v>
      </c>
      <c r="O1524" s="45" t="e">
        <f t="shared" si="189"/>
        <v>#VALUE!</v>
      </c>
      <c r="P1524" s="52" t="str">
        <f t="shared" si="190"/>
        <v/>
      </c>
      <c r="Q1524" s="53" t="str">
        <f t="shared" si="191"/>
        <v/>
      </c>
      <c r="R1524" s="54" t="str">
        <f t="shared" si="192"/>
        <v/>
      </c>
      <c r="S1524" s="53" t="str">
        <f t="shared" si="193"/>
        <v/>
      </c>
    </row>
    <row r="1525" spans="10:19" x14ac:dyDescent="0.15">
      <c r="J1525" s="38">
        <v>1516</v>
      </c>
      <c r="K1525" s="40"/>
      <c r="L1525" s="34">
        <f t="shared" si="187"/>
        <v>8.5607439407169679E-4</v>
      </c>
      <c r="M1525" s="35">
        <f t="shared" si="188"/>
        <v>-7.6689610272131763E-8</v>
      </c>
      <c r="N1525" s="44">
        <f t="shared" si="186"/>
        <v>-4.0073295711906412E-6</v>
      </c>
      <c r="O1525" s="45" t="e">
        <f t="shared" si="189"/>
        <v>#VALUE!</v>
      </c>
      <c r="P1525" s="52" t="str">
        <f t="shared" si="190"/>
        <v/>
      </c>
      <c r="Q1525" s="53" t="str">
        <f t="shared" si="191"/>
        <v/>
      </c>
      <c r="R1525" s="54" t="str">
        <f t="shared" si="192"/>
        <v/>
      </c>
      <c r="S1525" s="53" t="str">
        <f t="shared" si="193"/>
        <v/>
      </c>
    </row>
    <row r="1526" spans="10:19" x14ac:dyDescent="0.15">
      <c r="J1526" s="38">
        <v>1517</v>
      </c>
      <c r="K1526" s="40"/>
      <c r="L1526" s="34">
        <f t="shared" si="187"/>
        <v>8.5599763328544063E-4</v>
      </c>
      <c r="M1526" s="35">
        <f t="shared" si="188"/>
        <v>-7.683191945809893E-8</v>
      </c>
      <c r="N1526" s="44">
        <f t="shared" si="186"/>
        <v>-4.0141365576067947E-6</v>
      </c>
      <c r="O1526" s="45" t="e">
        <f t="shared" si="189"/>
        <v>#VALUE!</v>
      </c>
      <c r="P1526" s="52" t="str">
        <f t="shared" si="190"/>
        <v/>
      </c>
      <c r="Q1526" s="53" t="str">
        <f t="shared" si="191"/>
        <v/>
      </c>
      <c r="R1526" s="54" t="str">
        <f t="shared" si="192"/>
        <v/>
      </c>
      <c r="S1526" s="53" t="str">
        <f t="shared" si="193"/>
        <v/>
      </c>
    </row>
    <row r="1527" spans="10:19" x14ac:dyDescent="0.15">
      <c r="J1527" s="38">
        <v>1518</v>
      </c>
      <c r="K1527" s="40"/>
      <c r="L1527" s="34">
        <f t="shared" si="187"/>
        <v>8.5592073031824287E-4</v>
      </c>
      <c r="M1527" s="35">
        <f t="shared" si="188"/>
        <v>-7.6973972257974858E-8</v>
      </c>
      <c r="N1527" s="44">
        <f t="shared" si="186"/>
        <v>-4.0209314583334026E-6</v>
      </c>
      <c r="O1527" s="45" t="e">
        <f t="shared" si="189"/>
        <v>#VALUE!</v>
      </c>
      <c r="P1527" s="52" t="str">
        <f t="shared" si="190"/>
        <v/>
      </c>
      <c r="Q1527" s="53" t="str">
        <f t="shared" si="191"/>
        <v/>
      </c>
      <c r="R1527" s="54" t="str">
        <f t="shared" si="192"/>
        <v/>
      </c>
      <c r="S1527" s="53" t="str">
        <f t="shared" si="193"/>
        <v/>
      </c>
    </row>
    <row r="1528" spans="10:19" x14ac:dyDescent="0.15">
      <c r="J1528" s="38">
        <v>1519</v>
      </c>
      <c r="K1528" s="40"/>
      <c r="L1528" s="34">
        <f t="shared" si="187"/>
        <v>8.5584368542618143E-4</v>
      </c>
      <c r="M1528" s="35">
        <f t="shared" si="188"/>
        <v>-7.7115769287267938E-8</v>
      </c>
      <c r="N1528" s="44">
        <f t="shared" si="186"/>
        <v>-4.027714301966189E-6</v>
      </c>
      <c r="O1528" s="45" t="e">
        <f t="shared" si="189"/>
        <v>#VALUE!</v>
      </c>
      <c r="P1528" s="52" t="str">
        <f t="shared" si="190"/>
        <v/>
      </c>
      <c r="Q1528" s="53" t="str">
        <f t="shared" si="191"/>
        <v/>
      </c>
      <c r="R1528" s="54" t="str">
        <f t="shared" si="192"/>
        <v/>
      </c>
      <c r="S1528" s="53" t="str">
        <f t="shared" si="193"/>
        <v/>
      </c>
    </row>
    <row r="1529" spans="10:19" x14ac:dyDescent="0.15">
      <c r="J1529" s="38">
        <v>1520</v>
      </c>
      <c r="K1529" s="40"/>
      <c r="L1529" s="34">
        <f t="shared" si="187"/>
        <v>8.5576649886472068E-4</v>
      </c>
      <c r="M1529" s="35">
        <f t="shared" si="188"/>
        <v>-7.7257311159640595E-8</v>
      </c>
      <c r="N1529" s="44">
        <f t="shared" si="186"/>
        <v>-4.0344851170169603E-6</v>
      </c>
      <c r="O1529" s="45" t="e">
        <f t="shared" si="189"/>
        <v>#VALUE!</v>
      </c>
      <c r="P1529" s="52" t="str">
        <f t="shared" si="190"/>
        <v/>
      </c>
      <c r="Q1529" s="53" t="str">
        <f t="shared" si="191"/>
        <v/>
      </c>
      <c r="R1529" s="54" t="str">
        <f t="shared" si="192"/>
        <v/>
      </c>
      <c r="S1529" s="53" t="str">
        <f t="shared" si="193"/>
        <v/>
      </c>
    </row>
    <row r="1530" spans="10:19" x14ac:dyDescent="0.15">
      <c r="J1530" s="38">
        <v>1521</v>
      </c>
      <c r="K1530" s="40"/>
      <c r="L1530" s="34">
        <f t="shared" si="187"/>
        <v>8.5568917088871049E-4</v>
      </c>
      <c r="M1530" s="35">
        <f t="shared" si="188"/>
        <v>-7.7398598486916018E-8</v>
      </c>
      <c r="N1530" s="44">
        <f t="shared" si="186"/>
        <v>-4.0412439319115461E-6</v>
      </c>
      <c r="O1530" s="45" t="e">
        <f t="shared" si="189"/>
        <v>#VALUE!</v>
      </c>
      <c r="P1530" s="52" t="str">
        <f t="shared" si="190"/>
        <v/>
      </c>
      <c r="Q1530" s="53" t="str">
        <f t="shared" si="191"/>
        <v/>
      </c>
      <c r="R1530" s="54" t="str">
        <f t="shared" si="192"/>
        <v/>
      </c>
      <c r="S1530" s="53" t="str">
        <f t="shared" si="193"/>
        <v/>
      </c>
    </row>
    <row r="1531" spans="10:19" x14ac:dyDescent="0.15">
      <c r="J1531" s="38">
        <v>1522</v>
      </c>
      <c r="K1531" s="40"/>
      <c r="L1531" s="34">
        <f t="shared" si="187"/>
        <v>8.5561170175239181E-4</v>
      </c>
      <c r="M1531" s="35">
        <f t="shared" si="188"/>
        <v>-7.7539631879084492E-8</v>
      </c>
      <c r="N1531" s="44">
        <f t="shared" si="186"/>
        <v>-4.0479907749946774E-6</v>
      </c>
      <c r="O1531" s="45" t="e">
        <f t="shared" si="189"/>
        <v>#VALUE!</v>
      </c>
      <c r="P1531" s="52" t="str">
        <f t="shared" si="190"/>
        <v/>
      </c>
      <c r="Q1531" s="53" t="str">
        <f t="shared" si="191"/>
        <v/>
      </c>
      <c r="R1531" s="54" t="str">
        <f t="shared" si="192"/>
        <v/>
      </c>
      <c r="S1531" s="53" t="str">
        <f t="shared" si="193"/>
        <v/>
      </c>
    </row>
    <row r="1532" spans="10:19" x14ac:dyDescent="0.15">
      <c r="J1532" s="38">
        <v>1523</v>
      </c>
      <c r="K1532" s="40"/>
      <c r="L1532" s="34">
        <f t="shared" si="187"/>
        <v>8.5553409170939455E-4</v>
      </c>
      <c r="M1532" s="35">
        <f t="shared" si="188"/>
        <v>-7.768041194431034E-8</v>
      </c>
      <c r="N1532" s="44">
        <f t="shared" si="186"/>
        <v>-4.0547256745238069E-6</v>
      </c>
      <c r="O1532" s="45" t="e">
        <f t="shared" si="189"/>
        <v>#VALUE!</v>
      </c>
      <c r="P1532" s="52" t="str">
        <f t="shared" si="190"/>
        <v/>
      </c>
      <c r="Q1532" s="53" t="str">
        <f t="shared" si="191"/>
        <v/>
      </c>
      <c r="R1532" s="54" t="str">
        <f t="shared" si="192"/>
        <v/>
      </c>
      <c r="S1532" s="53" t="str">
        <f t="shared" si="193"/>
        <v/>
      </c>
    </row>
    <row r="1533" spans="10:19" x14ac:dyDescent="0.15">
      <c r="J1533" s="38">
        <v>1524</v>
      </c>
      <c r="K1533" s="40"/>
      <c r="L1533" s="34">
        <f t="shared" si="187"/>
        <v>8.5545634101274321E-4</v>
      </c>
      <c r="M1533" s="35">
        <f t="shared" si="188"/>
        <v>-7.7820939288938194E-8</v>
      </c>
      <c r="N1533" s="44">
        <f t="shared" si="186"/>
        <v>-4.0614486586766987E-6</v>
      </c>
      <c r="O1533" s="45" t="e">
        <f t="shared" si="189"/>
        <v>#VALUE!</v>
      </c>
      <c r="P1533" s="52" t="str">
        <f t="shared" si="190"/>
        <v/>
      </c>
      <c r="Q1533" s="53" t="str">
        <f t="shared" si="191"/>
        <v/>
      </c>
      <c r="R1533" s="54" t="str">
        <f t="shared" si="192"/>
        <v/>
      </c>
      <c r="S1533" s="53" t="str">
        <f t="shared" si="193"/>
        <v/>
      </c>
    </row>
    <row r="1534" spans="10:19" x14ac:dyDescent="0.15">
      <c r="J1534" s="38">
        <v>1525</v>
      </c>
      <c r="K1534" s="40"/>
      <c r="L1534" s="34">
        <f t="shared" si="187"/>
        <v>8.5537844991485554E-4</v>
      </c>
      <c r="M1534" s="35">
        <f t="shared" si="188"/>
        <v>-7.7961214517499876E-8</v>
      </c>
      <c r="N1534" s="44">
        <f t="shared" si="186"/>
        <v>-4.0681597555454647E-6</v>
      </c>
      <c r="O1534" s="45" t="e">
        <f t="shared" si="189"/>
        <v>#VALUE!</v>
      </c>
      <c r="P1534" s="52" t="str">
        <f t="shared" si="190"/>
        <v/>
      </c>
      <c r="Q1534" s="53" t="str">
        <f t="shared" si="191"/>
        <v/>
      </c>
      <c r="R1534" s="54" t="str">
        <f t="shared" si="192"/>
        <v/>
      </c>
      <c r="S1534" s="53" t="str">
        <f t="shared" si="193"/>
        <v/>
      </c>
    </row>
    <row r="1535" spans="10:19" x14ac:dyDescent="0.15">
      <c r="J1535" s="38">
        <v>1526</v>
      </c>
      <c r="K1535" s="40"/>
      <c r="L1535" s="34">
        <f t="shared" si="187"/>
        <v>8.5530041866754597E-4</v>
      </c>
      <c r="M1535" s="35">
        <f t="shared" si="188"/>
        <v>-7.8101238232720313E-8</v>
      </c>
      <c r="N1535" s="44">
        <f t="shared" si="186"/>
        <v>-4.0748589931403597E-6</v>
      </c>
      <c r="O1535" s="45" t="e">
        <f t="shared" si="189"/>
        <v>#VALUE!</v>
      </c>
      <c r="P1535" s="52" t="str">
        <f t="shared" si="190"/>
        <v/>
      </c>
      <c r="Q1535" s="53" t="str">
        <f t="shared" si="191"/>
        <v/>
      </c>
      <c r="R1535" s="54" t="str">
        <f t="shared" si="192"/>
        <v/>
      </c>
      <c r="S1535" s="53" t="str">
        <f t="shared" si="193"/>
        <v/>
      </c>
    </row>
    <row r="1536" spans="10:19" x14ac:dyDescent="0.15">
      <c r="J1536" s="38">
        <v>1527</v>
      </c>
      <c r="K1536" s="40"/>
      <c r="L1536" s="34">
        <f t="shared" si="187"/>
        <v>8.5522224752202739E-4</v>
      </c>
      <c r="M1536" s="35">
        <f t="shared" si="188"/>
        <v>-7.8241011035524621E-8</v>
      </c>
      <c r="N1536" s="44">
        <f t="shared" si="186"/>
        <v>-4.0815463993897809E-6</v>
      </c>
      <c r="O1536" s="45" t="e">
        <f t="shared" si="189"/>
        <v>#VALUE!</v>
      </c>
      <c r="P1536" s="52" t="str">
        <f t="shared" si="190"/>
        <v/>
      </c>
      <c r="Q1536" s="53" t="str">
        <f t="shared" si="191"/>
        <v/>
      </c>
      <c r="R1536" s="54" t="str">
        <f t="shared" si="192"/>
        <v/>
      </c>
      <c r="S1536" s="53" t="str">
        <f t="shared" si="193"/>
        <v/>
      </c>
    </row>
    <row r="1537" spans="10:19" x14ac:dyDescent="0.15">
      <c r="J1537" s="38">
        <v>1528</v>
      </c>
      <c r="K1537" s="40"/>
      <c r="L1537" s="34">
        <f t="shared" si="187"/>
        <v>8.551439367289128E-4</v>
      </c>
      <c r="M1537" s="35">
        <f t="shared" si="188"/>
        <v>-7.838053352504431E-8</v>
      </c>
      <c r="N1537" s="44">
        <f t="shared" si="186"/>
        <v>-4.0882220021389677E-6</v>
      </c>
      <c r="O1537" s="45" t="e">
        <f t="shared" si="189"/>
        <v>#VALUE!</v>
      </c>
      <c r="P1537" s="52" t="str">
        <f t="shared" si="190"/>
        <v/>
      </c>
      <c r="Q1537" s="53" t="str">
        <f t="shared" si="191"/>
        <v/>
      </c>
      <c r="R1537" s="54" t="str">
        <f t="shared" si="192"/>
        <v/>
      </c>
      <c r="S1537" s="53" t="str">
        <f t="shared" si="193"/>
        <v/>
      </c>
    </row>
    <row r="1538" spans="10:19" x14ac:dyDescent="0.15">
      <c r="J1538" s="38">
        <v>1529</v>
      </c>
      <c r="K1538" s="40"/>
      <c r="L1538" s="34">
        <f t="shared" si="187"/>
        <v>8.5506548653821609E-4</v>
      </c>
      <c r="M1538" s="35">
        <f t="shared" si="188"/>
        <v>-7.8519806298623453E-8</v>
      </c>
      <c r="N1538" s="44">
        <f t="shared" si="186"/>
        <v>-4.0948858291517355E-6</v>
      </c>
      <c r="O1538" s="45" t="e">
        <f t="shared" si="189"/>
        <v>#VALUE!</v>
      </c>
      <c r="P1538" s="52" t="str">
        <f t="shared" si="190"/>
        <v/>
      </c>
      <c r="Q1538" s="53" t="str">
        <f t="shared" si="191"/>
        <v/>
      </c>
      <c r="R1538" s="54" t="str">
        <f t="shared" si="192"/>
        <v/>
      </c>
      <c r="S1538" s="53" t="str">
        <f t="shared" si="193"/>
        <v/>
      </c>
    </row>
    <row r="1539" spans="10:19" x14ac:dyDescent="0.15">
      <c r="J1539" s="38">
        <v>1530</v>
      </c>
      <c r="K1539" s="40"/>
      <c r="L1539" s="34">
        <f t="shared" si="187"/>
        <v>8.5498689719935557E-4</v>
      </c>
      <c r="M1539" s="35">
        <f t="shared" si="188"/>
        <v>-7.8658829951825632E-8</v>
      </c>
      <c r="N1539" s="44">
        <f t="shared" si="186"/>
        <v>-4.1015379081102595E-6</v>
      </c>
      <c r="O1539" s="45" t="e">
        <f t="shared" si="189"/>
        <v>#VALUE!</v>
      </c>
      <c r="P1539" s="52" t="str">
        <f t="shared" si="190"/>
        <v/>
      </c>
      <c r="Q1539" s="53" t="str">
        <f t="shared" si="191"/>
        <v/>
      </c>
      <c r="R1539" s="54" t="str">
        <f t="shared" si="192"/>
        <v/>
      </c>
      <c r="S1539" s="53" t="str">
        <f t="shared" si="193"/>
        <v/>
      </c>
    </row>
    <row r="1540" spans="10:19" x14ac:dyDescent="0.15">
      <c r="J1540" s="38">
        <v>1531</v>
      </c>
      <c r="K1540" s="40"/>
      <c r="L1540" s="34">
        <f t="shared" si="187"/>
        <v>8.5490816896115446E-4</v>
      </c>
      <c r="M1540" s="35">
        <f t="shared" si="188"/>
        <v>-7.8797605078439723E-8</v>
      </c>
      <c r="N1540" s="44">
        <f t="shared" si="186"/>
        <v>-4.1081782666151827E-6</v>
      </c>
      <c r="O1540" s="45" t="e">
        <f t="shared" si="189"/>
        <v>#VALUE!</v>
      </c>
      <c r="P1540" s="52" t="str">
        <f t="shared" si="190"/>
        <v/>
      </c>
      <c r="Q1540" s="53" t="str">
        <f t="shared" si="191"/>
        <v/>
      </c>
      <c r="R1540" s="54" t="str">
        <f t="shared" si="192"/>
        <v/>
      </c>
      <c r="S1540" s="53" t="str">
        <f t="shared" si="193"/>
        <v/>
      </c>
    </row>
    <row r="1541" spans="10:19" x14ac:dyDescent="0.15">
      <c r="J1541" s="38">
        <v>1532</v>
      </c>
      <c r="K1541" s="40"/>
      <c r="L1541" s="34">
        <f t="shared" si="187"/>
        <v>8.5482930207184354E-4</v>
      </c>
      <c r="M1541" s="35">
        <f t="shared" si="188"/>
        <v>-7.8936132270486567E-8</v>
      </c>
      <c r="N1541" s="44">
        <f t="shared" si="186"/>
        <v>-4.1148069321871343E-6</v>
      </c>
      <c r="O1541" s="45" t="e">
        <f t="shared" si="189"/>
        <v>#VALUE!</v>
      </c>
      <c r="P1541" s="52" t="str">
        <f t="shared" si="190"/>
        <v/>
      </c>
      <c r="Q1541" s="53" t="str">
        <f t="shared" si="191"/>
        <v/>
      </c>
      <c r="R1541" s="54" t="str">
        <f t="shared" si="192"/>
        <v/>
      </c>
      <c r="S1541" s="53" t="str">
        <f t="shared" si="193"/>
        <v/>
      </c>
    </row>
    <row r="1542" spans="10:19" x14ac:dyDescent="0.15">
      <c r="J1542" s="38">
        <v>1533</v>
      </c>
      <c r="K1542" s="40"/>
      <c r="L1542" s="34">
        <f t="shared" si="187"/>
        <v>8.5475029677906165E-4</v>
      </c>
      <c r="M1542" s="35">
        <f t="shared" si="188"/>
        <v>-7.9074412118225467E-8</v>
      </c>
      <c r="N1542" s="44">
        <f t="shared" si="186"/>
        <v>-4.1214239322643438E-6</v>
      </c>
      <c r="O1542" s="45" t="e">
        <f t="shared" si="189"/>
        <v>#VALUE!</v>
      </c>
      <c r="P1542" s="52" t="str">
        <f t="shared" si="190"/>
        <v/>
      </c>
      <c r="Q1542" s="53" t="str">
        <f t="shared" si="191"/>
        <v/>
      </c>
      <c r="R1542" s="54" t="str">
        <f t="shared" si="192"/>
        <v/>
      </c>
      <c r="S1542" s="53" t="str">
        <f t="shared" si="193"/>
        <v/>
      </c>
    </row>
    <row r="1543" spans="10:19" x14ac:dyDescent="0.15">
      <c r="J1543" s="38">
        <v>1534</v>
      </c>
      <c r="K1543" s="40"/>
      <c r="L1543" s="34">
        <f t="shared" si="187"/>
        <v>8.54671153329859E-4</v>
      </c>
      <c r="M1543" s="35">
        <f t="shared" si="188"/>
        <v>-7.921244521015984E-8</v>
      </c>
      <c r="N1543" s="44">
        <f t="shared" si="186"/>
        <v>-4.1280292942061109E-6</v>
      </c>
      <c r="O1543" s="45" t="e">
        <f t="shared" si="189"/>
        <v>#VALUE!</v>
      </c>
      <c r="P1543" s="52" t="str">
        <f t="shared" si="190"/>
        <v/>
      </c>
      <c r="Q1543" s="53" t="str">
        <f t="shared" si="191"/>
        <v/>
      </c>
      <c r="R1543" s="54" t="str">
        <f t="shared" si="192"/>
        <v/>
      </c>
      <c r="S1543" s="53" t="str">
        <f t="shared" si="193"/>
        <v/>
      </c>
    </row>
    <row r="1544" spans="10:19" x14ac:dyDescent="0.15">
      <c r="J1544" s="38">
        <v>1535</v>
      </c>
      <c r="K1544" s="40"/>
      <c r="L1544" s="34">
        <f t="shared" si="187"/>
        <v>8.5459187197069793E-4</v>
      </c>
      <c r="M1544" s="35">
        <f t="shared" si="188"/>
        <v>-7.9350232133044154E-8</v>
      </c>
      <c r="N1544" s="44">
        <f t="shared" si="186"/>
        <v>-4.1346230452909624E-6</v>
      </c>
      <c r="O1544" s="45" t="e">
        <f t="shared" si="189"/>
        <v>#VALUE!</v>
      </c>
      <c r="P1544" s="52" t="str">
        <f t="shared" si="190"/>
        <v/>
      </c>
      <c r="Q1544" s="53" t="str">
        <f t="shared" si="191"/>
        <v/>
      </c>
      <c r="R1544" s="54" t="str">
        <f t="shared" si="192"/>
        <v/>
      </c>
      <c r="S1544" s="53" t="str">
        <f t="shared" si="193"/>
        <v/>
      </c>
    </row>
    <row r="1545" spans="10:19" x14ac:dyDescent="0.15">
      <c r="J1545" s="38">
        <v>1536</v>
      </c>
      <c r="K1545" s="40"/>
      <c r="L1545" s="34">
        <f t="shared" si="187"/>
        <v>8.5451245294745426E-4</v>
      </c>
      <c r="M1545" s="35">
        <f t="shared" si="188"/>
        <v>-7.9487773471889705E-8</v>
      </c>
      <c r="N1545" s="44">
        <f t="shared" ref="N1545:N1608" si="194">(L1595-L1545)</f>
        <v>-4.1412052127167602E-6</v>
      </c>
      <c r="O1545" s="45" t="e">
        <f t="shared" si="189"/>
        <v>#VALUE!</v>
      </c>
      <c r="P1545" s="52" t="str">
        <f t="shared" si="190"/>
        <v/>
      </c>
      <c r="Q1545" s="53" t="str">
        <f t="shared" si="191"/>
        <v/>
      </c>
      <c r="R1545" s="54" t="str">
        <f t="shared" si="192"/>
        <v/>
      </c>
      <c r="S1545" s="53" t="str">
        <f t="shared" si="193"/>
        <v/>
      </c>
    </row>
    <row r="1546" spans="10:19" x14ac:dyDescent="0.15">
      <c r="J1546" s="38">
        <v>1537</v>
      </c>
      <c r="K1546" s="40"/>
      <c r="L1546" s="34">
        <f t="shared" ref="L1546:L1609" si="195">$F$39*((1-$F$40*J1546)/(1+$F$41*J1546))*(J1546-$F$42)</f>
        <v>8.544328965054207E-4</v>
      </c>
      <c r="M1546" s="35">
        <f t="shared" ref="M1546:M1609" si="196">$F$39*((1-2*$F$40*J1546-$F$40*$F$41*(J1546^2)+($F$41+$F$40)*$F$42)/(1+$F$41*J1546)^2)</f>
        <v>-7.9625069809971205E-8</v>
      </c>
      <c r="N1546" s="44">
        <f t="shared" si="194"/>
        <v>-4.1477758236033039E-6</v>
      </c>
      <c r="O1546" s="45" t="e">
        <f t="shared" ref="O1546:O1609" si="197">IF(N1546&lt;=$B$49,1+O1545,0)</f>
        <v>#VALUE!</v>
      </c>
      <c r="P1546" s="52" t="str">
        <f t="shared" ref="P1546:P1609" si="198">IF(J1546&lt;=$F$42,J1546,"")</f>
        <v/>
      </c>
      <c r="Q1546" s="53" t="str">
        <f t="shared" ref="Q1546:Q1609" si="199">IF(J1546&lt;=$F$42,L1546,"")</f>
        <v/>
      </c>
      <c r="R1546" s="54" t="str">
        <f t="shared" ref="R1546:R1609" si="200">IF(AND(J1546&gt;=$F$42,J1546&lt;=200),J1546,"")</f>
        <v/>
      </c>
      <c r="S1546" s="53" t="str">
        <f t="shared" ref="S1546:S1609" si="201">IF(AND(J1546&gt;=$F$42,J1546&lt;=200),L1546,"")</f>
        <v/>
      </c>
    </row>
    <row r="1547" spans="10:19" x14ac:dyDescent="0.15">
      <c r="J1547" s="38">
        <v>1538</v>
      </c>
      <c r="K1547" s="40"/>
      <c r="L1547" s="34">
        <f t="shared" si="195"/>
        <v>8.5435320288930732E-4</v>
      </c>
      <c r="M1547" s="35">
        <f t="shared" si="196"/>
        <v>-7.9762121728832542E-8</v>
      </c>
      <c r="N1547" s="44">
        <f t="shared" si="194"/>
        <v>-4.154334904990487E-6</v>
      </c>
      <c r="O1547" s="45" t="e">
        <f t="shared" si="197"/>
        <v>#VALUE!</v>
      </c>
      <c r="P1547" s="52" t="str">
        <f t="shared" si="198"/>
        <v/>
      </c>
      <c r="Q1547" s="53" t="str">
        <f t="shared" si="199"/>
        <v/>
      </c>
      <c r="R1547" s="54" t="str">
        <f t="shared" si="200"/>
        <v/>
      </c>
      <c r="S1547" s="53" t="str">
        <f t="shared" si="201"/>
        <v/>
      </c>
    </row>
    <row r="1548" spans="10:19" x14ac:dyDescent="0.15">
      <c r="J1548" s="38">
        <v>1539</v>
      </c>
      <c r="K1548" s="40"/>
      <c r="L1548" s="34">
        <f t="shared" si="195"/>
        <v>8.5427337234324284E-4</v>
      </c>
      <c r="M1548" s="35">
        <f t="shared" si="196"/>
        <v>-7.9898929808293194E-8</v>
      </c>
      <c r="N1548" s="44">
        <f t="shared" si="194"/>
        <v>-4.1608824838381894E-6</v>
      </c>
      <c r="O1548" s="45" t="e">
        <f t="shared" si="197"/>
        <v>#VALUE!</v>
      </c>
      <c r="P1548" s="52" t="str">
        <f t="shared" si="198"/>
        <v/>
      </c>
      <c r="Q1548" s="53" t="str">
        <f t="shared" si="199"/>
        <v/>
      </c>
      <c r="R1548" s="54" t="str">
        <f t="shared" si="200"/>
        <v/>
      </c>
      <c r="S1548" s="53" t="str">
        <f t="shared" si="201"/>
        <v/>
      </c>
    </row>
    <row r="1549" spans="10:19" x14ac:dyDescent="0.15">
      <c r="J1549" s="38">
        <v>1540</v>
      </c>
      <c r="K1549" s="40"/>
      <c r="L1549" s="34">
        <f t="shared" si="195"/>
        <v>8.5419340511077788E-4</v>
      </c>
      <c r="M1549" s="35">
        <f t="shared" si="196"/>
        <v>-8.003549462645451E-8</v>
      </c>
      <c r="N1549" s="44">
        <f t="shared" si="194"/>
        <v>-4.1674185870290955E-6</v>
      </c>
      <c r="O1549" s="45" t="e">
        <f t="shared" si="197"/>
        <v>#VALUE!</v>
      </c>
      <c r="P1549" s="52" t="str">
        <f t="shared" si="198"/>
        <v/>
      </c>
      <c r="Q1549" s="53" t="str">
        <f t="shared" si="199"/>
        <v/>
      </c>
      <c r="R1549" s="54" t="str">
        <f t="shared" si="200"/>
        <v/>
      </c>
      <c r="S1549" s="53" t="str">
        <f t="shared" si="201"/>
        <v/>
      </c>
    </row>
    <row r="1550" spans="10:19" x14ac:dyDescent="0.15">
      <c r="J1550" s="38">
        <v>1541</v>
      </c>
      <c r="K1550" s="40"/>
      <c r="L1550" s="34">
        <f t="shared" si="195"/>
        <v>8.5411330143488507E-4</v>
      </c>
      <c r="M1550" s="35">
        <f t="shared" si="196"/>
        <v>-8.0171816759705378E-8</v>
      </c>
      <c r="N1550" s="44">
        <f t="shared" si="194"/>
        <v>-4.173943241366526E-6</v>
      </c>
      <c r="O1550" s="45" t="e">
        <f t="shared" si="197"/>
        <v>#VALUE!</v>
      </c>
      <c r="P1550" s="52" t="str">
        <f t="shared" si="198"/>
        <v/>
      </c>
      <c r="Q1550" s="53" t="str">
        <f t="shared" si="199"/>
        <v/>
      </c>
      <c r="R1550" s="54" t="str">
        <f t="shared" si="200"/>
        <v/>
      </c>
      <c r="S1550" s="53" t="str">
        <f t="shared" si="201"/>
        <v/>
      </c>
    </row>
    <row r="1551" spans="10:19" x14ac:dyDescent="0.15">
      <c r="J1551" s="38">
        <v>1542</v>
      </c>
      <c r="K1551" s="40"/>
      <c r="L1551" s="34">
        <f t="shared" si="195"/>
        <v>8.5403306155796177E-4</v>
      </c>
      <c r="M1551" s="35">
        <f t="shared" si="196"/>
        <v>-8.0307896782728774E-8</v>
      </c>
      <c r="N1551" s="44">
        <f t="shared" si="194"/>
        <v>-4.1804564735749804E-6</v>
      </c>
      <c r="O1551" s="45" t="e">
        <f t="shared" si="197"/>
        <v>#VALUE!</v>
      </c>
      <c r="P1551" s="52" t="str">
        <f t="shared" si="198"/>
        <v/>
      </c>
      <c r="Q1551" s="53" t="str">
        <f t="shared" si="199"/>
        <v/>
      </c>
      <c r="R1551" s="54" t="str">
        <f t="shared" si="200"/>
        <v/>
      </c>
      <c r="S1551" s="53" t="str">
        <f t="shared" si="201"/>
        <v/>
      </c>
    </row>
    <row r="1552" spans="10:19" x14ac:dyDescent="0.15">
      <c r="J1552" s="38">
        <v>1543</v>
      </c>
      <c r="K1552" s="40"/>
      <c r="L1552" s="34">
        <f t="shared" si="195"/>
        <v>8.539526857218318E-4</v>
      </c>
      <c r="M1552" s="35">
        <f t="shared" si="196"/>
        <v>-8.0443735268507413E-8</v>
      </c>
      <c r="N1552" s="44">
        <f t="shared" si="194"/>
        <v>-4.1869583103025217E-6</v>
      </c>
      <c r="O1552" s="45" t="e">
        <f t="shared" si="197"/>
        <v>#VALUE!</v>
      </c>
      <c r="P1552" s="52" t="str">
        <f t="shared" si="198"/>
        <v/>
      </c>
      <c r="Q1552" s="53" t="str">
        <f t="shared" si="199"/>
        <v/>
      </c>
      <c r="R1552" s="54" t="str">
        <f t="shared" si="200"/>
        <v/>
      </c>
      <c r="S1552" s="53" t="str">
        <f t="shared" si="201"/>
        <v/>
      </c>
    </row>
    <row r="1553" spans="10:19" x14ac:dyDescent="0.15">
      <c r="J1553" s="38">
        <v>1544</v>
      </c>
      <c r="K1553" s="40"/>
      <c r="L1553" s="34">
        <f t="shared" si="195"/>
        <v>8.5387217416774662E-4</v>
      </c>
      <c r="M1553" s="35">
        <f t="shared" si="196"/>
        <v>-8.0579332788330172E-8</v>
      </c>
      <c r="N1553" s="44">
        <f t="shared" si="194"/>
        <v>-4.1934487781182831E-6</v>
      </c>
      <c r="O1553" s="45" t="e">
        <f t="shared" si="197"/>
        <v>#VALUE!</v>
      </c>
      <c r="P1553" s="52" t="str">
        <f t="shared" si="198"/>
        <v/>
      </c>
      <c r="Q1553" s="53" t="str">
        <f t="shared" si="199"/>
        <v/>
      </c>
      <c r="R1553" s="54" t="str">
        <f t="shared" si="200"/>
        <v/>
      </c>
      <c r="S1553" s="53" t="str">
        <f t="shared" si="201"/>
        <v/>
      </c>
    </row>
    <row r="1554" spans="10:19" x14ac:dyDescent="0.15">
      <c r="J1554" s="38">
        <v>1545</v>
      </c>
      <c r="K1554" s="40"/>
      <c r="L1554" s="34">
        <f t="shared" si="195"/>
        <v>8.537915271363875E-4</v>
      </c>
      <c r="M1554" s="35">
        <f t="shared" si="196"/>
        <v>-8.071468991179775E-8</v>
      </c>
      <c r="N1554" s="44">
        <f t="shared" si="194"/>
        <v>-4.1999279035148532E-6</v>
      </c>
      <c r="O1554" s="45" t="e">
        <f t="shared" si="197"/>
        <v>#VALUE!</v>
      </c>
      <c r="P1554" s="52" t="str">
        <f t="shared" si="198"/>
        <v/>
      </c>
      <c r="Q1554" s="53" t="str">
        <f t="shared" si="199"/>
        <v/>
      </c>
      <c r="R1554" s="54" t="str">
        <f t="shared" si="200"/>
        <v/>
      </c>
      <c r="S1554" s="53" t="str">
        <f t="shared" si="201"/>
        <v/>
      </c>
    </row>
    <row r="1555" spans="10:19" x14ac:dyDescent="0.15">
      <c r="J1555" s="38">
        <v>1546</v>
      </c>
      <c r="K1555" s="40"/>
      <c r="L1555" s="34">
        <f t="shared" si="195"/>
        <v>8.5371074486786599E-4</v>
      </c>
      <c r="M1555" s="35">
        <f t="shared" si="196"/>
        <v>-8.0849807206828731E-8</v>
      </c>
      <c r="N1555" s="44">
        <f t="shared" si="194"/>
        <v>-4.2063957129069747E-6</v>
      </c>
      <c r="O1555" s="45" t="e">
        <f t="shared" si="197"/>
        <v>#VALUE!</v>
      </c>
      <c r="P1555" s="52" t="str">
        <f t="shared" si="198"/>
        <v/>
      </c>
      <c r="Q1555" s="53" t="str">
        <f t="shared" si="199"/>
        <v/>
      </c>
      <c r="R1555" s="54" t="str">
        <f t="shared" si="200"/>
        <v/>
      </c>
      <c r="S1555" s="53" t="str">
        <f t="shared" si="201"/>
        <v/>
      </c>
    </row>
    <row r="1556" spans="10:19" x14ac:dyDescent="0.15">
      <c r="J1556" s="38">
        <v>1547</v>
      </c>
      <c r="K1556" s="40"/>
      <c r="L1556" s="34">
        <f t="shared" si="195"/>
        <v>8.5362982760172777E-4</v>
      </c>
      <c r="M1556" s="35">
        <f t="shared" si="196"/>
        <v>-8.098468523966587E-8</v>
      </c>
      <c r="N1556" s="44">
        <f t="shared" si="194"/>
        <v>-4.2128522326328457E-6</v>
      </c>
      <c r="O1556" s="45" t="e">
        <f t="shared" si="197"/>
        <v>#VALUE!</v>
      </c>
      <c r="P1556" s="52" t="str">
        <f t="shared" si="198"/>
        <v/>
      </c>
      <c r="Q1556" s="53" t="str">
        <f t="shared" si="199"/>
        <v/>
      </c>
      <c r="R1556" s="54" t="str">
        <f t="shared" si="200"/>
        <v/>
      </c>
      <c r="S1556" s="53" t="str">
        <f t="shared" si="201"/>
        <v/>
      </c>
    </row>
    <row r="1557" spans="10:19" x14ac:dyDescent="0.15">
      <c r="J1557" s="38">
        <v>1548</v>
      </c>
      <c r="K1557" s="40"/>
      <c r="L1557" s="34">
        <f t="shared" si="195"/>
        <v>8.5354877557695247E-4</v>
      </c>
      <c r="M1557" s="35">
        <f t="shared" si="196"/>
        <v>-8.111932457488155E-8</v>
      </c>
      <c r="N1557" s="44">
        <f t="shared" si="194"/>
        <v>-4.2192974889546618E-6</v>
      </c>
      <c r="O1557" s="45" t="e">
        <f t="shared" si="197"/>
        <v>#VALUE!</v>
      </c>
      <c r="P1557" s="52" t="str">
        <f t="shared" si="198"/>
        <v/>
      </c>
      <c r="Q1557" s="53" t="str">
        <f t="shared" si="199"/>
        <v/>
      </c>
      <c r="R1557" s="54" t="str">
        <f t="shared" si="200"/>
        <v/>
      </c>
      <c r="S1557" s="53" t="str">
        <f t="shared" si="201"/>
        <v/>
      </c>
    </row>
    <row r="1558" spans="10:19" x14ac:dyDescent="0.15">
      <c r="J1558" s="38">
        <v>1549</v>
      </c>
      <c r="K1558" s="40"/>
      <c r="L1558" s="34">
        <f t="shared" si="195"/>
        <v>8.5346758903195625E-4</v>
      </c>
      <c r="M1558" s="35">
        <f t="shared" si="196"/>
        <v>-8.1253725775383942E-8</v>
      </c>
      <c r="N1558" s="44">
        <f t="shared" si="194"/>
        <v>-4.2257315080568812E-6</v>
      </c>
      <c r="O1558" s="45" t="e">
        <f t="shared" si="197"/>
        <v>#VALUE!</v>
      </c>
      <c r="P1558" s="52" t="str">
        <f t="shared" si="198"/>
        <v/>
      </c>
      <c r="Q1558" s="53" t="str">
        <f t="shared" si="199"/>
        <v/>
      </c>
      <c r="R1558" s="54" t="str">
        <f t="shared" si="200"/>
        <v/>
      </c>
      <c r="S1558" s="53" t="str">
        <f t="shared" si="201"/>
        <v/>
      </c>
    </row>
    <row r="1559" spans="10:19" x14ac:dyDescent="0.15">
      <c r="J1559" s="38">
        <v>1550</v>
      </c>
      <c r="K1559" s="40"/>
      <c r="L1559" s="34">
        <f t="shared" si="195"/>
        <v>8.5338626820459279E-4</v>
      </c>
      <c r="M1559" s="35">
        <f t="shared" si="196"/>
        <v>-8.1387889402422847E-8</v>
      </c>
      <c r="N1559" s="44">
        <f t="shared" si="194"/>
        <v>-4.2321543160492607E-6</v>
      </c>
      <c r="O1559" s="45" t="e">
        <f t="shared" si="197"/>
        <v>#VALUE!</v>
      </c>
      <c r="P1559" s="52" t="str">
        <f t="shared" si="198"/>
        <v/>
      </c>
      <c r="Q1559" s="53" t="str">
        <f t="shared" si="199"/>
        <v/>
      </c>
      <c r="R1559" s="54" t="str">
        <f t="shared" si="200"/>
        <v/>
      </c>
      <c r="S1559" s="53" t="str">
        <f t="shared" si="201"/>
        <v/>
      </c>
    </row>
    <row r="1560" spans="10:19" x14ac:dyDescent="0.15">
      <c r="J1560" s="38">
        <v>1551</v>
      </c>
      <c r="K1560" s="40"/>
      <c r="L1560" s="34">
        <f t="shared" si="195"/>
        <v>8.5330481333215601E-4</v>
      </c>
      <c r="M1560" s="35">
        <f t="shared" si="196"/>
        <v>-8.1521816015595638E-8</v>
      </c>
      <c r="N1560" s="44">
        <f t="shared" si="194"/>
        <v>-4.2385659389651206E-6</v>
      </c>
      <c r="O1560" s="45" t="e">
        <f t="shared" si="197"/>
        <v>#VALUE!</v>
      </c>
      <c r="P1560" s="52" t="str">
        <f t="shared" si="198"/>
        <v/>
      </c>
      <c r="Q1560" s="53" t="str">
        <f t="shared" si="199"/>
        <v/>
      </c>
      <c r="R1560" s="54" t="str">
        <f t="shared" si="200"/>
        <v/>
      </c>
      <c r="S1560" s="53" t="str">
        <f t="shared" si="201"/>
        <v/>
      </c>
    </row>
    <row r="1561" spans="10:19" x14ac:dyDescent="0.15">
      <c r="J1561" s="38">
        <v>1552</v>
      </c>
      <c r="K1561" s="40"/>
      <c r="L1561" s="34">
        <f t="shared" si="195"/>
        <v>8.5322322465138014E-4</v>
      </c>
      <c r="M1561" s="35">
        <f t="shared" si="196"/>
        <v>-8.165550617285291E-8</v>
      </c>
      <c r="N1561" s="44">
        <f t="shared" si="194"/>
        <v>-4.2449664027624295E-6</v>
      </c>
      <c r="O1561" s="45" t="e">
        <f t="shared" si="197"/>
        <v>#VALUE!</v>
      </c>
      <c r="P1561" s="52" t="str">
        <f t="shared" si="198"/>
        <v/>
      </c>
      <c r="Q1561" s="53" t="str">
        <f t="shared" si="199"/>
        <v/>
      </c>
      <c r="R1561" s="54" t="str">
        <f t="shared" si="200"/>
        <v/>
      </c>
      <c r="S1561" s="53" t="str">
        <f t="shared" si="201"/>
        <v/>
      </c>
    </row>
    <row r="1562" spans="10:19" x14ac:dyDescent="0.15">
      <c r="J1562" s="38">
        <v>1553</v>
      </c>
      <c r="K1562" s="40"/>
      <c r="L1562" s="34">
        <f t="shared" si="195"/>
        <v>8.5314150239844335E-4</v>
      </c>
      <c r="M1562" s="35">
        <f t="shared" si="196"/>
        <v>-8.1788960430504448E-8</v>
      </c>
      <c r="N1562" s="44">
        <f t="shared" si="194"/>
        <v>-4.2513557333240205E-6</v>
      </c>
      <c r="O1562" s="45" t="e">
        <f t="shared" si="197"/>
        <v>#VALUE!</v>
      </c>
      <c r="P1562" s="52" t="str">
        <f t="shared" si="198"/>
        <v/>
      </c>
      <c r="Q1562" s="53" t="str">
        <f t="shared" si="199"/>
        <v/>
      </c>
      <c r="R1562" s="54" t="str">
        <f t="shared" si="200"/>
        <v/>
      </c>
      <c r="S1562" s="53" t="str">
        <f t="shared" si="201"/>
        <v/>
      </c>
    </row>
    <row r="1563" spans="10:19" x14ac:dyDescent="0.15">
      <c r="J1563" s="38">
        <v>1554</v>
      </c>
      <c r="K1563" s="40"/>
      <c r="L1563" s="34">
        <f t="shared" si="195"/>
        <v>8.5305964680896758E-4</v>
      </c>
      <c r="M1563" s="35">
        <f t="shared" si="196"/>
        <v>-8.1922179343224895E-8</v>
      </c>
      <c r="N1563" s="44">
        <f t="shared" si="194"/>
        <v>-4.2577339564572663E-6</v>
      </c>
      <c r="O1563" s="45" t="e">
        <f t="shared" si="197"/>
        <v>#VALUE!</v>
      </c>
      <c r="P1563" s="52" t="str">
        <f t="shared" si="198"/>
        <v/>
      </c>
      <c r="Q1563" s="53" t="str">
        <f t="shared" si="199"/>
        <v/>
      </c>
      <c r="R1563" s="54" t="str">
        <f t="shared" si="200"/>
        <v/>
      </c>
      <c r="S1563" s="53" t="str">
        <f t="shared" si="201"/>
        <v/>
      </c>
    </row>
    <row r="1564" spans="10:19" x14ac:dyDescent="0.15">
      <c r="J1564" s="38">
        <v>1555</v>
      </c>
      <c r="K1564" s="40"/>
      <c r="L1564" s="34">
        <f t="shared" si="195"/>
        <v>8.5297765811802079E-4</v>
      </c>
      <c r="M1564" s="35">
        <f t="shared" si="196"/>
        <v>-8.2055163464059664E-8</v>
      </c>
      <c r="N1564" s="44">
        <f t="shared" si="194"/>
        <v>-4.2641010978954888E-6</v>
      </c>
      <c r="O1564" s="45" t="e">
        <f t="shared" si="197"/>
        <v>#VALUE!</v>
      </c>
      <c r="P1564" s="52" t="str">
        <f t="shared" si="198"/>
        <v/>
      </c>
      <c r="Q1564" s="53" t="str">
        <f t="shared" si="199"/>
        <v/>
      </c>
      <c r="R1564" s="54" t="str">
        <f t="shared" si="200"/>
        <v/>
      </c>
      <c r="S1564" s="53" t="str">
        <f t="shared" si="201"/>
        <v/>
      </c>
    </row>
    <row r="1565" spans="10:19" x14ac:dyDescent="0.15">
      <c r="J1565" s="38">
        <v>1556</v>
      </c>
      <c r="K1565" s="40"/>
      <c r="L1565" s="34">
        <f t="shared" si="195"/>
        <v>8.5289553656011968E-4</v>
      </c>
      <c r="M1565" s="35">
        <f t="shared" si="196"/>
        <v>-8.2187913344430632E-8</v>
      </c>
      <c r="N1565" s="44">
        <f t="shared" si="194"/>
        <v>-4.2704571832969827E-6</v>
      </c>
      <c r="O1565" s="45" t="e">
        <f t="shared" si="197"/>
        <v>#VALUE!</v>
      </c>
      <c r="P1565" s="52" t="str">
        <f t="shared" si="198"/>
        <v/>
      </c>
      <c r="Q1565" s="53" t="str">
        <f t="shared" si="199"/>
        <v/>
      </c>
      <c r="R1565" s="54" t="str">
        <f t="shared" si="200"/>
        <v/>
      </c>
      <c r="S1565" s="53" t="str">
        <f t="shared" si="201"/>
        <v/>
      </c>
    </row>
    <row r="1566" spans="10:19" x14ac:dyDescent="0.15">
      <c r="J1566" s="38">
        <v>1557</v>
      </c>
      <c r="K1566" s="40"/>
      <c r="L1566" s="34">
        <f t="shared" si="195"/>
        <v>8.5281328236922892E-4</v>
      </c>
      <c r="M1566" s="35">
        <f t="shared" si="196"/>
        <v>-8.232042953414167E-8</v>
      </c>
      <c r="N1566" s="44">
        <f t="shared" si="194"/>
        <v>-4.2768022382453415E-6</v>
      </c>
      <c r="O1566" s="45" t="e">
        <f t="shared" si="197"/>
        <v>#VALUE!</v>
      </c>
      <c r="P1566" s="52" t="str">
        <f t="shared" si="198"/>
        <v/>
      </c>
      <c r="Q1566" s="53" t="str">
        <f t="shared" si="199"/>
        <v/>
      </c>
      <c r="R1566" s="54" t="str">
        <f t="shared" si="200"/>
        <v/>
      </c>
      <c r="S1566" s="53" t="str">
        <f t="shared" si="201"/>
        <v/>
      </c>
    </row>
    <row r="1567" spans="10:19" x14ac:dyDescent="0.15">
      <c r="J1567" s="38">
        <v>1558</v>
      </c>
      <c r="K1567" s="40"/>
      <c r="L1567" s="34">
        <f t="shared" si="195"/>
        <v>8.527308957787654E-4</v>
      </c>
      <c r="M1567" s="35">
        <f t="shared" si="196"/>
        <v>-8.2452712581384626E-8</v>
      </c>
      <c r="N1567" s="44">
        <f t="shared" si="194"/>
        <v>-4.2831362882516256E-6</v>
      </c>
      <c r="O1567" s="45" t="e">
        <f t="shared" si="197"/>
        <v>#VALUE!</v>
      </c>
      <c r="P1567" s="52" t="str">
        <f t="shared" si="198"/>
        <v/>
      </c>
      <c r="Q1567" s="53" t="str">
        <f t="shared" si="199"/>
        <v/>
      </c>
      <c r="R1567" s="54" t="str">
        <f t="shared" si="200"/>
        <v/>
      </c>
      <c r="S1567" s="53" t="str">
        <f t="shared" si="201"/>
        <v/>
      </c>
    </row>
    <row r="1568" spans="10:19" x14ac:dyDescent="0.15">
      <c r="J1568" s="38">
        <v>1559</v>
      </c>
      <c r="K1568" s="40"/>
      <c r="L1568" s="34">
        <f t="shared" si="195"/>
        <v>8.5264837702159809E-4</v>
      </c>
      <c r="M1568" s="35">
        <f t="shared" si="196"/>
        <v>-8.2584763032744767E-8</v>
      </c>
      <c r="N1568" s="44">
        <f t="shared" si="194"/>
        <v>-4.2894593587519767E-6</v>
      </c>
      <c r="O1568" s="45" t="e">
        <f t="shared" si="197"/>
        <v>#VALUE!</v>
      </c>
      <c r="P1568" s="52" t="str">
        <f t="shared" si="198"/>
        <v/>
      </c>
      <c r="Q1568" s="53" t="str">
        <f t="shared" si="199"/>
        <v/>
      </c>
      <c r="R1568" s="54" t="str">
        <f t="shared" si="200"/>
        <v/>
      </c>
      <c r="S1568" s="53" t="str">
        <f t="shared" si="201"/>
        <v/>
      </c>
    </row>
    <row r="1569" spans="10:19" x14ac:dyDescent="0.15">
      <c r="J1569" s="38">
        <v>1560</v>
      </c>
      <c r="K1569" s="40"/>
      <c r="L1569" s="34">
        <f t="shared" si="195"/>
        <v>8.5256572633005015E-4</v>
      </c>
      <c r="M1569" s="35">
        <f t="shared" si="196"/>
        <v>-8.2716581433206492E-8</v>
      </c>
      <c r="N1569" s="44">
        <f t="shared" si="194"/>
        <v>-4.2957714751095701E-6</v>
      </c>
      <c r="O1569" s="45" t="e">
        <f t="shared" si="197"/>
        <v>#VALUE!</v>
      </c>
      <c r="P1569" s="52" t="str">
        <f t="shared" si="198"/>
        <v/>
      </c>
      <c r="Q1569" s="53" t="str">
        <f t="shared" si="199"/>
        <v/>
      </c>
      <c r="R1569" s="54" t="str">
        <f t="shared" si="200"/>
        <v/>
      </c>
      <c r="S1569" s="53" t="str">
        <f t="shared" si="201"/>
        <v/>
      </c>
    </row>
    <row r="1570" spans="10:19" x14ac:dyDescent="0.15">
      <c r="J1570" s="38">
        <v>1561</v>
      </c>
      <c r="K1570" s="40"/>
      <c r="L1570" s="34">
        <f t="shared" si="195"/>
        <v>8.5248294393590091E-4</v>
      </c>
      <c r="M1570" s="35">
        <f t="shared" si="196"/>
        <v>-8.2848168326159171E-8</v>
      </c>
      <c r="N1570" s="44">
        <f t="shared" si="194"/>
        <v>-4.3020726626146139E-6</v>
      </c>
      <c r="O1570" s="45" t="e">
        <f t="shared" si="197"/>
        <v>#VALUE!</v>
      </c>
      <c r="P1570" s="52" t="str">
        <f t="shared" si="198"/>
        <v/>
      </c>
      <c r="Q1570" s="53" t="str">
        <f t="shared" si="199"/>
        <v/>
      </c>
      <c r="R1570" s="54" t="str">
        <f t="shared" si="200"/>
        <v/>
      </c>
      <c r="S1570" s="53" t="str">
        <f t="shared" si="201"/>
        <v/>
      </c>
    </row>
    <row r="1571" spans="10:19" x14ac:dyDescent="0.15">
      <c r="J1571" s="38">
        <v>1562</v>
      </c>
      <c r="K1571" s="40"/>
      <c r="L1571" s="34">
        <f t="shared" si="195"/>
        <v>8.5240003007038651E-4</v>
      </c>
      <c r="M1571" s="35">
        <f t="shared" si="196"/>
        <v>-8.2979524253402267E-8</v>
      </c>
      <c r="N1571" s="44">
        <f t="shared" si="194"/>
        <v>-4.3083629464834823E-6</v>
      </c>
      <c r="O1571" s="45" t="e">
        <f t="shared" si="197"/>
        <v>#VALUE!</v>
      </c>
      <c r="P1571" s="52" t="str">
        <f t="shared" si="198"/>
        <v/>
      </c>
      <c r="Q1571" s="53" t="str">
        <f t="shared" si="199"/>
        <v/>
      </c>
      <c r="R1571" s="54" t="str">
        <f t="shared" si="200"/>
        <v/>
      </c>
      <c r="S1571" s="53" t="str">
        <f t="shared" si="201"/>
        <v/>
      </c>
    </row>
    <row r="1572" spans="10:19" x14ac:dyDescent="0.15">
      <c r="J1572" s="38">
        <v>1563</v>
      </c>
      <c r="K1572" s="40"/>
      <c r="L1572" s="34">
        <f t="shared" si="195"/>
        <v>8.5231698496420242E-4</v>
      </c>
      <c r="M1572" s="35">
        <f t="shared" si="196"/>
        <v>-8.3110649755151438E-8</v>
      </c>
      <c r="N1572" s="44">
        <f t="shared" si="194"/>
        <v>-4.3146423518605585E-6</v>
      </c>
      <c r="O1572" s="45" t="e">
        <f t="shared" si="197"/>
        <v>#VALUE!</v>
      </c>
      <c r="P1572" s="52" t="str">
        <f t="shared" si="198"/>
        <v/>
      </c>
      <c r="Q1572" s="53" t="str">
        <f t="shared" si="199"/>
        <v/>
      </c>
      <c r="R1572" s="54" t="str">
        <f t="shared" si="200"/>
        <v/>
      </c>
      <c r="S1572" s="53" t="str">
        <f t="shared" si="201"/>
        <v/>
      </c>
    </row>
    <row r="1573" spans="10:19" x14ac:dyDescent="0.15">
      <c r="J1573" s="38">
        <v>1564</v>
      </c>
      <c r="K1573" s="40"/>
      <c r="L1573" s="34">
        <f t="shared" si="195"/>
        <v>8.5223380884750523E-4</v>
      </c>
      <c r="M1573" s="35">
        <f t="shared" si="196"/>
        <v>-8.324154537004359E-8</v>
      </c>
      <c r="N1573" s="44">
        <f t="shared" si="194"/>
        <v>-4.3209109038180177E-6</v>
      </c>
      <c r="O1573" s="45" t="e">
        <f t="shared" si="197"/>
        <v>#VALUE!</v>
      </c>
      <c r="P1573" s="52" t="str">
        <f t="shared" si="198"/>
        <v/>
      </c>
      <c r="Q1573" s="53" t="str">
        <f t="shared" si="199"/>
        <v/>
      </c>
      <c r="R1573" s="54" t="str">
        <f t="shared" si="200"/>
        <v/>
      </c>
      <c r="S1573" s="53" t="str">
        <f t="shared" si="201"/>
        <v/>
      </c>
    </row>
    <row r="1574" spans="10:19" x14ac:dyDescent="0.15">
      <c r="J1574" s="38">
        <v>1565</v>
      </c>
      <c r="K1574" s="40"/>
      <c r="L1574" s="34">
        <f t="shared" si="195"/>
        <v>8.5215050194991228E-4</v>
      </c>
      <c r="M1574" s="35">
        <f t="shared" si="196"/>
        <v>-8.3372211635143021E-8</v>
      </c>
      <c r="N1574" s="44">
        <f t="shared" si="194"/>
        <v>-4.3271686273549598E-6</v>
      </c>
      <c r="O1574" s="45" t="e">
        <f t="shared" si="197"/>
        <v>#VALUE!</v>
      </c>
      <c r="P1574" s="52" t="str">
        <f t="shared" si="198"/>
        <v/>
      </c>
      <c r="Q1574" s="53" t="str">
        <f t="shared" si="199"/>
        <v/>
      </c>
      <c r="R1574" s="54" t="str">
        <f t="shared" si="200"/>
        <v/>
      </c>
      <c r="S1574" s="53" t="str">
        <f t="shared" si="201"/>
        <v/>
      </c>
    </row>
    <row r="1575" spans="10:19" x14ac:dyDescent="0.15">
      <c r="J1575" s="38">
        <v>1566</v>
      </c>
      <c r="K1575" s="40"/>
      <c r="L1575" s="34">
        <f t="shared" si="195"/>
        <v>8.5206706450050615E-4</v>
      </c>
      <c r="M1575" s="35">
        <f t="shared" si="196"/>
        <v>-8.3502649085946263E-8</v>
      </c>
      <c r="N1575" s="44">
        <f t="shared" si="194"/>
        <v>-4.3334155473996865E-6</v>
      </c>
      <c r="O1575" s="45" t="e">
        <f t="shared" si="197"/>
        <v>#VALUE!</v>
      </c>
      <c r="P1575" s="52" t="str">
        <f t="shared" si="198"/>
        <v/>
      </c>
      <c r="Q1575" s="53" t="str">
        <f t="shared" si="199"/>
        <v/>
      </c>
      <c r="R1575" s="54" t="str">
        <f t="shared" si="200"/>
        <v/>
      </c>
      <c r="S1575" s="53" t="str">
        <f t="shared" si="201"/>
        <v/>
      </c>
    </row>
    <row r="1576" spans="10:19" x14ac:dyDescent="0.15">
      <c r="J1576" s="38">
        <v>1567</v>
      </c>
      <c r="K1576" s="40"/>
      <c r="L1576" s="34">
        <f t="shared" si="195"/>
        <v>8.5198349672783384E-4</v>
      </c>
      <c r="M1576" s="35">
        <f t="shared" si="196"/>
        <v>-8.3632858256387959E-8</v>
      </c>
      <c r="N1576" s="44">
        <f t="shared" si="194"/>
        <v>-4.3396516888076411E-6</v>
      </c>
      <c r="O1576" s="45" t="e">
        <f t="shared" si="197"/>
        <v>#VALUE!</v>
      </c>
      <c r="P1576" s="52" t="str">
        <f t="shared" si="198"/>
        <v/>
      </c>
      <c r="Q1576" s="53" t="str">
        <f t="shared" si="199"/>
        <v/>
      </c>
      <c r="R1576" s="54" t="str">
        <f t="shared" si="200"/>
        <v/>
      </c>
      <c r="S1576" s="53" t="str">
        <f t="shared" si="201"/>
        <v/>
      </c>
    </row>
    <row r="1577" spans="10:19" x14ac:dyDescent="0.15">
      <c r="J1577" s="38">
        <v>1568</v>
      </c>
      <c r="K1577" s="40"/>
      <c r="L1577" s="34">
        <f t="shared" si="195"/>
        <v>8.5189979885990947E-4</v>
      </c>
      <c r="M1577" s="35">
        <f t="shared" si="196"/>
        <v>-8.3762839678846395E-8</v>
      </c>
      <c r="N1577" s="44">
        <f t="shared" si="194"/>
        <v>-4.3458770763633598E-6</v>
      </c>
      <c r="O1577" s="45" t="e">
        <f t="shared" si="197"/>
        <v>#VALUE!</v>
      </c>
      <c r="P1577" s="52" t="str">
        <f t="shared" si="198"/>
        <v/>
      </c>
      <c r="Q1577" s="53" t="str">
        <f t="shared" si="199"/>
        <v/>
      </c>
      <c r="R1577" s="54" t="str">
        <f t="shared" si="200"/>
        <v/>
      </c>
      <c r="S1577" s="53" t="str">
        <f t="shared" si="201"/>
        <v/>
      </c>
    </row>
    <row r="1578" spans="10:19" x14ac:dyDescent="0.15">
      <c r="J1578" s="38">
        <v>1569</v>
      </c>
      <c r="K1578" s="40"/>
      <c r="L1578" s="34">
        <f t="shared" si="195"/>
        <v>8.5181597112421524E-4</v>
      </c>
      <c r="M1578" s="35">
        <f t="shared" si="196"/>
        <v>-8.3892593884148583E-8</v>
      </c>
      <c r="N1578" s="44">
        <f t="shared" si="194"/>
        <v>-4.3520917347804723E-6</v>
      </c>
      <c r="O1578" s="45" t="e">
        <f t="shared" si="197"/>
        <v>#VALUE!</v>
      </c>
      <c r="P1578" s="52" t="str">
        <f t="shared" si="198"/>
        <v/>
      </c>
      <c r="Q1578" s="53" t="str">
        <f t="shared" si="199"/>
        <v/>
      </c>
      <c r="R1578" s="54" t="str">
        <f t="shared" si="200"/>
        <v/>
      </c>
      <c r="S1578" s="53" t="str">
        <f t="shared" si="201"/>
        <v/>
      </c>
    </row>
    <row r="1579" spans="10:19" x14ac:dyDescent="0.15">
      <c r="J1579" s="38">
        <v>1570</v>
      </c>
      <c r="K1579" s="40"/>
      <c r="L1579" s="34">
        <f t="shared" si="195"/>
        <v>8.5173201374770372E-4</v>
      </c>
      <c r="M1579" s="35">
        <f t="shared" si="196"/>
        <v>-8.4022121401576056E-8</v>
      </c>
      <c r="N1579" s="44">
        <f t="shared" si="194"/>
        <v>-4.3582956887011593E-6</v>
      </c>
      <c r="O1579" s="45" t="e">
        <f t="shared" si="197"/>
        <v>#VALUE!</v>
      </c>
      <c r="P1579" s="52" t="str">
        <f t="shared" si="198"/>
        <v/>
      </c>
      <c r="Q1579" s="53" t="str">
        <f t="shared" si="199"/>
        <v/>
      </c>
      <c r="R1579" s="54" t="str">
        <f t="shared" si="200"/>
        <v/>
      </c>
      <c r="S1579" s="53" t="str">
        <f t="shared" si="201"/>
        <v/>
      </c>
    </row>
    <row r="1580" spans="10:19" x14ac:dyDescent="0.15">
      <c r="J1580" s="38">
        <v>1571</v>
      </c>
      <c r="K1580" s="40"/>
      <c r="L1580" s="34">
        <f t="shared" si="195"/>
        <v>8.5164792695679894E-4</v>
      </c>
      <c r="M1580" s="35">
        <f t="shared" si="196"/>
        <v>-8.4151422758870005E-8</v>
      </c>
      <c r="N1580" s="44">
        <f t="shared" si="194"/>
        <v>-4.3644889626972367E-6</v>
      </c>
      <c r="O1580" s="45" t="e">
        <f t="shared" si="197"/>
        <v>#VALUE!</v>
      </c>
      <c r="P1580" s="52" t="str">
        <f t="shared" si="198"/>
        <v/>
      </c>
      <c r="Q1580" s="53" t="str">
        <f t="shared" si="199"/>
        <v/>
      </c>
      <c r="R1580" s="54" t="str">
        <f t="shared" si="200"/>
        <v/>
      </c>
      <c r="S1580" s="53" t="str">
        <f t="shared" si="201"/>
        <v/>
      </c>
    </row>
    <row r="1581" spans="10:19" x14ac:dyDescent="0.15">
      <c r="J1581" s="38">
        <v>1572</v>
      </c>
      <c r="K1581" s="40"/>
      <c r="L1581" s="34">
        <f t="shared" si="195"/>
        <v>8.5156371097739713E-4</v>
      </c>
      <c r="M1581" s="35">
        <f t="shared" si="196"/>
        <v>-8.4280498482236838E-8</v>
      </c>
      <c r="N1581" s="44">
        <f t="shared" si="194"/>
        <v>-4.3706715812691799E-6</v>
      </c>
      <c r="O1581" s="45" t="e">
        <f t="shared" si="197"/>
        <v>#VALUE!</v>
      </c>
      <c r="P1581" s="52" t="str">
        <f t="shared" si="198"/>
        <v/>
      </c>
      <c r="Q1581" s="53" t="str">
        <f t="shared" si="199"/>
        <v/>
      </c>
      <c r="R1581" s="54" t="str">
        <f t="shared" si="200"/>
        <v/>
      </c>
      <c r="S1581" s="53" t="str">
        <f t="shared" si="201"/>
        <v/>
      </c>
    </row>
    <row r="1582" spans="10:19" x14ac:dyDescent="0.15">
      <c r="J1582" s="38">
        <v>1573</v>
      </c>
      <c r="K1582" s="40"/>
      <c r="L1582" s="34">
        <f t="shared" si="195"/>
        <v>8.5147936603487075E-4</v>
      </c>
      <c r="M1582" s="35">
        <f t="shared" si="196"/>
        <v>-8.4409349096353393E-8</v>
      </c>
      <c r="N1582" s="44">
        <f t="shared" si="194"/>
        <v>-4.3768435688491597E-6</v>
      </c>
      <c r="O1582" s="45" t="e">
        <f t="shared" si="197"/>
        <v>#VALUE!</v>
      </c>
      <c r="P1582" s="52" t="str">
        <f t="shared" si="198"/>
        <v/>
      </c>
      <c r="Q1582" s="53" t="str">
        <f t="shared" si="199"/>
        <v/>
      </c>
      <c r="R1582" s="54" t="str">
        <f t="shared" si="200"/>
        <v/>
      </c>
      <c r="S1582" s="53" t="str">
        <f t="shared" si="201"/>
        <v/>
      </c>
    </row>
    <row r="1583" spans="10:19" x14ac:dyDescent="0.15">
      <c r="J1583" s="38">
        <v>1574</v>
      </c>
      <c r="K1583" s="40"/>
      <c r="L1583" s="34">
        <f t="shared" si="195"/>
        <v>8.5139489235406651E-4</v>
      </c>
      <c r="M1583" s="35">
        <f t="shared" si="196"/>
        <v>-8.4537975124372324E-8</v>
      </c>
      <c r="N1583" s="44">
        <f t="shared" si="194"/>
        <v>-4.383004949797464E-6</v>
      </c>
      <c r="O1583" s="45" t="e">
        <f t="shared" si="197"/>
        <v>#VALUE!</v>
      </c>
      <c r="P1583" s="52" t="str">
        <f t="shared" si="198"/>
        <v/>
      </c>
      <c r="Q1583" s="53" t="str">
        <f t="shared" si="199"/>
        <v/>
      </c>
      <c r="R1583" s="54" t="str">
        <f t="shared" si="200"/>
        <v/>
      </c>
      <c r="S1583" s="53" t="str">
        <f t="shared" si="201"/>
        <v/>
      </c>
    </row>
    <row r="1584" spans="10:19" x14ac:dyDescent="0.15">
      <c r="J1584" s="38">
        <v>1575</v>
      </c>
      <c r="K1584" s="40"/>
      <c r="L1584" s="34">
        <f t="shared" si="195"/>
        <v>8.5131029015931008E-4</v>
      </c>
      <c r="M1584" s="35">
        <f t="shared" si="196"/>
        <v>-8.466637708792733E-8</v>
      </c>
      <c r="N1584" s="44">
        <f t="shared" si="194"/>
        <v>-4.3891557484049921E-6</v>
      </c>
      <c r="O1584" s="45" t="e">
        <f t="shared" si="197"/>
        <v>#VALUE!</v>
      </c>
      <c r="P1584" s="52" t="str">
        <f t="shared" si="198"/>
        <v/>
      </c>
      <c r="Q1584" s="53" t="str">
        <f t="shared" si="199"/>
        <v/>
      </c>
      <c r="R1584" s="54" t="str">
        <f t="shared" si="200"/>
        <v/>
      </c>
      <c r="S1584" s="53" t="str">
        <f t="shared" si="201"/>
        <v/>
      </c>
    </row>
    <row r="1585" spans="10:19" x14ac:dyDescent="0.15">
      <c r="J1585" s="38">
        <v>1576</v>
      </c>
      <c r="K1585" s="40"/>
      <c r="L1585" s="34">
        <f t="shared" si="195"/>
        <v>8.5122555967440561E-4</v>
      </c>
      <c r="M1585" s="35">
        <f t="shared" si="196"/>
        <v>-8.4794555507138848E-8</v>
      </c>
      <c r="N1585" s="44">
        <f t="shared" si="194"/>
        <v>-4.3952959888944468E-6</v>
      </c>
      <c r="O1585" s="45" t="e">
        <f t="shared" si="197"/>
        <v>#VALUE!</v>
      </c>
      <c r="P1585" s="52" t="str">
        <f t="shared" si="198"/>
        <v/>
      </c>
      <c r="Q1585" s="53" t="str">
        <f t="shared" si="199"/>
        <v/>
      </c>
      <c r="R1585" s="54" t="str">
        <f t="shared" si="200"/>
        <v/>
      </c>
      <c r="S1585" s="53" t="str">
        <f t="shared" si="201"/>
        <v/>
      </c>
    </row>
    <row r="1586" spans="10:19" x14ac:dyDescent="0.15">
      <c r="J1586" s="38">
        <v>1577</v>
      </c>
      <c r="K1586" s="40"/>
      <c r="L1586" s="34">
        <f t="shared" si="195"/>
        <v>8.5114070112263761E-4</v>
      </c>
      <c r="M1586" s="35">
        <f t="shared" si="196"/>
        <v>-8.4922510900618589E-8</v>
      </c>
      <c r="N1586" s="44">
        <f t="shared" si="194"/>
        <v>-4.401425695417082E-6</v>
      </c>
      <c r="O1586" s="45" t="e">
        <f t="shared" si="197"/>
        <v>#VALUE!</v>
      </c>
      <c r="P1586" s="52" t="str">
        <f t="shared" si="198"/>
        <v/>
      </c>
      <c r="Q1586" s="53" t="str">
        <f t="shared" si="199"/>
        <v/>
      </c>
      <c r="R1586" s="54" t="str">
        <f t="shared" si="200"/>
        <v/>
      </c>
      <c r="S1586" s="53" t="str">
        <f t="shared" si="201"/>
        <v/>
      </c>
    </row>
    <row r="1587" spans="10:19" x14ac:dyDescent="0.15">
      <c r="J1587" s="38">
        <v>1578</v>
      </c>
      <c r="K1587" s="40"/>
      <c r="L1587" s="34">
        <f t="shared" si="195"/>
        <v>8.5105571472677383E-4</v>
      </c>
      <c r="M1587" s="35">
        <f t="shared" si="196"/>
        <v>-8.5050243785475362E-8</v>
      </c>
      <c r="N1587" s="44">
        <f t="shared" si="194"/>
        <v>-4.4075448920574732E-6</v>
      </c>
      <c r="O1587" s="45" t="e">
        <f t="shared" si="197"/>
        <v>#VALUE!</v>
      </c>
      <c r="P1587" s="52" t="str">
        <f t="shared" si="198"/>
        <v/>
      </c>
      <c r="Q1587" s="53" t="str">
        <f t="shared" si="199"/>
        <v/>
      </c>
      <c r="R1587" s="54" t="str">
        <f t="shared" si="200"/>
        <v/>
      </c>
      <c r="S1587" s="53" t="str">
        <f t="shared" si="201"/>
        <v/>
      </c>
    </row>
    <row r="1588" spans="10:19" x14ac:dyDescent="0.15">
      <c r="J1588" s="38">
        <v>1579</v>
      </c>
      <c r="K1588" s="40"/>
      <c r="L1588" s="34">
        <f t="shared" si="195"/>
        <v>8.5097060070906435E-4</v>
      </c>
      <c r="M1588" s="35">
        <f t="shared" si="196"/>
        <v>-8.5177754677320266E-8</v>
      </c>
      <c r="N1588" s="44">
        <f t="shared" si="194"/>
        <v>-4.4136536028293975E-6</v>
      </c>
      <c r="O1588" s="45" t="e">
        <f t="shared" si="197"/>
        <v>#VALUE!</v>
      </c>
      <c r="P1588" s="52" t="str">
        <f t="shared" si="198"/>
        <v/>
      </c>
      <c r="Q1588" s="53" t="str">
        <f t="shared" si="199"/>
        <v/>
      </c>
      <c r="R1588" s="54" t="str">
        <f t="shared" si="200"/>
        <v/>
      </c>
      <c r="S1588" s="53" t="str">
        <f t="shared" si="201"/>
        <v/>
      </c>
    </row>
    <row r="1589" spans="10:19" x14ac:dyDescent="0.15">
      <c r="J1589" s="38">
        <v>1580</v>
      </c>
      <c r="K1589" s="40"/>
      <c r="L1589" s="34">
        <f t="shared" si="195"/>
        <v>8.5088535929124531E-4</v>
      </c>
      <c r="M1589" s="35">
        <f t="shared" si="196"/>
        <v>-8.5305044090271553E-8</v>
      </c>
      <c r="N1589" s="44">
        <f t="shared" si="194"/>
        <v>-4.4197518516795199E-6</v>
      </c>
      <c r="O1589" s="45" t="e">
        <f t="shared" si="197"/>
        <v>#VALUE!</v>
      </c>
      <c r="P1589" s="52" t="str">
        <f t="shared" si="198"/>
        <v/>
      </c>
      <c r="Q1589" s="53" t="str">
        <f t="shared" si="199"/>
        <v/>
      </c>
      <c r="R1589" s="54" t="str">
        <f t="shared" si="200"/>
        <v/>
      </c>
      <c r="S1589" s="53" t="str">
        <f t="shared" si="201"/>
        <v/>
      </c>
    </row>
    <row r="1590" spans="10:19" x14ac:dyDescent="0.15">
      <c r="J1590" s="38">
        <v>1581</v>
      </c>
      <c r="K1590" s="40"/>
      <c r="L1590" s="34">
        <f t="shared" si="195"/>
        <v>8.5079999069453927E-4</v>
      </c>
      <c r="M1590" s="35">
        <f t="shared" si="196"/>
        <v>-8.5432112536960089E-8</v>
      </c>
      <c r="N1590" s="44">
        <f t="shared" si="194"/>
        <v>-4.4258396624855499E-6</v>
      </c>
      <c r="O1590" s="45" t="e">
        <f t="shared" si="197"/>
        <v>#VALUE!</v>
      </c>
      <c r="P1590" s="52" t="str">
        <f t="shared" si="198"/>
        <v/>
      </c>
      <c r="Q1590" s="53" t="str">
        <f t="shared" si="199"/>
        <v/>
      </c>
      <c r="R1590" s="54" t="str">
        <f t="shared" si="200"/>
        <v/>
      </c>
      <c r="S1590" s="53" t="str">
        <f t="shared" si="201"/>
        <v/>
      </c>
    </row>
    <row r="1591" spans="10:19" x14ac:dyDescent="0.15">
      <c r="J1591" s="38">
        <v>1582</v>
      </c>
      <c r="K1591" s="40"/>
      <c r="L1591" s="34">
        <f t="shared" si="195"/>
        <v>8.5071449513965641E-4</v>
      </c>
      <c r="M1591" s="35">
        <f t="shared" si="196"/>
        <v>-8.555896052853447E-8</v>
      </c>
      <c r="N1591" s="44">
        <f t="shared" si="194"/>
        <v>-4.4319170590566758E-6</v>
      </c>
      <c r="O1591" s="45" t="e">
        <f t="shared" si="197"/>
        <v>#VALUE!</v>
      </c>
      <c r="P1591" s="52" t="str">
        <f t="shared" si="198"/>
        <v/>
      </c>
      <c r="Q1591" s="53" t="str">
        <f t="shared" si="199"/>
        <v/>
      </c>
      <c r="R1591" s="54" t="str">
        <f t="shared" si="200"/>
        <v/>
      </c>
      <c r="S1591" s="53" t="str">
        <f t="shared" si="201"/>
        <v/>
      </c>
    </row>
    <row r="1592" spans="10:19" x14ac:dyDescent="0.15">
      <c r="J1592" s="38">
        <v>1583</v>
      </c>
      <c r="K1592" s="40"/>
      <c r="L1592" s="34">
        <f t="shared" si="195"/>
        <v>8.5062887284679731E-4</v>
      </c>
      <c r="M1592" s="35">
        <f t="shared" si="196"/>
        <v>-8.5685588574666106E-8</v>
      </c>
      <c r="N1592" s="44">
        <f t="shared" si="194"/>
        <v>-4.4379840651350821E-6</v>
      </c>
      <c r="O1592" s="45" t="e">
        <f t="shared" si="197"/>
        <v>#VALUE!</v>
      </c>
      <c r="P1592" s="52" t="str">
        <f t="shared" si="198"/>
        <v/>
      </c>
      <c r="Q1592" s="53" t="str">
        <f t="shared" si="199"/>
        <v/>
      </c>
      <c r="R1592" s="54" t="str">
        <f t="shared" si="200"/>
        <v/>
      </c>
      <c r="S1592" s="53" t="str">
        <f t="shared" si="201"/>
        <v/>
      </c>
    </row>
    <row r="1593" spans="10:19" x14ac:dyDescent="0.15">
      <c r="J1593" s="38">
        <v>1584</v>
      </c>
      <c r="K1593" s="40"/>
      <c r="L1593" s="34">
        <f t="shared" si="195"/>
        <v>8.5054312403565289E-4</v>
      </c>
      <c r="M1593" s="35">
        <f t="shared" si="196"/>
        <v>-8.5811997183554425E-8</v>
      </c>
      <c r="N1593" s="44">
        <f t="shared" si="194"/>
        <v>-4.4440407043951904E-6</v>
      </c>
      <c r="O1593" s="45" t="e">
        <f t="shared" si="197"/>
        <v>#VALUE!</v>
      </c>
      <c r="P1593" s="52" t="str">
        <f t="shared" si="198"/>
        <v/>
      </c>
      <c r="Q1593" s="53" t="str">
        <f t="shared" si="199"/>
        <v/>
      </c>
      <c r="R1593" s="54" t="str">
        <f t="shared" si="200"/>
        <v/>
      </c>
      <c r="S1593" s="53" t="str">
        <f t="shared" si="201"/>
        <v/>
      </c>
    </row>
    <row r="1594" spans="10:19" x14ac:dyDescent="0.15">
      <c r="J1594" s="38">
        <v>1585</v>
      </c>
      <c r="K1594" s="40"/>
      <c r="L1594" s="34">
        <f t="shared" si="195"/>
        <v>8.5045724892540697E-4</v>
      </c>
      <c r="M1594" s="35">
        <f t="shared" si="196"/>
        <v>-8.5938186861931752E-8</v>
      </c>
      <c r="N1594" s="44">
        <f t="shared" si="194"/>
        <v>-4.4500870004431179E-6</v>
      </c>
      <c r="O1594" s="45" t="e">
        <f t="shared" si="197"/>
        <v>#VALUE!</v>
      </c>
      <c r="P1594" s="52" t="str">
        <f t="shared" si="198"/>
        <v/>
      </c>
      <c r="Q1594" s="53" t="str">
        <f t="shared" si="199"/>
        <v/>
      </c>
      <c r="R1594" s="54" t="str">
        <f t="shared" si="200"/>
        <v/>
      </c>
      <c r="S1594" s="53" t="str">
        <f t="shared" si="201"/>
        <v/>
      </c>
    </row>
    <row r="1595" spans="10:19" x14ac:dyDescent="0.15">
      <c r="J1595" s="38">
        <v>1586</v>
      </c>
      <c r="K1595" s="40"/>
      <c r="L1595" s="34">
        <f t="shared" si="195"/>
        <v>8.503712477347375E-4</v>
      </c>
      <c r="M1595" s="35">
        <f t="shared" si="196"/>
        <v>-8.6064158115068711E-8</v>
      </c>
      <c r="N1595" s="44">
        <f t="shared" si="194"/>
        <v>-4.4561229768194958E-6</v>
      </c>
      <c r="O1595" s="45" t="e">
        <f t="shared" si="197"/>
        <v>#VALUE!</v>
      </c>
      <c r="P1595" s="52" t="str">
        <f t="shared" si="198"/>
        <v/>
      </c>
      <c r="Q1595" s="53" t="str">
        <f t="shared" si="199"/>
        <v/>
      </c>
      <c r="R1595" s="54" t="str">
        <f t="shared" si="200"/>
        <v/>
      </c>
      <c r="S1595" s="53" t="str">
        <f t="shared" si="201"/>
        <v/>
      </c>
    </row>
    <row r="1596" spans="10:19" x14ac:dyDescent="0.15">
      <c r="J1596" s="38">
        <v>1587</v>
      </c>
      <c r="K1596" s="40"/>
      <c r="L1596" s="34">
        <f t="shared" si="195"/>
        <v>8.502851206818174E-4</v>
      </c>
      <c r="M1596" s="35">
        <f t="shared" si="196"/>
        <v>-8.618991144677907E-8</v>
      </c>
      <c r="N1596" s="44">
        <f t="shared" si="194"/>
        <v>-4.4621486569960001E-6</v>
      </c>
      <c r="O1596" s="45" t="e">
        <f t="shared" si="197"/>
        <v>#VALUE!</v>
      </c>
      <c r="P1596" s="52" t="str">
        <f t="shared" si="198"/>
        <v/>
      </c>
      <c r="Q1596" s="53" t="str">
        <f t="shared" si="199"/>
        <v/>
      </c>
      <c r="R1596" s="54" t="str">
        <f t="shared" si="200"/>
        <v/>
      </c>
      <c r="S1596" s="53" t="str">
        <f t="shared" si="201"/>
        <v/>
      </c>
    </row>
    <row r="1597" spans="10:19" x14ac:dyDescent="0.15">
      <c r="J1597" s="38">
        <v>1588</v>
      </c>
      <c r="K1597" s="40"/>
      <c r="L1597" s="34">
        <f t="shared" si="195"/>
        <v>8.5019886798431683E-4</v>
      </c>
      <c r="M1597" s="35">
        <f t="shared" si="196"/>
        <v>-8.6315447359424808E-8</v>
      </c>
      <c r="N1597" s="44">
        <f t="shared" si="194"/>
        <v>-4.4681640643794715E-6</v>
      </c>
      <c r="O1597" s="45" t="e">
        <f t="shared" si="197"/>
        <v>#VALUE!</v>
      </c>
      <c r="P1597" s="52" t="str">
        <f t="shared" si="198"/>
        <v/>
      </c>
      <c r="Q1597" s="53" t="str">
        <f t="shared" si="199"/>
        <v/>
      </c>
      <c r="R1597" s="54" t="str">
        <f t="shared" si="200"/>
        <v/>
      </c>
      <c r="S1597" s="53" t="str">
        <f t="shared" si="201"/>
        <v/>
      </c>
    </row>
    <row r="1598" spans="10:19" x14ac:dyDescent="0.15">
      <c r="J1598" s="38">
        <v>1589</v>
      </c>
      <c r="K1598" s="40"/>
      <c r="L1598" s="34">
        <f t="shared" si="195"/>
        <v>8.5011248985940465E-4</v>
      </c>
      <c r="M1598" s="35">
        <f t="shared" si="196"/>
        <v>-8.644076635392124E-8</v>
      </c>
      <c r="N1598" s="44">
        <f t="shared" si="194"/>
        <v>-4.474169222309205E-6</v>
      </c>
      <c r="O1598" s="45" t="e">
        <f t="shared" si="197"/>
        <v>#VALUE!</v>
      </c>
      <c r="P1598" s="52" t="str">
        <f t="shared" si="198"/>
        <v/>
      </c>
      <c r="Q1598" s="53" t="str">
        <f t="shared" si="199"/>
        <v/>
      </c>
      <c r="R1598" s="54" t="str">
        <f t="shared" si="200"/>
        <v/>
      </c>
      <c r="S1598" s="53" t="str">
        <f t="shared" si="201"/>
        <v/>
      </c>
    </row>
    <row r="1599" spans="10:19" x14ac:dyDescent="0.15">
      <c r="J1599" s="38">
        <v>1590</v>
      </c>
      <c r="K1599" s="40"/>
      <c r="L1599" s="34">
        <f t="shared" si="195"/>
        <v>8.5002598652374878E-4</v>
      </c>
      <c r="M1599" s="35">
        <f t="shared" si="196"/>
        <v>-8.6565868929741817E-8</v>
      </c>
      <c r="N1599" s="44">
        <f t="shared" si="194"/>
        <v>-4.4801641540581421E-6</v>
      </c>
      <c r="O1599" s="45" t="e">
        <f t="shared" si="197"/>
        <v>#VALUE!</v>
      </c>
      <c r="P1599" s="52" t="str">
        <f t="shared" si="198"/>
        <v/>
      </c>
      <c r="Q1599" s="53" t="str">
        <f t="shared" si="199"/>
        <v/>
      </c>
      <c r="R1599" s="54" t="str">
        <f t="shared" si="200"/>
        <v/>
      </c>
      <c r="S1599" s="53" t="str">
        <f t="shared" si="201"/>
        <v/>
      </c>
    </row>
    <row r="1600" spans="10:19" x14ac:dyDescent="0.15">
      <c r="J1600" s="38">
        <v>1591</v>
      </c>
      <c r="K1600" s="40"/>
      <c r="L1600" s="34">
        <f t="shared" si="195"/>
        <v>8.4993935819351854E-4</v>
      </c>
      <c r="M1600" s="35">
        <f t="shared" si="196"/>
        <v>-8.669075558492325E-8</v>
      </c>
      <c r="N1600" s="44">
        <f t="shared" si="194"/>
        <v>-4.4861488828335221E-6</v>
      </c>
      <c r="O1600" s="45" t="e">
        <f t="shared" si="197"/>
        <v>#VALUE!</v>
      </c>
      <c r="P1600" s="52" t="str">
        <f t="shared" si="198"/>
        <v/>
      </c>
      <c r="Q1600" s="53" t="str">
        <f t="shared" si="199"/>
        <v/>
      </c>
      <c r="R1600" s="54" t="str">
        <f t="shared" si="200"/>
        <v/>
      </c>
      <c r="S1600" s="53" t="str">
        <f t="shared" si="201"/>
        <v/>
      </c>
    </row>
    <row r="1601" spans="10:19" x14ac:dyDescent="0.15">
      <c r="J1601" s="38">
        <v>1592</v>
      </c>
      <c r="K1601" s="40"/>
      <c r="L1601" s="34">
        <f t="shared" si="195"/>
        <v>8.4985260508438679E-4</v>
      </c>
      <c r="M1601" s="35">
        <f t="shared" si="196"/>
        <v>-8.6815426816070449E-8</v>
      </c>
      <c r="N1601" s="44">
        <f t="shared" si="194"/>
        <v>-4.4921234317775319E-6</v>
      </c>
      <c r="O1601" s="45" t="e">
        <f t="shared" si="197"/>
        <v>#VALUE!</v>
      </c>
      <c r="P1601" s="52" t="str">
        <f t="shared" si="198"/>
        <v/>
      </c>
      <c r="Q1601" s="53" t="str">
        <f t="shared" si="199"/>
        <v/>
      </c>
      <c r="R1601" s="54" t="str">
        <f t="shared" si="200"/>
        <v/>
      </c>
      <c r="S1601" s="53" t="str">
        <f t="shared" si="201"/>
        <v/>
      </c>
    </row>
    <row r="1602" spans="10:19" x14ac:dyDescent="0.15">
      <c r="J1602" s="38">
        <v>1593</v>
      </c>
      <c r="K1602" s="40"/>
      <c r="L1602" s="34">
        <f t="shared" si="195"/>
        <v>8.4976572741152928E-4</v>
      </c>
      <c r="M1602" s="35">
        <f t="shared" si="196"/>
        <v>-8.6939883118361415E-8</v>
      </c>
      <c r="N1602" s="44">
        <f t="shared" si="194"/>
        <v>-4.4980878239652463E-6</v>
      </c>
      <c r="O1602" s="45" t="e">
        <f t="shared" si="197"/>
        <v>#VALUE!</v>
      </c>
      <c r="P1602" s="52" t="str">
        <f t="shared" si="198"/>
        <v/>
      </c>
      <c r="Q1602" s="53" t="str">
        <f t="shared" si="199"/>
        <v/>
      </c>
      <c r="R1602" s="54" t="str">
        <f t="shared" si="200"/>
        <v/>
      </c>
      <c r="S1602" s="53" t="str">
        <f t="shared" si="201"/>
        <v/>
      </c>
    </row>
    <row r="1603" spans="10:19" x14ac:dyDescent="0.15">
      <c r="J1603" s="38">
        <v>1594</v>
      </c>
      <c r="K1603" s="40"/>
      <c r="L1603" s="34">
        <f t="shared" si="195"/>
        <v>8.4967872538962833E-4</v>
      </c>
      <c r="M1603" s="35">
        <f t="shared" si="196"/>
        <v>-8.706412498555226E-8</v>
      </c>
      <c r="N1603" s="44">
        <f t="shared" si="194"/>
        <v>-4.5040420824077722E-6</v>
      </c>
      <c r="O1603" s="45" t="e">
        <f t="shared" si="197"/>
        <v>#VALUE!</v>
      </c>
      <c r="P1603" s="52" t="str">
        <f t="shared" si="198"/>
        <v/>
      </c>
      <c r="Q1603" s="53" t="str">
        <f t="shared" si="199"/>
        <v/>
      </c>
      <c r="R1603" s="54" t="str">
        <f t="shared" si="200"/>
        <v/>
      </c>
      <c r="S1603" s="53" t="str">
        <f t="shared" si="201"/>
        <v/>
      </c>
    </row>
    <row r="1604" spans="10:19" x14ac:dyDescent="0.15">
      <c r="J1604" s="38">
        <v>1595</v>
      </c>
      <c r="K1604" s="40"/>
      <c r="L1604" s="34">
        <f t="shared" si="195"/>
        <v>8.4959159923287265E-4</v>
      </c>
      <c r="M1604" s="35">
        <f t="shared" si="196"/>
        <v>-8.7188152909981903E-8</v>
      </c>
      <c r="N1604" s="44">
        <f t="shared" si="194"/>
        <v>-4.5099862300506223E-6</v>
      </c>
      <c r="O1604" s="45" t="e">
        <f t="shared" si="197"/>
        <v>#VALUE!</v>
      </c>
      <c r="P1604" s="52" t="str">
        <f t="shared" si="198"/>
        <v/>
      </c>
      <c r="Q1604" s="53" t="str">
        <f t="shared" si="199"/>
        <v/>
      </c>
      <c r="R1604" s="54" t="str">
        <f t="shared" si="200"/>
        <v/>
      </c>
      <c r="S1604" s="53" t="str">
        <f t="shared" si="201"/>
        <v/>
      </c>
    </row>
    <row r="1605" spans="10:19" x14ac:dyDescent="0.15">
      <c r="J1605" s="38">
        <v>1596</v>
      </c>
      <c r="K1605" s="40"/>
      <c r="L1605" s="34">
        <f t="shared" si="195"/>
        <v>8.4950434915495902E-4</v>
      </c>
      <c r="M1605" s="35">
        <f t="shared" si="196"/>
        <v>-8.7311967382577221E-8</v>
      </c>
      <c r="N1605" s="44">
        <f t="shared" si="194"/>
        <v>-4.5159202897732814E-6</v>
      </c>
      <c r="O1605" s="45" t="e">
        <f t="shared" si="197"/>
        <v>#VALUE!</v>
      </c>
      <c r="P1605" s="52" t="str">
        <f t="shared" si="198"/>
        <v/>
      </c>
      <c r="Q1605" s="53" t="str">
        <f t="shared" si="199"/>
        <v/>
      </c>
      <c r="R1605" s="54" t="str">
        <f t="shared" si="200"/>
        <v/>
      </c>
      <c r="S1605" s="53" t="str">
        <f t="shared" si="201"/>
        <v/>
      </c>
    </row>
    <row r="1606" spans="10:19" x14ac:dyDescent="0.15">
      <c r="J1606" s="38">
        <v>1597</v>
      </c>
      <c r="K1606" s="40"/>
      <c r="L1606" s="34">
        <f t="shared" si="195"/>
        <v>8.4941697536909493E-4</v>
      </c>
      <c r="M1606" s="35">
        <f t="shared" si="196"/>
        <v>-8.7435568892857586E-8</v>
      </c>
      <c r="N1606" s="44">
        <f t="shared" si="194"/>
        <v>-4.5218442843925673E-6</v>
      </c>
      <c r="O1606" s="45" t="e">
        <f t="shared" si="197"/>
        <v>#VALUE!</v>
      </c>
      <c r="P1606" s="52" t="str">
        <f t="shared" si="198"/>
        <v/>
      </c>
      <c r="Q1606" s="53" t="str">
        <f t="shared" si="199"/>
        <v/>
      </c>
      <c r="R1606" s="54" t="str">
        <f t="shared" si="200"/>
        <v/>
      </c>
      <c r="S1606" s="53" t="str">
        <f t="shared" si="201"/>
        <v/>
      </c>
    </row>
    <row r="1607" spans="10:19" x14ac:dyDescent="0.15">
      <c r="J1607" s="38">
        <v>1598</v>
      </c>
      <c r="K1607" s="40"/>
      <c r="L1607" s="34">
        <f t="shared" si="195"/>
        <v>8.4932947808799781E-4</v>
      </c>
      <c r="M1607" s="35">
        <f t="shared" si="196"/>
        <v>-8.7558957928940001E-8</v>
      </c>
      <c r="N1607" s="44">
        <f t="shared" si="194"/>
        <v>-4.5277582366590532E-6</v>
      </c>
      <c r="O1607" s="45" t="e">
        <f t="shared" si="197"/>
        <v>#VALUE!</v>
      </c>
      <c r="P1607" s="52" t="str">
        <f t="shared" si="198"/>
        <v/>
      </c>
      <c r="Q1607" s="53" t="str">
        <f t="shared" si="199"/>
        <v/>
      </c>
      <c r="R1607" s="54" t="str">
        <f t="shared" si="200"/>
        <v/>
      </c>
      <c r="S1607" s="53" t="str">
        <f t="shared" si="201"/>
        <v/>
      </c>
    </row>
    <row r="1608" spans="10:19" x14ac:dyDescent="0.15">
      <c r="J1608" s="38">
        <v>1599</v>
      </c>
      <c r="K1608" s="40"/>
      <c r="L1608" s="34">
        <f t="shared" si="195"/>
        <v>8.4924185752389937E-4</v>
      </c>
      <c r="M1608" s="35">
        <f t="shared" si="196"/>
        <v>-8.7682134977543771E-8</v>
      </c>
      <c r="N1608" s="44">
        <f t="shared" si="194"/>
        <v>-4.5336621692606454E-6</v>
      </c>
      <c r="O1608" s="45" t="e">
        <f t="shared" si="197"/>
        <v>#VALUE!</v>
      </c>
      <c r="P1608" s="52" t="str">
        <f t="shared" si="198"/>
        <v/>
      </c>
      <c r="Q1608" s="53" t="str">
        <f t="shared" si="199"/>
        <v/>
      </c>
      <c r="R1608" s="54" t="str">
        <f t="shared" si="200"/>
        <v/>
      </c>
      <c r="S1608" s="53" t="str">
        <f t="shared" si="201"/>
        <v/>
      </c>
    </row>
    <row r="1609" spans="10:19" x14ac:dyDescent="0.15">
      <c r="J1609" s="38">
        <v>1600</v>
      </c>
      <c r="K1609" s="40"/>
      <c r="L1609" s="34">
        <f t="shared" si="195"/>
        <v>8.4915411388854353E-4</v>
      </c>
      <c r="M1609" s="35">
        <f t="shared" si="196"/>
        <v>-8.7805100523995323E-8</v>
      </c>
      <c r="N1609" s="44">
        <f t="shared" ref="N1609:N1672" si="202">(L1659-L1609)</f>
        <v>-4.5395561048196557E-6</v>
      </c>
      <c r="O1609" s="45" t="e">
        <f t="shared" si="197"/>
        <v>#VALUE!</v>
      </c>
      <c r="P1609" s="52" t="str">
        <f t="shared" si="198"/>
        <v/>
      </c>
      <c r="Q1609" s="53" t="str">
        <f t="shared" si="199"/>
        <v/>
      </c>
      <c r="R1609" s="54" t="str">
        <f t="shared" si="200"/>
        <v/>
      </c>
      <c r="S1609" s="53" t="str">
        <f t="shared" si="201"/>
        <v/>
      </c>
    </row>
    <row r="1610" spans="10:19" x14ac:dyDescent="0.15">
      <c r="J1610" s="38">
        <v>1601</v>
      </c>
      <c r="K1610" s="40"/>
      <c r="L1610" s="34">
        <f t="shared" ref="L1610:L1673" si="203">$F$39*((1-$F$40*J1610)/(1+$F$41*J1610))*(J1610-$F$42)</f>
        <v>8.4906624739319089E-4</v>
      </c>
      <c r="M1610" s="35">
        <f t="shared" ref="M1610:M1673" si="204">$F$39*((1-2*$F$40*J1610-$F$40*$F$41*(J1610^2)+($F$41+$F$40)*$F$42)/(1+$F$41*J1610)^2)</f>
        <v>-8.7927855052232957E-8</v>
      </c>
      <c r="N1610" s="44">
        <f t="shared" si="202"/>
        <v>-4.5454400658958378E-6</v>
      </c>
      <c r="O1610" s="45" t="e">
        <f t="shared" ref="O1610:O1673" si="205">IF(N1610&lt;=$B$49,1+O1609,0)</f>
        <v>#VALUE!</v>
      </c>
      <c r="P1610" s="52" t="str">
        <f t="shared" ref="P1610:P1673" si="206">IF(J1610&lt;=$F$42,J1610,"")</f>
        <v/>
      </c>
      <c r="Q1610" s="53" t="str">
        <f t="shared" ref="Q1610:Q1673" si="207">IF(J1610&lt;=$F$42,L1610,"")</f>
        <v/>
      </c>
      <c r="R1610" s="54" t="str">
        <f t="shared" ref="R1610:R1673" si="208">IF(AND(J1610&gt;=$F$42,J1610&lt;=200),J1610,"")</f>
        <v/>
      </c>
      <c r="S1610" s="53" t="str">
        <f t="shared" ref="S1610:S1673" si="209">IF(AND(J1610&gt;=$F$42,J1610&lt;=200),L1610,"")</f>
        <v/>
      </c>
    </row>
    <row r="1611" spans="10:19" x14ac:dyDescent="0.15">
      <c r="J1611" s="38">
        <v>1602</v>
      </c>
      <c r="K1611" s="40"/>
      <c r="L1611" s="34">
        <f t="shared" si="203"/>
        <v>8.4897825824861771E-4</v>
      </c>
      <c r="M1611" s="35">
        <f t="shared" si="204"/>
        <v>-8.8050399044811658E-8</v>
      </c>
      <c r="N1611" s="44">
        <f t="shared" si="202"/>
        <v>-4.5513140749845436E-6</v>
      </c>
      <c r="O1611" s="45" t="e">
        <f t="shared" si="205"/>
        <v>#VALUE!</v>
      </c>
      <c r="P1611" s="52" t="str">
        <f t="shared" si="206"/>
        <v/>
      </c>
      <c r="Q1611" s="53" t="str">
        <f t="shared" si="207"/>
        <v/>
      </c>
      <c r="R1611" s="54" t="str">
        <f t="shared" si="208"/>
        <v/>
      </c>
      <c r="S1611" s="53" t="str">
        <f t="shared" si="209"/>
        <v/>
      </c>
    </row>
    <row r="1612" spans="10:19" x14ac:dyDescent="0.15">
      <c r="J1612" s="38">
        <v>1603</v>
      </c>
      <c r="K1612" s="40"/>
      <c r="L1612" s="34">
        <f t="shared" si="203"/>
        <v>8.4889014666511933E-4</v>
      </c>
      <c r="M1612" s="35">
        <f t="shared" si="204"/>
        <v>-8.8172732982907791E-8</v>
      </c>
      <c r="N1612" s="44">
        <f t="shared" si="202"/>
        <v>-4.5571781545178077E-6</v>
      </c>
      <c r="O1612" s="45" t="e">
        <f t="shared" si="205"/>
        <v>#VALUE!</v>
      </c>
      <c r="P1612" s="52" t="str">
        <f t="shared" si="206"/>
        <v/>
      </c>
      <c r="Q1612" s="53" t="str">
        <f t="shared" si="207"/>
        <v/>
      </c>
      <c r="R1612" s="54" t="str">
        <f t="shared" si="208"/>
        <v/>
      </c>
      <c r="S1612" s="53" t="str">
        <f t="shared" si="209"/>
        <v/>
      </c>
    </row>
    <row r="1613" spans="10:19" x14ac:dyDescent="0.15">
      <c r="J1613" s="38">
        <v>1604</v>
      </c>
      <c r="K1613" s="40"/>
      <c r="L1613" s="34">
        <f t="shared" si="203"/>
        <v>8.4880191285251032E-4</v>
      </c>
      <c r="M1613" s="35">
        <f t="shared" si="204"/>
        <v>-8.8294857346324E-8</v>
      </c>
      <c r="N1613" s="44">
        <f t="shared" si="202"/>
        <v>-4.5630323268653229E-6</v>
      </c>
      <c r="O1613" s="45" t="e">
        <f t="shared" si="205"/>
        <v>#VALUE!</v>
      </c>
      <c r="P1613" s="52" t="str">
        <f t="shared" si="206"/>
        <v/>
      </c>
      <c r="Q1613" s="53" t="str">
        <f t="shared" si="207"/>
        <v/>
      </c>
      <c r="R1613" s="54" t="str">
        <f t="shared" si="208"/>
        <v/>
      </c>
      <c r="S1613" s="53" t="str">
        <f t="shared" si="209"/>
        <v/>
      </c>
    </row>
    <row r="1614" spans="10:19" x14ac:dyDescent="0.15">
      <c r="J1614" s="38">
        <v>1605</v>
      </c>
      <c r="K1614" s="40"/>
      <c r="L1614" s="34">
        <f t="shared" si="203"/>
        <v>8.487135570201253E-4</v>
      </c>
      <c r="M1614" s="35">
        <f t="shared" si="204"/>
        <v>-8.8416772613493533E-8</v>
      </c>
      <c r="N1614" s="44">
        <f t="shared" si="202"/>
        <v>-4.5688766143320552E-6</v>
      </c>
      <c r="O1614" s="45" t="e">
        <f t="shared" si="205"/>
        <v>#VALUE!</v>
      </c>
      <c r="P1614" s="52" t="str">
        <f t="shared" si="206"/>
        <v/>
      </c>
      <c r="Q1614" s="53" t="str">
        <f t="shared" si="207"/>
        <v/>
      </c>
      <c r="R1614" s="54" t="str">
        <f t="shared" si="208"/>
        <v/>
      </c>
      <c r="S1614" s="53" t="str">
        <f t="shared" si="209"/>
        <v/>
      </c>
    </row>
    <row r="1615" spans="10:19" x14ac:dyDescent="0.15">
      <c r="J1615" s="38">
        <v>1606</v>
      </c>
      <c r="K1615" s="40"/>
      <c r="L1615" s="34">
        <f t="shared" si="203"/>
        <v>8.486250793768227E-4</v>
      </c>
      <c r="M1615" s="35">
        <f t="shared" si="204"/>
        <v>-8.8538479261485343E-8</v>
      </c>
      <c r="N1615" s="44">
        <f t="shared" si="202"/>
        <v>-4.5747110391624723E-6</v>
      </c>
      <c r="O1615" s="45" t="e">
        <f t="shared" si="205"/>
        <v>#VALUE!</v>
      </c>
      <c r="P1615" s="52" t="str">
        <f t="shared" si="206"/>
        <v/>
      </c>
      <c r="Q1615" s="53" t="str">
        <f t="shared" si="207"/>
        <v/>
      </c>
      <c r="R1615" s="54" t="str">
        <f t="shared" si="208"/>
        <v/>
      </c>
      <c r="S1615" s="53" t="str">
        <f t="shared" si="209"/>
        <v/>
      </c>
    </row>
    <row r="1616" spans="10:19" x14ac:dyDescent="0.15">
      <c r="J1616" s="38">
        <v>1607</v>
      </c>
      <c r="K1616" s="40"/>
      <c r="L1616" s="34">
        <f t="shared" si="203"/>
        <v>8.4853648013098358E-4</v>
      </c>
      <c r="M1616" s="35">
        <f t="shared" si="204"/>
        <v>-8.8659977766008499E-8</v>
      </c>
      <c r="N1616" s="44">
        <f t="shared" si="202"/>
        <v>-4.5805356235370737E-6</v>
      </c>
      <c r="O1616" s="45" t="e">
        <f t="shared" si="205"/>
        <v>#VALUE!</v>
      </c>
      <c r="P1616" s="52" t="str">
        <f t="shared" si="206"/>
        <v/>
      </c>
      <c r="Q1616" s="53" t="str">
        <f t="shared" si="207"/>
        <v/>
      </c>
      <c r="R1616" s="54" t="str">
        <f t="shared" si="208"/>
        <v/>
      </c>
      <c r="S1616" s="53" t="str">
        <f t="shared" si="209"/>
        <v/>
      </c>
    </row>
    <row r="1617" spans="10:19" x14ac:dyDescent="0.15">
      <c r="J1617" s="38">
        <v>1608</v>
      </c>
      <c r="K1617" s="40"/>
      <c r="L1617" s="34">
        <f t="shared" si="203"/>
        <v>8.4844775949051378E-4</v>
      </c>
      <c r="M1617" s="35">
        <f t="shared" si="204"/>
        <v>-8.878126860141691E-8</v>
      </c>
      <c r="N1617" s="44">
        <f t="shared" si="202"/>
        <v>-4.5863503895742343E-6</v>
      </c>
      <c r="O1617" s="45" t="e">
        <f t="shared" si="205"/>
        <v>#VALUE!</v>
      </c>
      <c r="P1617" s="52" t="str">
        <f t="shared" si="206"/>
        <v/>
      </c>
      <c r="Q1617" s="53" t="str">
        <f t="shared" si="207"/>
        <v/>
      </c>
      <c r="R1617" s="54" t="str">
        <f t="shared" si="208"/>
        <v/>
      </c>
      <c r="S1617" s="53" t="str">
        <f t="shared" si="209"/>
        <v/>
      </c>
    </row>
    <row r="1618" spans="10:19" x14ac:dyDescent="0.15">
      <c r="J1618" s="38">
        <v>1609</v>
      </c>
      <c r="K1618" s="40"/>
      <c r="L1618" s="34">
        <f t="shared" si="203"/>
        <v>8.4835891766284611E-4</v>
      </c>
      <c r="M1618" s="35">
        <f t="shared" si="204"/>
        <v>-8.8902352240713956E-8</v>
      </c>
      <c r="N1618" s="44">
        <f t="shared" si="202"/>
        <v>-4.5921553593305294E-6</v>
      </c>
      <c r="O1618" s="45" t="e">
        <f t="shared" si="205"/>
        <v>#VALUE!</v>
      </c>
      <c r="P1618" s="52" t="str">
        <f t="shared" si="206"/>
        <v/>
      </c>
      <c r="Q1618" s="53" t="str">
        <f t="shared" si="207"/>
        <v/>
      </c>
      <c r="R1618" s="54" t="str">
        <f t="shared" si="208"/>
        <v/>
      </c>
      <c r="S1618" s="53" t="str">
        <f t="shared" si="209"/>
        <v/>
      </c>
    </row>
    <row r="1619" spans="10:19" x14ac:dyDescent="0.15">
      <c r="J1619" s="38">
        <v>1610</v>
      </c>
      <c r="K1619" s="40"/>
      <c r="L1619" s="34">
        <f t="shared" si="203"/>
        <v>8.4826995485494058E-4</v>
      </c>
      <c r="M1619" s="35">
        <f t="shared" si="204"/>
        <v>-8.9023229155557084E-8</v>
      </c>
      <c r="N1619" s="44">
        <f t="shared" si="202"/>
        <v>-4.5979505547999759E-6</v>
      </c>
      <c r="O1619" s="45" t="e">
        <f t="shared" si="205"/>
        <v>#VALUE!</v>
      </c>
      <c r="P1619" s="52" t="str">
        <f t="shared" si="206"/>
        <v/>
      </c>
      <c r="Q1619" s="53" t="str">
        <f t="shared" si="207"/>
        <v/>
      </c>
      <c r="R1619" s="54" t="str">
        <f t="shared" si="208"/>
        <v/>
      </c>
      <c r="S1619" s="53" t="str">
        <f t="shared" si="209"/>
        <v/>
      </c>
    </row>
    <row r="1620" spans="10:19" x14ac:dyDescent="0.15">
      <c r="J1620" s="38">
        <v>1611</v>
      </c>
      <c r="K1620" s="40"/>
      <c r="L1620" s="34">
        <f t="shared" si="203"/>
        <v>8.4818087127328629E-4</v>
      </c>
      <c r="M1620" s="35">
        <f t="shared" si="204"/>
        <v>-8.9143899816262462E-8</v>
      </c>
      <c r="N1620" s="44">
        <f t="shared" si="202"/>
        <v>-4.6037359979157668E-6</v>
      </c>
      <c r="O1620" s="45" t="e">
        <f t="shared" si="205"/>
        <v>#VALUE!</v>
      </c>
      <c r="P1620" s="52" t="str">
        <f t="shared" si="206"/>
        <v/>
      </c>
      <c r="Q1620" s="53" t="str">
        <f t="shared" si="207"/>
        <v/>
      </c>
      <c r="R1620" s="54" t="str">
        <f t="shared" si="208"/>
        <v/>
      </c>
      <c r="S1620" s="53" t="str">
        <f t="shared" si="209"/>
        <v/>
      </c>
    </row>
    <row r="1621" spans="10:19" x14ac:dyDescent="0.15">
      <c r="J1621" s="38">
        <v>1612</v>
      </c>
      <c r="K1621" s="40"/>
      <c r="L1621" s="34">
        <f t="shared" si="203"/>
        <v>8.4809166712390303E-4</v>
      </c>
      <c r="M1621" s="35">
        <f t="shared" si="204"/>
        <v>-8.9264364691809522E-8</v>
      </c>
      <c r="N1621" s="44">
        <f t="shared" si="202"/>
        <v>-4.6095117105491874E-6</v>
      </c>
      <c r="O1621" s="45" t="e">
        <f t="shared" si="205"/>
        <v>#VALUE!</v>
      </c>
      <c r="P1621" s="52" t="str">
        <f t="shared" si="206"/>
        <v/>
      </c>
      <c r="Q1621" s="53" t="str">
        <f t="shared" si="207"/>
        <v/>
      </c>
      <c r="R1621" s="54" t="str">
        <f t="shared" si="208"/>
        <v/>
      </c>
      <c r="S1621" s="53" t="str">
        <f t="shared" si="209"/>
        <v/>
      </c>
    </row>
    <row r="1622" spans="10:19" x14ac:dyDescent="0.15">
      <c r="J1622" s="38">
        <v>1613</v>
      </c>
      <c r="K1622" s="40"/>
      <c r="L1622" s="34">
        <f t="shared" si="203"/>
        <v>8.4800234261234186E-4</v>
      </c>
      <c r="M1622" s="35">
        <f t="shared" si="204"/>
        <v>-8.9384624249845393E-8</v>
      </c>
      <c r="N1622" s="44">
        <f t="shared" si="202"/>
        <v>-4.6152777145100484E-6</v>
      </c>
      <c r="O1622" s="45" t="e">
        <f t="shared" si="205"/>
        <v>#VALUE!</v>
      </c>
      <c r="P1622" s="52" t="str">
        <f t="shared" si="206"/>
        <v/>
      </c>
      <c r="Q1622" s="53" t="str">
        <f t="shared" si="207"/>
        <v/>
      </c>
      <c r="R1622" s="54" t="str">
        <f t="shared" si="208"/>
        <v/>
      </c>
      <c r="S1622" s="53" t="str">
        <f t="shared" si="209"/>
        <v/>
      </c>
    </row>
    <row r="1623" spans="10:19" x14ac:dyDescent="0.15">
      <c r="J1623" s="38">
        <v>1614</v>
      </c>
      <c r="K1623" s="40"/>
      <c r="L1623" s="34">
        <f t="shared" si="203"/>
        <v>8.4791289794368722E-4</v>
      </c>
      <c r="M1623" s="35">
        <f t="shared" si="204"/>
        <v>-8.9504678956689584E-8</v>
      </c>
      <c r="N1623" s="44">
        <f t="shared" si="202"/>
        <v>-4.6210340315476625E-6</v>
      </c>
      <c r="O1623" s="45" t="e">
        <f t="shared" si="205"/>
        <v>#VALUE!</v>
      </c>
      <c r="P1623" s="52" t="str">
        <f t="shared" si="206"/>
        <v/>
      </c>
      <c r="Q1623" s="53" t="str">
        <f t="shared" si="207"/>
        <v/>
      </c>
      <c r="R1623" s="54" t="str">
        <f t="shared" si="208"/>
        <v/>
      </c>
      <c r="S1623" s="53" t="str">
        <f t="shared" si="209"/>
        <v/>
      </c>
    </row>
    <row r="1624" spans="10:19" x14ac:dyDescent="0.15">
      <c r="J1624" s="38">
        <v>1615</v>
      </c>
      <c r="K1624" s="40"/>
      <c r="L1624" s="34">
        <f t="shared" si="203"/>
        <v>8.4782333332255732E-4</v>
      </c>
      <c r="M1624" s="35">
        <f t="shared" si="204"/>
        <v>-8.9624529277338488E-8</v>
      </c>
      <c r="N1624" s="44">
        <f t="shared" si="202"/>
        <v>-4.6267806833492171E-6</v>
      </c>
      <c r="O1624" s="45" t="e">
        <f t="shared" si="205"/>
        <v>#VALUE!</v>
      </c>
      <c r="P1624" s="52" t="str">
        <f t="shared" si="206"/>
        <v/>
      </c>
      <c r="Q1624" s="53" t="str">
        <f t="shared" si="207"/>
        <v/>
      </c>
      <c r="R1624" s="54" t="str">
        <f t="shared" si="208"/>
        <v/>
      </c>
      <c r="S1624" s="53" t="str">
        <f t="shared" si="209"/>
        <v/>
      </c>
    </row>
    <row r="1625" spans="10:19" x14ac:dyDescent="0.15">
      <c r="J1625" s="38">
        <v>1616</v>
      </c>
      <c r="K1625" s="40"/>
      <c r="L1625" s="34">
        <f t="shared" si="203"/>
        <v>8.4773364895310646E-4</v>
      </c>
      <c r="M1625" s="35">
        <f t="shared" si="204"/>
        <v>-8.9744175675469983E-8</v>
      </c>
      <c r="N1625" s="44">
        <f t="shared" si="202"/>
        <v>-4.6325176915429193E-6</v>
      </c>
      <c r="O1625" s="45" t="e">
        <f t="shared" si="205"/>
        <v>#VALUE!</v>
      </c>
      <c r="P1625" s="52" t="str">
        <f t="shared" si="206"/>
        <v/>
      </c>
      <c r="Q1625" s="53" t="str">
        <f t="shared" si="207"/>
        <v/>
      </c>
      <c r="R1625" s="54" t="str">
        <f t="shared" si="208"/>
        <v/>
      </c>
      <c r="S1625" s="53" t="str">
        <f t="shared" si="209"/>
        <v/>
      </c>
    </row>
    <row r="1626" spans="10:19" x14ac:dyDescent="0.15">
      <c r="J1626" s="38">
        <v>1617</v>
      </c>
      <c r="K1626" s="40"/>
      <c r="L1626" s="34">
        <f t="shared" si="203"/>
        <v>8.476438450390262E-4</v>
      </c>
      <c r="M1626" s="35">
        <f t="shared" si="204"/>
        <v>-8.9863618613447618E-8</v>
      </c>
      <c r="N1626" s="44">
        <f t="shared" si="202"/>
        <v>-4.6382450776956104E-6</v>
      </c>
      <c r="O1626" s="45" t="e">
        <f t="shared" si="205"/>
        <v>#VALUE!</v>
      </c>
      <c r="P1626" s="52" t="str">
        <f t="shared" si="206"/>
        <v/>
      </c>
      <c r="Q1626" s="53" t="str">
        <f t="shared" si="207"/>
        <v/>
      </c>
      <c r="R1626" s="54" t="str">
        <f t="shared" si="208"/>
        <v/>
      </c>
      <c r="S1626" s="53" t="str">
        <f t="shared" si="209"/>
        <v/>
      </c>
    </row>
    <row r="1627" spans="10:19" x14ac:dyDescent="0.15">
      <c r="J1627" s="38">
        <v>1618</v>
      </c>
      <c r="K1627" s="40"/>
      <c r="L1627" s="34">
        <f t="shared" si="203"/>
        <v>8.4755392178354611E-4</v>
      </c>
      <c r="M1627" s="35">
        <f t="shared" si="204"/>
        <v>-8.9982858552325257E-8</v>
      </c>
      <c r="N1627" s="44">
        <f t="shared" si="202"/>
        <v>-4.6439628633139583E-6</v>
      </c>
      <c r="O1627" s="45" t="e">
        <f t="shared" si="205"/>
        <v>#VALUE!</v>
      </c>
      <c r="P1627" s="52" t="str">
        <f t="shared" si="206"/>
        <v/>
      </c>
      <c r="Q1627" s="53" t="str">
        <f t="shared" si="207"/>
        <v/>
      </c>
      <c r="R1627" s="54" t="str">
        <f t="shared" si="208"/>
        <v/>
      </c>
      <c r="S1627" s="53" t="str">
        <f t="shared" si="209"/>
        <v/>
      </c>
    </row>
    <row r="1628" spans="10:19" x14ac:dyDescent="0.15">
      <c r="J1628" s="38">
        <v>1619</v>
      </c>
      <c r="K1628" s="40"/>
      <c r="L1628" s="34">
        <f t="shared" si="203"/>
        <v>8.4746387938943477E-4</v>
      </c>
      <c r="M1628" s="35">
        <f t="shared" si="204"/>
        <v>-9.0101895951851671E-8</v>
      </c>
      <c r="N1628" s="44">
        <f t="shared" si="202"/>
        <v>-4.649671069844024E-6</v>
      </c>
      <c r="O1628" s="45" t="e">
        <f t="shared" si="205"/>
        <v>#VALUE!</v>
      </c>
      <c r="P1628" s="52" t="str">
        <f t="shared" si="206"/>
        <v/>
      </c>
      <c r="Q1628" s="53" t="str">
        <f t="shared" si="207"/>
        <v/>
      </c>
      <c r="R1628" s="54" t="str">
        <f t="shared" si="208"/>
        <v/>
      </c>
      <c r="S1628" s="53" t="str">
        <f t="shared" si="209"/>
        <v/>
      </c>
    </row>
    <row r="1629" spans="10:19" x14ac:dyDescent="0.15">
      <c r="J1629" s="38">
        <v>1620</v>
      </c>
      <c r="K1629" s="40"/>
      <c r="L1629" s="34">
        <f t="shared" si="203"/>
        <v>8.4737371805900256E-4</v>
      </c>
      <c r="M1629" s="35">
        <f t="shared" si="204"/>
        <v>-9.0220731270474734E-8</v>
      </c>
      <c r="N1629" s="44">
        <f t="shared" si="202"/>
        <v>-4.6553697186731049E-6</v>
      </c>
      <c r="O1629" s="45" t="e">
        <f t="shared" si="205"/>
        <v>#VALUE!</v>
      </c>
      <c r="P1629" s="52" t="str">
        <f t="shared" si="206"/>
        <v/>
      </c>
      <c r="Q1629" s="53" t="str">
        <f t="shared" si="207"/>
        <v/>
      </c>
      <c r="R1629" s="54" t="str">
        <f t="shared" si="208"/>
        <v/>
      </c>
      <c r="S1629" s="53" t="str">
        <f t="shared" si="209"/>
        <v/>
      </c>
    </row>
    <row r="1630" spans="10:19" x14ac:dyDescent="0.15">
      <c r="J1630" s="38">
        <v>1621</v>
      </c>
      <c r="K1630" s="40"/>
      <c r="L1630" s="34">
        <f t="shared" si="203"/>
        <v>8.4728343799410171E-4</v>
      </c>
      <c r="M1630" s="35">
        <f t="shared" si="204"/>
        <v>-9.033936496534591E-8</v>
      </c>
      <c r="N1630" s="44">
        <f t="shared" si="202"/>
        <v>-4.6610588311284335E-6</v>
      </c>
      <c r="O1630" s="45" t="e">
        <f t="shared" si="205"/>
        <v>#VALUE!</v>
      </c>
      <c r="P1630" s="52" t="str">
        <f t="shared" si="206"/>
        <v/>
      </c>
      <c r="Q1630" s="53" t="str">
        <f t="shared" si="207"/>
        <v/>
      </c>
      <c r="R1630" s="54" t="str">
        <f t="shared" si="208"/>
        <v/>
      </c>
      <c r="S1630" s="53" t="str">
        <f t="shared" si="209"/>
        <v/>
      </c>
    </row>
    <row r="1631" spans="10:19" x14ac:dyDescent="0.15">
      <c r="J1631" s="38">
        <v>1622</v>
      </c>
      <c r="K1631" s="40"/>
      <c r="L1631" s="34">
        <f t="shared" si="203"/>
        <v>8.4719303939612795E-4</v>
      </c>
      <c r="M1631" s="35">
        <f t="shared" si="204"/>
        <v>-9.0457797492324805E-8</v>
      </c>
      <c r="N1631" s="44">
        <f t="shared" si="202"/>
        <v>-4.6667384284772859E-6</v>
      </c>
      <c r="O1631" s="45" t="e">
        <f t="shared" si="205"/>
        <v>#VALUE!</v>
      </c>
      <c r="P1631" s="52" t="str">
        <f t="shared" si="206"/>
        <v/>
      </c>
      <c r="Q1631" s="53" t="str">
        <f t="shared" si="207"/>
        <v/>
      </c>
      <c r="R1631" s="54" t="str">
        <f t="shared" si="208"/>
        <v/>
      </c>
      <c r="S1631" s="53" t="str">
        <f t="shared" si="209"/>
        <v/>
      </c>
    </row>
    <row r="1632" spans="10:19" x14ac:dyDescent="0.15">
      <c r="J1632" s="38">
        <v>1623</v>
      </c>
      <c r="K1632" s="40"/>
      <c r="L1632" s="34">
        <f t="shared" si="203"/>
        <v>8.4710252246602159E-4</v>
      </c>
      <c r="M1632" s="35">
        <f t="shared" si="204"/>
        <v>-9.0576029305983243E-8</v>
      </c>
      <c r="N1632" s="44">
        <f t="shared" si="202"/>
        <v>-4.6724085319280661E-6</v>
      </c>
      <c r="O1632" s="45" t="e">
        <f t="shared" si="205"/>
        <v>#VALUE!</v>
      </c>
      <c r="P1632" s="52" t="str">
        <f t="shared" si="206"/>
        <v/>
      </c>
      <c r="Q1632" s="53" t="str">
        <f t="shared" si="207"/>
        <v/>
      </c>
      <c r="R1632" s="54" t="str">
        <f t="shared" si="208"/>
        <v/>
      </c>
      <c r="S1632" s="53" t="str">
        <f t="shared" si="209"/>
        <v/>
      </c>
    </row>
    <row r="1633" spans="10:19" x14ac:dyDescent="0.15">
      <c r="J1633" s="38">
        <v>1624</v>
      </c>
      <c r="K1633" s="40"/>
      <c r="L1633" s="34">
        <f t="shared" si="203"/>
        <v>8.4701188740426904E-4</v>
      </c>
      <c r="M1633" s="35">
        <f t="shared" si="204"/>
        <v>-9.0694060859609981E-8</v>
      </c>
      <c r="N1633" s="44">
        <f t="shared" si="202"/>
        <v>-4.6780691626298722E-6</v>
      </c>
      <c r="O1633" s="45" t="e">
        <f t="shared" si="205"/>
        <v>#VALUE!</v>
      </c>
      <c r="P1633" s="52" t="str">
        <f t="shared" si="206"/>
        <v/>
      </c>
      <c r="Q1633" s="53" t="str">
        <f t="shared" si="207"/>
        <v/>
      </c>
      <c r="R1633" s="54" t="str">
        <f t="shared" si="208"/>
        <v/>
      </c>
      <c r="S1633" s="53" t="str">
        <f t="shared" si="209"/>
        <v/>
      </c>
    </row>
    <row r="1634" spans="10:19" x14ac:dyDescent="0.15">
      <c r="J1634" s="38">
        <v>1625</v>
      </c>
      <c r="K1634" s="40"/>
      <c r="L1634" s="34">
        <f t="shared" si="203"/>
        <v>8.4692113441090509E-4</v>
      </c>
      <c r="M1634" s="35">
        <f t="shared" si="204"/>
        <v>-9.0811892605214634E-8</v>
      </c>
      <c r="N1634" s="44">
        <f t="shared" si="202"/>
        <v>-4.6837203416741227E-6</v>
      </c>
      <c r="O1634" s="45" t="e">
        <f t="shared" si="205"/>
        <v>#VALUE!</v>
      </c>
      <c r="P1634" s="52" t="str">
        <f t="shared" si="206"/>
        <v/>
      </c>
      <c r="Q1634" s="53" t="str">
        <f t="shared" si="207"/>
        <v/>
      </c>
      <c r="R1634" s="54" t="str">
        <f t="shared" si="208"/>
        <v/>
      </c>
      <c r="S1634" s="53" t="str">
        <f t="shared" si="209"/>
        <v/>
      </c>
    </row>
    <row r="1635" spans="10:19" x14ac:dyDescent="0.15">
      <c r="J1635" s="38">
        <v>1626</v>
      </c>
      <c r="K1635" s="40"/>
      <c r="L1635" s="34">
        <f t="shared" si="203"/>
        <v>8.4683026368551116E-4</v>
      </c>
      <c r="M1635" s="35">
        <f t="shared" si="204"/>
        <v>-9.0929524993532472E-8</v>
      </c>
      <c r="N1635" s="44">
        <f t="shared" si="202"/>
        <v>-4.6893620900914125E-6</v>
      </c>
      <c r="O1635" s="45" t="e">
        <f t="shared" si="205"/>
        <v>#VALUE!</v>
      </c>
      <c r="P1635" s="52" t="str">
        <f t="shared" si="206"/>
        <v/>
      </c>
      <c r="Q1635" s="53" t="str">
        <f t="shared" si="207"/>
        <v/>
      </c>
      <c r="R1635" s="54" t="str">
        <f t="shared" si="208"/>
        <v/>
      </c>
      <c r="S1635" s="53" t="str">
        <f t="shared" si="209"/>
        <v/>
      </c>
    </row>
    <row r="1636" spans="10:19" x14ac:dyDescent="0.15">
      <c r="J1636" s="38">
        <v>1627</v>
      </c>
      <c r="K1636" s="40"/>
      <c r="L1636" s="34">
        <f t="shared" si="203"/>
        <v>8.4673927542722053E-4</v>
      </c>
      <c r="M1636" s="35">
        <f t="shared" si="204"/>
        <v>-9.1046958474028398E-8</v>
      </c>
      <c r="N1636" s="44">
        <f t="shared" si="202"/>
        <v>-4.6949944288558493E-6</v>
      </c>
      <c r="O1636" s="45" t="e">
        <f t="shared" si="205"/>
        <v>#VALUE!</v>
      </c>
      <c r="P1636" s="52" t="str">
        <f t="shared" si="206"/>
        <v/>
      </c>
      <c r="Q1636" s="53" t="str">
        <f t="shared" si="207"/>
        <v/>
      </c>
      <c r="R1636" s="54" t="str">
        <f t="shared" si="208"/>
        <v/>
      </c>
      <c r="S1636" s="53" t="str">
        <f t="shared" si="209"/>
        <v/>
      </c>
    </row>
    <row r="1637" spans="10:19" x14ac:dyDescent="0.15">
      <c r="J1637" s="38">
        <v>1628</v>
      </c>
      <c r="K1637" s="40"/>
      <c r="L1637" s="34">
        <f t="shared" si="203"/>
        <v>8.4664816983471636E-4</v>
      </c>
      <c r="M1637" s="35">
        <f t="shared" si="204"/>
        <v>-9.1164193494901254E-8</v>
      </c>
      <c r="N1637" s="44">
        <f t="shared" si="202"/>
        <v>-4.7006173788821269E-6</v>
      </c>
      <c r="O1637" s="45" t="e">
        <f t="shared" si="205"/>
        <v>#VALUE!</v>
      </c>
      <c r="P1637" s="52" t="str">
        <f t="shared" si="206"/>
        <v/>
      </c>
      <c r="Q1637" s="53" t="str">
        <f t="shared" si="207"/>
        <v/>
      </c>
      <c r="R1637" s="54" t="str">
        <f t="shared" si="208"/>
        <v/>
      </c>
      <c r="S1637" s="53" t="str">
        <f t="shared" si="209"/>
        <v/>
      </c>
    </row>
    <row r="1638" spans="10:19" x14ac:dyDescent="0.15">
      <c r="J1638" s="38">
        <v>1629</v>
      </c>
      <c r="K1638" s="40"/>
      <c r="L1638" s="34">
        <f t="shared" si="203"/>
        <v>8.4655694710623495E-4</v>
      </c>
      <c r="M1638" s="35">
        <f t="shared" si="204"/>
        <v>-9.1281230503088372E-8</v>
      </c>
      <c r="N1638" s="44">
        <f t="shared" si="202"/>
        <v>-4.7062309610272591E-6</v>
      </c>
      <c r="O1638" s="45" t="e">
        <f t="shared" si="205"/>
        <v>#VALUE!</v>
      </c>
      <c r="P1638" s="52" t="str">
        <f t="shared" si="206"/>
        <v/>
      </c>
      <c r="Q1638" s="53" t="str">
        <f t="shared" si="207"/>
        <v/>
      </c>
      <c r="R1638" s="54" t="str">
        <f t="shared" si="208"/>
        <v/>
      </c>
      <c r="S1638" s="53" t="str">
        <f t="shared" si="209"/>
        <v/>
      </c>
    </row>
    <row r="1639" spans="10:19" x14ac:dyDescent="0.15">
      <c r="J1639" s="38">
        <v>1630</v>
      </c>
      <c r="K1639" s="40"/>
      <c r="L1639" s="34">
        <f t="shared" si="203"/>
        <v>8.4646560743956579E-4</v>
      </c>
      <c r="M1639" s="35">
        <f t="shared" si="204"/>
        <v>-9.1398069944269492E-8</v>
      </c>
      <c r="N1639" s="44">
        <f t="shared" si="202"/>
        <v>-4.7118351960902553E-6</v>
      </c>
      <c r="O1639" s="45" t="e">
        <f t="shared" si="205"/>
        <v>#VALUE!</v>
      </c>
      <c r="P1639" s="52" t="str">
        <f t="shared" si="206"/>
        <v/>
      </c>
      <c r="Q1639" s="53" t="str">
        <f t="shared" si="207"/>
        <v/>
      </c>
      <c r="R1639" s="54" t="str">
        <f t="shared" si="208"/>
        <v/>
      </c>
      <c r="S1639" s="53" t="str">
        <f t="shared" si="209"/>
        <v/>
      </c>
    </row>
    <row r="1640" spans="10:19" x14ac:dyDescent="0.15">
      <c r="J1640" s="38">
        <v>1631</v>
      </c>
      <c r="K1640" s="40"/>
      <c r="L1640" s="34">
        <f t="shared" si="203"/>
        <v>8.4637415103205372E-4</v>
      </c>
      <c r="M1640" s="35">
        <f t="shared" si="204"/>
        <v>-9.1514712262871246E-8</v>
      </c>
      <c r="N1640" s="44">
        <f t="shared" si="202"/>
        <v>-4.7174301048127703E-6</v>
      </c>
      <c r="O1640" s="45" t="e">
        <f t="shared" si="205"/>
        <v>#VALUE!</v>
      </c>
      <c r="P1640" s="52" t="str">
        <f t="shared" si="206"/>
        <v/>
      </c>
      <c r="Q1640" s="53" t="str">
        <f t="shared" si="207"/>
        <v/>
      </c>
      <c r="R1640" s="54" t="str">
        <f t="shared" si="208"/>
        <v/>
      </c>
      <c r="S1640" s="53" t="str">
        <f t="shared" si="209"/>
        <v/>
      </c>
    </row>
    <row r="1641" spans="10:19" x14ac:dyDescent="0.15">
      <c r="J1641" s="38">
        <v>1632</v>
      </c>
      <c r="K1641" s="40"/>
      <c r="L1641" s="34">
        <f t="shared" si="203"/>
        <v>8.4628257808059973E-4</v>
      </c>
      <c r="M1641" s="35">
        <f t="shared" si="204"/>
        <v>-9.1631157902071238E-8</v>
      </c>
      <c r="N1641" s="44">
        <f t="shared" si="202"/>
        <v>-4.7230157078784543E-6</v>
      </c>
      <c r="O1641" s="45" t="e">
        <f t="shared" si="205"/>
        <v>#VALUE!</v>
      </c>
      <c r="P1641" s="52" t="str">
        <f t="shared" si="206"/>
        <v/>
      </c>
      <c r="Q1641" s="53" t="str">
        <f t="shared" si="207"/>
        <v/>
      </c>
      <c r="R1641" s="54" t="str">
        <f t="shared" si="208"/>
        <v/>
      </c>
      <c r="S1641" s="53" t="str">
        <f t="shared" si="209"/>
        <v/>
      </c>
    </row>
    <row r="1642" spans="10:19" x14ac:dyDescent="0.15">
      <c r="J1642" s="38">
        <v>1633</v>
      </c>
      <c r="K1642" s="40"/>
      <c r="L1642" s="34">
        <f t="shared" si="203"/>
        <v>8.4619088878166223E-4</v>
      </c>
      <c r="M1642" s="35">
        <f t="shared" si="204"/>
        <v>-9.1747407303802397E-8</v>
      </c>
      <c r="N1642" s="44">
        <f t="shared" si="202"/>
        <v>-4.7285920259140368E-6</v>
      </c>
      <c r="O1642" s="45" t="e">
        <f t="shared" si="205"/>
        <v>#VALUE!</v>
      </c>
      <c r="P1642" s="52" t="str">
        <f t="shared" si="206"/>
        <v/>
      </c>
      <c r="Q1642" s="53" t="str">
        <f t="shared" si="207"/>
        <v/>
      </c>
      <c r="R1642" s="54" t="str">
        <f t="shared" si="208"/>
        <v/>
      </c>
      <c r="S1642" s="53" t="str">
        <f t="shared" si="209"/>
        <v/>
      </c>
    </row>
    <row r="1643" spans="10:19" x14ac:dyDescent="0.15">
      <c r="J1643" s="38">
        <v>1634</v>
      </c>
      <c r="K1643" s="40"/>
      <c r="L1643" s="34">
        <f t="shared" si="203"/>
        <v>8.460990833312577E-4</v>
      </c>
      <c r="M1643" s="35">
        <f t="shared" si="204"/>
        <v>-9.1863460908756974E-8</v>
      </c>
      <c r="N1643" s="44">
        <f t="shared" si="202"/>
        <v>-4.7341590794885676E-6</v>
      </c>
      <c r="O1643" s="45" t="e">
        <f t="shared" si="205"/>
        <v>#VALUE!</v>
      </c>
      <c r="P1643" s="52" t="str">
        <f t="shared" si="206"/>
        <v/>
      </c>
      <c r="Q1643" s="53" t="str">
        <f t="shared" si="207"/>
        <v/>
      </c>
      <c r="R1643" s="54" t="str">
        <f t="shared" si="208"/>
        <v/>
      </c>
      <c r="S1643" s="53" t="str">
        <f t="shared" si="209"/>
        <v/>
      </c>
    </row>
    <row r="1644" spans="10:19" x14ac:dyDescent="0.15">
      <c r="J1644" s="38">
        <v>1635</v>
      </c>
      <c r="K1644" s="40"/>
      <c r="L1644" s="34">
        <f t="shared" si="203"/>
        <v>8.4600716192496385E-4</v>
      </c>
      <c r="M1644" s="35">
        <f t="shared" si="204"/>
        <v>-9.1979319156390908E-8</v>
      </c>
      <c r="N1644" s="44">
        <f t="shared" si="202"/>
        <v>-4.7397168891154771E-6</v>
      </c>
      <c r="O1644" s="45" t="e">
        <f t="shared" si="205"/>
        <v>#VALUE!</v>
      </c>
      <c r="P1644" s="52" t="str">
        <f t="shared" si="206"/>
        <v/>
      </c>
      <c r="Q1644" s="53" t="str">
        <f t="shared" si="207"/>
        <v/>
      </c>
      <c r="R1644" s="54" t="str">
        <f t="shared" si="208"/>
        <v/>
      </c>
      <c r="S1644" s="53" t="str">
        <f t="shared" si="209"/>
        <v/>
      </c>
    </row>
    <row r="1645" spans="10:19" x14ac:dyDescent="0.15">
      <c r="J1645" s="38">
        <v>1636</v>
      </c>
      <c r="K1645" s="40"/>
      <c r="L1645" s="34">
        <f t="shared" si="203"/>
        <v>8.4591512475791801E-4</v>
      </c>
      <c r="M1645" s="35">
        <f t="shared" si="204"/>
        <v>-9.2094982484927851E-8</v>
      </c>
      <c r="N1645" s="44">
        <f t="shared" si="202"/>
        <v>-4.7452654752491068E-6</v>
      </c>
      <c r="O1645" s="45" t="e">
        <f t="shared" si="205"/>
        <v>#VALUE!</v>
      </c>
      <c r="P1645" s="52" t="str">
        <f t="shared" si="206"/>
        <v/>
      </c>
      <c r="Q1645" s="53" t="str">
        <f t="shared" si="207"/>
        <v/>
      </c>
      <c r="R1645" s="54" t="str">
        <f t="shared" si="208"/>
        <v/>
      </c>
      <c r="S1645" s="53" t="str">
        <f t="shared" si="209"/>
        <v/>
      </c>
    </row>
    <row r="1646" spans="10:19" x14ac:dyDescent="0.15">
      <c r="J1646" s="38">
        <v>1637</v>
      </c>
      <c r="K1646" s="40"/>
      <c r="L1646" s="34">
        <f t="shared" si="203"/>
        <v>8.458229720248214E-4</v>
      </c>
      <c r="M1646" s="35">
        <f t="shared" si="204"/>
        <v>-9.2210451331363482E-8</v>
      </c>
      <c r="N1646" s="44">
        <f t="shared" si="202"/>
        <v>-4.7508048582901299E-6</v>
      </c>
      <c r="O1646" s="45" t="e">
        <f t="shared" si="205"/>
        <v>#VALUE!</v>
      </c>
      <c r="P1646" s="52" t="str">
        <f t="shared" si="206"/>
        <v/>
      </c>
      <c r="Q1646" s="53" t="str">
        <f t="shared" si="207"/>
        <v/>
      </c>
      <c r="R1646" s="54" t="str">
        <f t="shared" si="208"/>
        <v/>
      </c>
      <c r="S1646" s="53" t="str">
        <f t="shared" si="209"/>
        <v/>
      </c>
    </row>
    <row r="1647" spans="10:19" x14ac:dyDescent="0.15">
      <c r="J1647" s="38">
        <v>1638</v>
      </c>
      <c r="K1647" s="40"/>
      <c r="L1647" s="34">
        <f t="shared" si="203"/>
        <v>8.4573070391993736E-4</v>
      </c>
      <c r="M1647" s="35">
        <f t="shared" si="204"/>
        <v>-9.2325726131469414E-8</v>
      </c>
      <c r="N1647" s="44">
        <f t="shared" si="202"/>
        <v>-4.7563350585799139E-6</v>
      </c>
      <c r="O1647" s="45" t="e">
        <f t="shared" si="205"/>
        <v>#VALUE!</v>
      </c>
      <c r="P1647" s="52" t="str">
        <f t="shared" si="206"/>
        <v/>
      </c>
      <c r="Q1647" s="53" t="str">
        <f t="shared" si="207"/>
        <v/>
      </c>
      <c r="R1647" s="54" t="str">
        <f t="shared" si="208"/>
        <v/>
      </c>
      <c r="S1647" s="53" t="str">
        <f t="shared" si="209"/>
        <v/>
      </c>
    </row>
    <row r="1648" spans="10:19" x14ac:dyDescent="0.15">
      <c r="J1648" s="38">
        <v>1639</v>
      </c>
      <c r="K1648" s="40"/>
      <c r="L1648" s="34">
        <f t="shared" si="203"/>
        <v>8.4563832063709544E-4</v>
      </c>
      <c r="M1648" s="35">
        <f t="shared" si="204"/>
        <v>-9.2440807319797384E-8</v>
      </c>
      <c r="N1648" s="44">
        <f t="shared" si="202"/>
        <v>-4.7618560964061583E-6</v>
      </c>
      <c r="O1648" s="45" t="e">
        <f t="shared" si="205"/>
        <v>#VALUE!</v>
      </c>
      <c r="P1648" s="52" t="str">
        <f t="shared" si="206"/>
        <v/>
      </c>
      <c r="Q1648" s="53" t="str">
        <f t="shared" si="207"/>
        <v/>
      </c>
      <c r="R1648" s="54" t="str">
        <f t="shared" si="208"/>
        <v/>
      </c>
      <c r="S1648" s="53" t="str">
        <f t="shared" si="209"/>
        <v/>
      </c>
    </row>
    <row r="1649" spans="10:19" x14ac:dyDescent="0.15">
      <c r="J1649" s="38">
        <v>1640</v>
      </c>
      <c r="K1649" s="40"/>
      <c r="L1649" s="34">
        <f t="shared" si="203"/>
        <v>8.4554582236969064E-4</v>
      </c>
      <c r="M1649" s="35">
        <f t="shared" si="204"/>
        <v>-9.255569532968357E-8</v>
      </c>
      <c r="N1649" s="44">
        <f t="shared" si="202"/>
        <v>-4.7673679919998588E-6</v>
      </c>
      <c r="O1649" s="45" t="e">
        <f t="shared" si="205"/>
        <v>#VALUE!</v>
      </c>
      <c r="P1649" s="52" t="str">
        <f t="shared" si="206"/>
        <v/>
      </c>
      <c r="Q1649" s="53" t="str">
        <f t="shared" si="207"/>
        <v/>
      </c>
      <c r="R1649" s="54" t="str">
        <f t="shared" si="208"/>
        <v/>
      </c>
      <c r="S1649" s="53" t="str">
        <f t="shared" si="209"/>
        <v/>
      </c>
    </row>
    <row r="1650" spans="10:19" x14ac:dyDescent="0.15">
      <c r="J1650" s="38">
        <v>1641</v>
      </c>
      <c r="K1650" s="40"/>
      <c r="L1650" s="34">
        <f t="shared" si="203"/>
        <v>8.4545320931068502E-4</v>
      </c>
      <c r="M1650" s="35">
        <f t="shared" si="204"/>
        <v>-9.2670390593252195E-8</v>
      </c>
      <c r="N1650" s="44">
        <f t="shared" si="202"/>
        <v>-4.7728707655345483E-6</v>
      </c>
      <c r="O1650" s="45" t="e">
        <f t="shared" si="205"/>
        <v>#VALUE!</v>
      </c>
      <c r="P1650" s="52" t="str">
        <f t="shared" si="206"/>
        <v/>
      </c>
      <c r="Q1650" s="53" t="str">
        <f t="shared" si="207"/>
        <v/>
      </c>
      <c r="R1650" s="54" t="str">
        <f t="shared" si="208"/>
        <v/>
      </c>
      <c r="S1650" s="53" t="str">
        <f t="shared" si="209"/>
        <v/>
      </c>
    </row>
    <row r="1651" spans="10:19" x14ac:dyDescent="0.15">
      <c r="J1651" s="38">
        <v>1642</v>
      </c>
      <c r="K1651" s="40"/>
      <c r="L1651" s="34">
        <f t="shared" si="203"/>
        <v>8.4536048165260926E-4</v>
      </c>
      <c r="M1651" s="35">
        <f t="shared" si="204"/>
        <v>-9.2784893541420153E-8</v>
      </c>
      <c r="N1651" s="44">
        <f t="shared" si="202"/>
        <v>-4.778364437130634E-6</v>
      </c>
      <c r="O1651" s="45" t="e">
        <f t="shared" si="205"/>
        <v>#VALUE!</v>
      </c>
      <c r="P1651" s="52" t="str">
        <f t="shared" si="206"/>
        <v/>
      </c>
      <c r="Q1651" s="53" t="str">
        <f t="shared" si="207"/>
        <v/>
      </c>
      <c r="R1651" s="54" t="str">
        <f t="shared" si="208"/>
        <v/>
      </c>
      <c r="S1651" s="53" t="str">
        <f t="shared" si="209"/>
        <v/>
      </c>
    </row>
    <row r="1652" spans="10:19" x14ac:dyDescent="0.15">
      <c r="J1652" s="38">
        <v>1643</v>
      </c>
      <c r="K1652" s="40"/>
      <c r="L1652" s="34">
        <f t="shared" si="203"/>
        <v>8.4526763958756403E-4</v>
      </c>
      <c r="M1652" s="35">
        <f t="shared" si="204"/>
        <v>-9.2899204603900599E-8</v>
      </c>
      <c r="N1652" s="44">
        <f t="shared" si="202"/>
        <v>-4.7838490268510602E-6</v>
      </c>
      <c r="O1652" s="45" t="e">
        <f t="shared" si="205"/>
        <v>#VALUE!</v>
      </c>
      <c r="P1652" s="52" t="str">
        <f t="shared" si="206"/>
        <v/>
      </c>
      <c r="Q1652" s="53" t="str">
        <f t="shared" si="207"/>
        <v/>
      </c>
      <c r="R1652" s="54" t="str">
        <f t="shared" si="208"/>
        <v/>
      </c>
      <c r="S1652" s="53" t="str">
        <f t="shared" si="209"/>
        <v/>
      </c>
    </row>
    <row r="1653" spans="10:19" x14ac:dyDescent="0.15">
      <c r="J1653" s="38">
        <v>1644</v>
      </c>
      <c r="K1653" s="40"/>
      <c r="L1653" s="34">
        <f t="shared" si="203"/>
        <v>8.4517468330722056E-4</v>
      </c>
      <c r="M1653" s="35">
        <f t="shared" si="204"/>
        <v>-9.3013324209207223E-8</v>
      </c>
      <c r="N1653" s="44">
        <f t="shared" si="202"/>
        <v>-4.7893245547051032E-6</v>
      </c>
      <c r="O1653" s="45" t="e">
        <f t="shared" si="205"/>
        <v>#VALUE!</v>
      </c>
      <c r="P1653" s="52" t="str">
        <f t="shared" si="206"/>
        <v/>
      </c>
      <c r="Q1653" s="53" t="str">
        <f t="shared" si="207"/>
        <v/>
      </c>
      <c r="R1653" s="54" t="str">
        <f t="shared" si="208"/>
        <v/>
      </c>
      <c r="S1653" s="53" t="str">
        <f t="shared" si="209"/>
        <v/>
      </c>
    </row>
    <row r="1654" spans="10:19" x14ac:dyDescent="0.15">
      <c r="J1654" s="38">
        <v>1645</v>
      </c>
      <c r="K1654" s="40"/>
      <c r="L1654" s="34">
        <f t="shared" si="203"/>
        <v>8.4508161300282203E-4</v>
      </c>
      <c r="M1654" s="35">
        <f t="shared" si="204"/>
        <v>-9.3127252784658233E-8</v>
      </c>
      <c r="N1654" s="44">
        <f t="shared" si="202"/>
        <v>-4.7947910406455525E-6</v>
      </c>
      <c r="O1654" s="45" t="e">
        <f t="shared" si="205"/>
        <v>#VALUE!</v>
      </c>
      <c r="P1654" s="52" t="str">
        <f t="shared" si="206"/>
        <v/>
      </c>
      <c r="Q1654" s="53" t="str">
        <f t="shared" si="207"/>
        <v/>
      </c>
      <c r="R1654" s="54" t="str">
        <f t="shared" si="208"/>
        <v/>
      </c>
      <c r="S1654" s="53" t="str">
        <f t="shared" si="209"/>
        <v/>
      </c>
    </row>
    <row r="1655" spans="10:19" x14ac:dyDescent="0.15">
      <c r="J1655" s="38">
        <v>1646</v>
      </c>
      <c r="K1655" s="40"/>
      <c r="L1655" s="34">
        <f t="shared" si="203"/>
        <v>8.4498842886518574E-4</v>
      </c>
      <c r="M1655" s="35">
        <f t="shared" si="204"/>
        <v>-9.3240990756380157E-8</v>
      </c>
      <c r="N1655" s="44">
        <f t="shared" si="202"/>
        <v>-4.8002485045718548E-6</v>
      </c>
      <c r="O1655" s="45" t="e">
        <f t="shared" si="205"/>
        <v>#VALUE!</v>
      </c>
      <c r="P1655" s="52" t="str">
        <f t="shared" si="206"/>
        <v/>
      </c>
      <c r="Q1655" s="53" t="str">
        <f t="shared" si="207"/>
        <v/>
      </c>
      <c r="R1655" s="54" t="str">
        <f t="shared" si="208"/>
        <v/>
      </c>
      <c r="S1655" s="53" t="str">
        <f t="shared" si="209"/>
        <v/>
      </c>
    </row>
    <row r="1656" spans="10:19" x14ac:dyDescent="0.15">
      <c r="J1656" s="38">
        <v>1647</v>
      </c>
      <c r="K1656" s="40"/>
      <c r="L1656" s="34">
        <f t="shared" si="203"/>
        <v>8.4489513108470236E-4</v>
      </c>
      <c r="M1656" s="35">
        <f t="shared" si="204"/>
        <v>-9.3354538549312271E-8</v>
      </c>
      <c r="N1656" s="44">
        <f t="shared" si="202"/>
        <v>-4.8056969663271866E-6</v>
      </c>
      <c r="O1656" s="45" t="e">
        <f t="shared" si="205"/>
        <v>#VALUE!</v>
      </c>
      <c r="P1656" s="52" t="str">
        <f t="shared" si="206"/>
        <v/>
      </c>
      <c r="Q1656" s="53" t="str">
        <f t="shared" si="207"/>
        <v/>
      </c>
      <c r="R1656" s="54" t="str">
        <f t="shared" si="208"/>
        <v/>
      </c>
      <c r="S1656" s="53" t="str">
        <f t="shared" si="209"/>
        <v/>
      </c>
    </row>
    <row r="1657" spans="10:19" x14ac:dyDescent="0.15">
      <c r="J1657" s="38">
        <v>1648</v>
      </c>
      <c r="K1657" s="40"/>
      <c r="L1657" s="34">
        <f t="shared" si="203"/>
        <v>8.4480171985133875E-4</v>
      </c>
      <c r="M1657" s="35">
        <f t="shared" si="204"/>
        <v>-9.3467896587209991E-8</v>
      </c>
      <c r="N1657" s="44">
        <f t="shared" si="202"/>
        <v>-4.811136445700406E-6</v>
      </c>
      <c r="O1657" s="45" t="e">
        <f t="shared" si="205"/>
        <v>#VALUE!</v>
      </c>
      <c r="P1657" s="52" t="str">
        <f t="shared" si="206"/>
        <v/>
      </c>
      <c r="Q1657" s="53" t="str">
        <f t="shared" si="207"/>
        <v/>
      </c>
      <c r="R1657" s="54" t="str">
        <f t="shared" si="208"/>
        <v/>
      </c>
      <c r="S1657" s="53" t="str">
        <f t="shared" si="209"/>
        <v/>
      </c>
    </row>
    <row r="1658" spans="10:19" x14ac:dyDescent="0.15">
      <c r="J1658" s="38">
        <v>1649</v>
      </c>
      <c r="K1658" s="40"/>
      <c r="L1658" s="34">
        <f t="shared" si="203"/>
        <v>8.4470819535463872E-4</v>
      </c>
      <c r="M1658" s="35">
        <f t="shared" si="204"/>
        <v>-9.3581065292649414E-8</v>
      </c>
      <c r="N1658" s="44">
        <f t="shared" si="202"/>
        <v>-4.8165669624276788E-6</v>
      </c>
      <c r="O1658" s="45" t="e">
        <f t="shared" si="205"/>
        <v>#VALUE!</v>
      </c>
      <c r="P1658" s="52" t="str">
        <f t="shared" si="206"/>
        <v/>
      </c>
      <c r="Q1658" s="53" t="str">
        <f t="shared" si="207"/>
        <v/>
      </c>
      <c r="R1658" s="54" t="str">
        <f t="shared" si="208"/>
        <v/>
      </c>
      <c r="S1658" s="53" t="str">
        <f t="shared" si="209"/>
        <v/>
      </c>
    </row>
    <row r="1659" spans="10:19" x14ac:dyDescent="0.15">
      <c r="J1659" s="38">
        <v>1650</v>
      </c>
      <c r="K1659" s="40"/>
      <c r="L1659" s="34">
        <f t="shared" si="203"/>
        <v>8.4461455778372387E-4</v>
      </c>
      <c r="M1659" s="35">
        <f t="shared" si="204"/>
        <v>-9.3694045087030818E-8</v>
      </c>
      <c r="N1659" s="44">
        <f t="shared" si="202"/>
        <v>-4.8219885361891176E-6</v>
      </c>
      <c r="O1659" s="45" t="e">
        <f t="shared" si="205"/>
        <v>#VALUE!</v>
      </c>
      <c r="P1659" s="52" t="str">
        <f t="shared" si="206"/>
        <v/>
      </c>
      <c r="Q1659" s="53" t="str">
        <f t="shared" si="207"/>
        <v/>
      </c>
      <c r="R1659" s="54" t="str">
        <f t="shared" si="208"/>
        <v/>
      </c>
      <c r="S1659" s="53" t="str">
        <f t="shared" si="209"/>
        <v/>
      </c>
    </row>
    <row r="1660" spans="10:19" x14ac:dyDescent="0.15">
      <c r="J1660" s="38">
        <v>1651</v>
      </c>
      <c r="K1660" s="40"/>
      <c r="L1660" s="34">
        <f t="shared" si="203"/>
        <v>8.4452080732729505E-4</v>
      </c>
      <c r="M1660" s="35">
        <f t="shared" si="204"/>
        <v>-9.3806836390582617E-8</v>
      </c>
      <c r="N1660" s="44">
        <f t="shared" si="202"/>
        <v>-4.8274011866113837E-6</v>
      </c>
      <c r="O1660" s="45" t="e">
        <f t="shared" si="205"/>
        <v>#VALUE!</v>
      </c>
      <c r="P1660" s="52" t="str">
        <f t="shared" si="206"/>
        <v/>
      </c>
      <c r="Q1660" s="53" t="str">
        <f t="shared" si="207"/>
        <v/>
      </c>
      <c r="R1660" s="54" t="str">
        <f t="shared" si="208"/>
        <v/>
      </c>
      <c r="S1660" s="53" t="str">
        <f t="shared" si="209"/>
        <v/>
      </c>
    </row>
    <row r="1661" spans="10:19" x14ac:dyDescent="0.15">
      <c r="J1661" s="38">
        <v>1652</v>
      </c>
      <c r="K1661" s="40"/>
      <c r="L1661" s="34">
        <f t="shared" si="203"/>
        <v>8.4442694417363317E-4</v>
      </c>
      <c r="M1661" s="35">
        <f t="shared" si="204"/>
        <v>-9.3919439622365663E-8</v>
      </c>
      <c r="N1661" s="44">
        <f t="shared" si="202"/>
        <v>-4.8328049332676875E-6</v>
      </c>
      <c r="O1661" s="45" t="e">
        <f t="shared" si="205"/>
        <v>#VALUE!</v>
      </c>
      <c r="P1661" s="52" t="str">
        <f t="shared" si="206"/>
        <v/>
      </c>
      <c r="Q1661" s="53" t="str">
        <f t="shared" si="207"/>
        <v/>
      </c>
      <c r="R1661" s="54" t="str">
        <f t="shared" si="208"/>
        <v/>
      </c>
      <c r="S1661" s="53" t="str">
        <f t="shared" si="209"/>
        <v/>
      </c>
    </row>
    <row r="1662" spans="10:19" x14ac:dyDescent="0.15">
      <c r="J1662" s="38">
        <v>1653</v>
      </c>
      <c r="K1662" s="40"/>
      <c r="L1662" s="34">
        <f t="shared" si="203"/>
        <v>8.4433296851060152E-4</v>
      </c>
      <c r="M1662" s="35">
        <f t="shared" si="204"/>
        <v>-9.4031855200276634E-8</v>
      </c>
      <c r="N1662" s="44">
        <f t="shared" si="202"/>
        <v>-4.8381997956774628E-6</v>
      </c>
      <c r="O1662" s="45" t="e">
        <f t="shared" si="205"/>
        <v>#VALUE!</v>
      </c>
      <c r="P1662" s="52" t="str">
        <f t="shared" si="206"/>
        <v/>
      </c>
      <c r="Q1662" s="53" t="str">
        <f t="shared" si="207"/>
        <v/>
      </c>
      <c r="R1662" s="54" t="str">
        <f t="shared" si="208"/>
        <v/>
      </c>
      <c r="S1662" s="53" t="str">
        <f t="shared" si="209"/>
        <v/>
      </c>
    </row>
    <row r="1663" spans="10:19" x14ac:dyDescent="0.15">
      <c r="J1663" s="38">
        <v>1654</v>
      </c>
      <c r="K1663" s="40"/>
      <c r="L1663" s="34">
        <f t="shared" si="203"/>
        <v>8.44238880525645E-4</v>
      </c>
      <c r="M1663" s="35">
        <f t="shared" si="204"/>
        <v>-9.414408354105227E-8</v>
      </c>
      <c r="N1663" s="44">
        <f t="shared" si="202"/>
        <v>-4.8435857933066921E-6</v>
      </c>
      <c r="O1663" s="45" t="e">
        <f t="shared" si="205"/>
        <v>#VALUE!</v>
      </c>
      <c r="P1663" s="52" t="str">
        <f t="shared" si="206"/>
        <v/>
      </c>
      <c r="Q1663" s="53" t="str">
        <f t="shared" si="207"/>
        <v/>
      </c>
      <c r="R1663" s="54" t="str">
        <f t="shared" si="208"/>
        <v/>
      </c>
      <c r="S1663" s="53" t="str">
        <f t="shared" si="209"/>
        <v/>
      </c>
    </row>
    <row r="1664" spans="10:19" x14ac:dyDescent="0.15">
      <c r="J1664" s="38">
        <v>1655</v>
      </c>
      <c r="K1664" s="40"/>
      <c r="L1664" s="34">
        <f t="shared" si="203"/>
        <v>8.4414468040579325E-4</v>
      </c>
      <c r="M1664" s="35">
        <f t="shared" si="204"/>
        <v>-9.4256125060273062E-8</v>
      </c>
      <c r="N1664" s="44">
        <f t="shared" si="202"/>
        <v>-4.8489629455677986E-6</v>
      </c>
      <c r="O1664" s="45" t="e">
        <f t="shared" si="205"/>
        <v>#VALUE!</v>
      </c>
      <c r="P1664" s="52" t="str">
        <f t="shared" si="206"/>
        <v/>
      </c>
      <c r="Q1664" s="53" t="str">
        <f t="shared" si="207"/>
        <v/>
      </c>
      <c r="R1664" s="54" t="str">
        <f t="shared" si="208"/>
        <v/>
      </c>
      <c r="S1664" s="53" t="str">
        <f t="shared" si="209"/>
        <v/>
      </c>
    </row>
    <row r="1665" spans="10:19" x14ac:dyDescent="0.15">
      <c r="J1665" s="38">
        <v>1656</v>
      </c>
      <c r="K1665" s="40"/>
      <c r="L1665" s="34">
        <f t="shared" si="203"/>
        <v>8.4405036833766023E-4</v>
      </c>
      <c r="M1665" s="35">
        <f t="shared" si="204"/>
        <v>-9.4367980172367124E-8</v>
      </c>
      <c r="N1665" s="44">
        <f t="shared" si="202"/>
        <v>-4.8543312718200794E-6</v>
      </c>
      <c r="O1665" s="45" t="e">
        <f t="shared" si="205"/>
        <v>#VALUE!</v>
      </c>
      <c r="P1665" s="52" t="str">
        <f t="shared" si="206"/>
        <v/>
      </c>
      <c r="Q1665" s="53" t="str">
        <f t="shared" si="207"/>
        <v/>
      </c>
      <c r="R1665" s="54" t="str">
        <f t="shared" si="208"/>
        <v/>
      </c>
      <c r="S1665" s="53" t="str">
        <f t="shared" si="209"/>
        <v/>
      </c>
    </row>
    <row r="1666" spans="10:19" x14ac:dyDescent="0.15">
      <c r="J1666" s="38">
        <v>1657</v>
      </c>
      <c r="K1666" s="40"/>
      <c r="L1666" s="34">
        <f t="shared" si="203"/>
        <v>8.439559445074465E-4</v>
      </c>
      <c r="M1666" s="35">
        <f t="shared" si="204"/>
        <v>-9.4479649290614086E-8</v>
      </c>
      <c r="N1666" s="44">
        <f t="shared" si="202"/>
        <v>-4.8596907913703562E-6</v>
      </c>
      <c r="O1666" s="45" t="e">
        <f t="shared" si="205"/>
        <v>#VALUE!</v>
      </c>
      <c r="P1666" s="52" t="str">
        <f t="shared" si="206"/>
        <v/>
      </c>
      <c r="Q1666" s="53" t="str">
        <f t="shared" si="207"/>
        <v/>
      </c>
      <c r="R1666" s="54" t="str">
        <f t="shared" si="208"/>
        <v/>
      </c>
      <c r="S1666" s="53" t="str">
        <f t="shared" si="209"/>
        <v/>
      </c>
    </row>
    <row r="1667" spans="10:19" x14ac:dyDescent="0.15">
      <c r="J1667" s="38">
        <v>1658</v>
      </c>
      <c r="K1667" s="40"/>
      <c r="L1667" s="34">
        <f t="shared" si="203"/>
        <v>8.4386140910093954E-4</v>
      </c>
      <c r="M1667" s="35">
        <f t="shared" si="204"/>
        <v>-9.4591132827148841E-8</v>
      </c>
      <c r="N1667" s="44">
        <f t="shared" si="202"/>
        <v>-4.8650415234719998E-6</v>
      </c>
      <c r="O1667" s="45" t="e">
        <f t="shared" si="205"/>
        <v>#VALUE!</v>
      </c>
      <c r="P1667" s="52" t="str">
        <f t="shared" si="206"/>
        <v/>
      </c>
      <c r="Q1667" s="53" t="str">
        <f t="shared" si="207"/>
        <v/>
      </c>
      <c r="R1667" s="54" t="str">
        <f t="shared" si="208"/>
        <v/>
      </c>
      <c r="S1667" s="53" t="str">
        <f t="shared" si="209"/>
        <v/>
      </c>
    </row>
    <row r="1668" spans="10:19" x14ac:dyDescent="0.15">
      <c r="J1668" s="38">
        <v>1659</v>
      </c>
      <c r="K1668" s="40"/>
      <c r="L1668" s="34">
        <f t="shared" si="203"/>
        <v>8.4376676230351558E-4</v>
      </c>
      <c r="M1668" s="35">
        <f t="shared" si="204"/>
        <v>-9.470243119296538E-8</v>
      </c>
      <c r="N1668" s="44">
        <f t="shared" si="202"/>
        <v>-4.8703834873266641E-6</v>
      </c>
      <c r="O1668" s="45" t="e">
        <f t="shared" si="205"/>
        <v>#VALUE!</v>
      </c>
      <c r="P1668" s="52" t="str">
        <f t="shared" si="206"/>
        <v/>
      </c>
      <c r="Q1668" s="53" t="str">
        <f t="shared" si="207"/>
        <v/>
      </c>
      <c r="R1668" s="54" t="str">
        <f t="shared" si="208"/>
        <v/>
      </c>
      <c r="S1668" s="53" t="str">
        <f t="shared" si="209"/>
        <v/>
      </c>
    </row>
    <row r="1669" spans="10:19" x14ac:dyDescent="0.15">
      <c r="J1669" s="38">
        <v>1660</v>
      </c>
      <c r="K1669" s="40"/>
      <c r="L1669" s="34">
        <f t="shared" si="203"/>
        <v>8.436720043001406E-4</v>
      </c>
      <c r="M1669" s="35">
        <f t="shared" si="204"/>
        <v>-9.4813544797920592E-8</v>
      </c>
      <c r="N1669" s="44">
        <f t="shared" si="202"/>
        <v>-4.8757167020834196E-6</v>
      </c>
      <c r="O1669" s="45" t="e">
        <f t="shared" si="205"/>
        <v>#VALUE!</v>
      </c>
      <c r="P1669" s="52" t="str">
        <f t="shared" si="206"/>
        <v/>
      </c>
      <c r="Q1669" s="53" t="str">
        <f t="shared" si="207"/>
        <v/>
      </c>
      <c r="R1669" s="54" t="str">
        <f t="shared" si="208"/>
        <v/>
      </c>
      <c r="S1669" s="53" t="str">
        <f t="shared" si="209"/>
        <v/>
      </c>
    </row>
    <row r="1670" spans="10:19" x14ac:dyDescent="0.15">
      <c r="J1670" s="38">
        <v>1661</v>
      </c>
      <c r="K1670" s="40"/>
      <c r="L1670" s="34">
        <f t="shared" si="203"/>
        <v>8.4357713527537053E-4</v>
      </c>
      <c r="M1670" s="35">
        <f t="shared" si="204"/>
        <v>-9.4924474050737997E-8</v>
      </c>
      <c r="N1670" s="44">
        <f t="shared" si="202"/>
        <v>-4.8810411868378855E-6</v>
      </c>
      <c r="O1670" s="45" t="e">
        <f t="shared" si="205"/>
        <v>#VALUE!</v>
      </c>
      <c r="P1670" s="52" t="str">
        <f t="shared" si="206"/>
        <v/>
      </c>
      <c r="Q1670" s="53" t="str">
        <f t="shared" si="207"/>
        <v/>
      </c>
      <c r="R1670" s="54" t="str">
        <f t="shared" si="208"/>
        <v/>
      </c>
      <c r="S1670" s="53" t="str">
        <f t="shared" si="209"/>
        <v/>
      </c>
    </row>
    <row r="1671" spans="10:19" x14ac:dyDescent="0.15">
      <c r="J1671" s="38">
        <v>1662</v>
      </c>
      <c r="K1671" s="40"/>
      <c r="L1671" s="34">
        <f t="shared" si="203"/>
        <v>8.4348215541335384E-4</v>
      </c>
      <c r="M1671" s="35">
        <f t="shared" si="204"/>
        <v>-9.5035219359011531E-8</v>
      </c>
      <c r="N1671" s="44">
        <f t="shared" si="202"/>
        <v>-4.8863569606349402E-6</v>
      </c>
      <c r="O1671" s="45" t="e">
        <f t="shared" si="205"/>
        <v>#VALUE!</v>
      </c>
      <c r="P1671" s="52" t="str">
        <f t="shared" si="206"/>
        <v/>
      </c>
      <c r="Q1671" s="53" t="str">
        <f t="shared" si="207"/>
        <v/>
      </c>
      <c r="R1671" s="54" t="str">
        <f t="shared" si="208"/>
        <v/>
      </c>
      <c r="S1671" s="53" t="str">
        <f t="shared" si="209"/>
        <v/>
      </c>
    </row>
    <row r="1672" spans="10:19" x14ac:dyDescent="0.15">
      <c r="J1672" s="38">
        <v>1663</v>
      </c>
      <c r="K1672" s="40"/>
      <c r="L1672" s="34">
        <f t="shared" si="203"/>
        <v>8.4338706489783181E-4</v>
      </c>
      <c r="M1672" s="35">
        <f t="shared" si="204"/>
        <v>-9.5145781129209354E-8</v>
      </c>
      <c r="N1672" s="44">
        <f t="shared" si="202"/>
        <v>-4.8916640424673122E-6</v>
      </c>
      <c r="O1672" s="45" t="e">
        <f t="shared" si="205"/>
        <v>#VALUE!</v>
      </c>
      <c r="P1672" s="52" t="str">
        <f t="shared" si="206"/>
        <v/>
      </c>
      <c r="Q1672" s="53" t="str">
        <f t="shared" si="207"/>
        <v/>
      </c>
      <c r="R1672" s="54" t="str">
        <f t="shared" si="208"/>
        <v/>
      </c>
      <c r="S1672" s="53" t="str">
        <f t="shared" si="209"/>
        <v/>
      </c>
    </row>
    <row r="1673" spans="10:19" x14ac:dyDescent="0.15">
      <c r="J1673" s="38">
        <v>1664</v>
      </c>
      <c r="K1673" s="40"/>
      <c r="L1673" s="34">
        <f t="shared" si="203"/>
        <v>8.4329186391213955E-4</v>
      </c>
      <c r="M1673" s="35">
        <f t="shared" si="204"/>
        <v>-9.5256159766677364E-8</v>
      </c>
      <c r="N1673" s="44">
        <f t="shared" ref="N1673:N1736" si="210">(L1723-L1673)</f>
        <v>-4.8969624512754713E-6</v>
      </c>
      <c r="O1673" s="45" t="e">
        <f t="shared" si="205"/>
        <v>#VALUE!</v>
      </c>
      <c r="P1673" s="52" t="str">
        <f t="shared" si="206"/>
        <v/>
      </c>
      <c r="Q1673" s="53" t="str">
        <f t="shared" si="207"/>
        <v/>
      </c>
      <c r="R1673" s="54" t="str">
        <f t="shared" si="208"/>
        <v/>
      </c>
      <c r="S1673" s="53" t="str">
        <f t="shared" si="209"/>
        <v/>
      </c>
    </row>
    <row r="1674" spans="10:19" x14ac:dyDescent="0.15">
      <c r="J1674" s="38">
        <v>1665</v>
      </c>
      <c r="K1674" s="40"/>
      <c r="L1674" s="34">
        <f t="shared" ref="L1674:L1737" si="211">$F$39*((1-$F$40*J1674)/(1+$F$41*J1674))*(J1674-$F$42)</f>
        <v>8.431965526392081E-4</v>
      </c>
      <c r="M1674" s="35">
        <f t="shared" ref="M1674:M1737" si="212">$F$39*((1-2*$F$40*J1674-$F$40*$F$41*(J1674^2)+($F$41+$F$40)*$F$42)/(1+$F$41*J1674)^2)</f>
        <v>-9.5366355675643268E-8</v>
      </c>
      <c r="N1674" s="44">
        <f t="shared" si="210"/>
        <v>-4.9022522059492552E-6</v>
      </c>
      <c r="O1674" s="45" t="e">
        <f t="shared" ref="O1674:O1737" si="213">IF(N1674&lt;=$B$49,1+O1673,0)</f>
        <v>#VALUE!</v>
      </c>
      <c r="P1674" s="52" t="str">
        <f t="shared" ref="P1674:P1737" si="214">IF(J1674&lt;=$F$42,J1674,"")</f>
        <v/>
      </c>
      <c r="Q1674" s="53" t="str">
        <f t="shared" ref="Q1674:Q1737" si="215">IF(J1674&lt;=$F$42,L1674,"")</f>
        <v/>
      </c>
      <c r="R1674" s="54" t="str">
        <f t="shared" ref="R1674:R1737" si="216">IF(AND(J1674&gt;=$F$42,J1674&lt;=200),J1674,"")</f>
        <v/>
      </c>
      <c r="S1674" s="53" t="str">
        <f t="shared" ref="S1674:S1737" si="217">IF(AND(J1674&gt;=$F$42,J1674&lt;=200),L1674,"")</f>
        <v/>
      </c>
    </row>
    <row r="1675" spans="10:19" x14ac:dyDescent="0.15">
      <c r="J1675" s="38">
        <v>1666</v>
      </c>
      <c r="K1675" s="40"/>
      <c r="L1675" s="34">
        <f t="shared" si="211"/>
        <v>8.4310113126156354E-4</v>
      </c>
      <c r="M1675" s="35">
        <f t="shared" si="212"/>
        <v>-9.5476369259219891E-8</v>
      </c>
      <c r="N1675" s="44">
        <f t="shared" si="210"/>
        <v>-4.9075333253253755E-6</v>
      </c>
      <c r="O1675" s="45" t="e">
        <f t="shared" si="213"/>
        <v>#VALUE!</v>
      </c>
      <c r="P1675" s="52" t="str">
        <f t="shared" si="214"/>
        <v/>
      </c>
      <c r="Q1675" s="53" t="str">
        <f t="shared" si="215"/>
        <v/>
      </c>
      <c r="R1675" s="54" t="str">
        <f t="shared" si="216"/>
        <v/>
      </c>
      <c r="S1675" s="53" t="str">
        <f t="shared" si="217"/>
        <v/>
      </c>
    </row>
    <row r="1676" spans="10:19" x14ac:dyDescent="0.15">
      <c r="J1676" s="38">
        <v>1667</v>
      </c>
      <c r="K1676" s="40"/>
      <c r="L1676" s="34">
        <f t="shared" si="211"/>
        <v>8.4300559996133059E-4</v>
      </c>
      <c r="M1676" s="35">
        <f t="shared" si="212"/>
        <v>-9.5586200919409164E-8</v>
      </c>
      <c r="N1676" s="44">
        <f t="shared" si="210"/>
        <v>-4.9128058281914296E-6</v>
      </c>
      <c r="O1676" s="45" t="e">
        <f t="shared" si="213"/>
        <v>#VALUE!</v>
      </c>
      <c r="P1676" s="52" t="str">
        <f t="shared" si="214"/>
        <v/>
      </c>
      <c r="Q1676" s="53" t="str">
        <f t="shared" si="215"/>
        <v/>
      </c>
      <c r="R1676" s="54" t="str">
        <f t="shared" si="216"/>
        <v/>
      </c>
      <c r="S1676" s="53" t="str">
        <f t="shared" si="217"/>
        <v/>
      </c>
    </row>
    <row r="1677" spans="10:19" x14ac:dyDescent="0.15">
      <c r="J1677" s="38">
        <v>1668</v>
      </c>
      <c r="K1677" s="40"/>
      <c r="L1677" s="34">
        <f t="shared" si="211"/>
        <v>8.4290995892023215E-4</v>
      </c>
      <c r="M1677" s="35">
        <f t="shared" si="212"/>
        <v>-9.5695851057105625E-8</v>
      </c>
      <c r="N1677" s="44">
        <f t="shared" si="210"/>
        <v>-4.9180697332827563E-6</v>
      </c>
      <c r="O1677" s="45" t="e">
        <f t="shared" si="213"/>
        <v>#VALUE!</v>
      </c>
      <c r="P1677" s="52" t="str">
        <f t="shared" si="214"/>
        <v/>
      </c>
      <c r="Q1677" s="53" t="str">
        <f t="shared" si="215"/>
        <v/>
      </c>
      <c r="R1677" s="54" t="str">
        <f t="shared" si="216"/>
        <v/>
      </c>
      <c r="S1677" s="53" t="str">
        <f t="shared" si="217"/>
        <v/>
      </c>
    </row>
    <row r="1678" spans="10:19" x14ac:dyDescent="0.15">
      <c r="J1678" s="38">
        <v>1669</v>
      </c>
      <c r="K1678" s="40"/>
      <c r="L1678" s="34">
        <f t="shared" si="211"/>
        <v>8.4281420831959074E-4</v>
      </c>
      <c r="M1678" s="35">
        <f t="shared" si="212"/>
        <v>-9.5805320072100159E-8</v>
      </c>
      <c r="N1678" s="44">
        <f t="shared" si="210"/>
        <v>-4.9233250592838453E-6</v>
      </c>
      <c r="O1678" s="45" t="e">
        <f t="shared" si="213"/>
        <v>#VALUE!</v>
      </c>
      <c r="P1678" s="52" t="str">
        <f t="shared" si="214"/>
        <v/>
      </c>
      <c r="Q1678" s="53" t="str">
        <f t="shared" si="215"/>
        <v/>
      </c>
      <c r="R1678" s="54" t="str">
        <f t="shared" si="216"/>
        <v/>
      </c>
      <c r="S1678" s="53" t="str">
        <f t="shared" si="217"/>
        <v/>
      </c>
    </row>
    <row r="1679" spans="10:19" x14ac:dyDescent="0.15">
      <c r="J1679" s="38">
        <v>1670</v>
      </c>
      <c r="K1679" s="40"/>
      <c r="L1679" s="34">
        <f t="shared" si="211"/>
        <v>8.4271834834032946E-4</v>
      </c>
      <c r="M1679" s="35">
        <f t="shared" si="212"/>
        <v>-9.5914608363083574E-8</v>
      </c>
      <c r="N1679" s="44">
        <f t="shared" si="210"/>
        <v>-4.9285718248286625E-6</v>
      </c>
      <c r="O1679" s="45" t="e">
        <f t="shared" si="213"/>
        <v>#VALUE!</v>
      </c>
      <c r="P1679" s="52" t="str">
        <f t="shared" si="214"/>
        <v/>
      </c>
      <c r="Q1679" s="53" t="str">
        <f t="shared" si="215"/>
        <v/>
      </c>
      <c r="R1679" s="54" t="str">
        <f t="shared" si="216"/>
        <v/>
      </c>
      <c r="S1679" s="53" t="str">
        <f t="shared" si="217"/>
        <v/>
      </c>
    </row>
    <row r="1680" spans="10:19" x14ac:dyDescent="0.15">
      <c r="J1680" s="38">
        <v>1671</v>
      </c>
      <c r="K1680" s="40"/>
      <c r="L1680" s="34">
        <f t="shared" si="211"/>
        <v>8.4262237916297327E-4</v>
      </c>
      <c r="M1680" s="35">
        <f t="shared" si="212"/>
        <v>-9.6023716327650385E-8</v>
      </c>
      <c r="N1680" s="44">
        <f t="shared" si="210"/>
        <v>-4.9338100485001079E-6</v>
      </c>
      <c r="O1680" s="45" t="e">
        <f t="shared" si="213"/>
        <v>#VALUE!</v>
      </c>
      <c r="P1680" s="52" t="str">
        <f t="shared" si="214"/>
        <v/>
      </c>
      <c r="Q1680" s="53" t="str">
        <f t="shared" si="215"/>
        <v/>
      </c>
      <c r="R1680" s="54" t="str">
        <f t="shared" si="216"/>
        <v/>
      </c>
      <c r="S1680" s="53" t="str">
        <f t="shared" si="217"/>
        <v/>
      </c>
    </row>
    <row r="1681" spans="10:19" x14ac:dyDescent="0.15">
      <c r="J1681" s="38">
        <v>1672</v>
      </c>
      <c r="K1681" s="40"/>
      <c r="L1681" s="34">
        <f t="shared" si="211"/>
        <v>8.4252630096765067E-4</v>
      </c>
      <c r="M1681" s="35">
        <f t="shared" si="212"/>
        <v>-9.6132644362302127E-8</v>
      </c>
      <c r="N1681" s="44">
        <f t="shared" si="210"/>
        <v>-4.939039748831967E-6</v>
      </c>
      <c r="O1681" s="45" t="e">
        <f t="shared" si="213"/>
        <v>#VALUE!</v>
      </c>
      <c r="P1681" s="52" t="str">
        <f t="shared" si="214"/>
        <v/>
      </c>
      <c r="Q1681" s="53" t="str">
        <f t="shared" si="215"/>
        <v/>
      </c>
      <c r="R1681" s="54" t="str">
        <f t="shared" si="216"/>
        <v/>
      </c>
      <c r="S1681" s="53" t="str">
        <f t="shared" si="217"/>
        <v/>
      </c>
    </row>
    <row r="1682" spans="10:19" x14ac:dyDescent="0.15">
      <c r="J1682" s="38">
        <v>1673</v>
      </c>
      <c r="K1682" s="40"/>
      <c r="L1682" s="34">
        <f t="shared" si="211"/>
        <v>8.4243011393409352E-4</v>
      </c>
      <c r="M1682" s="35">
        <f t="shared" si="212"/>
        <v>-9.6241392862451422E-8</v>
      </c>
      <c r="N1682" s="44">
        <f t="shared" si="210"/>
        <v>-4.9442609443063092E-6</v>
      </c>
      <c r="O1682" s="45" t="e">
        <f t="shared" si="213"/>
        <v>#VALUE!</v>
      </c>
      <c r="P1682" s="52" t="str">
        <f t="shared" si="214"/>
        <v/>
      </c>
      <c r="Q1682" s="53" t="str">
        <f t="shared" si="215"/>
        <v/>
      </c>
      <c r="R1682" s="54" t="str">
        <f t="shared" si="216"/>
        <v/>
      </c>
      <c r="S1682" s="53" t="str">
        <f t="shared" si="217"/>
        <v/>
      </c>
    </row>
    <row r="1683" spans="10:19" x14ac:dyDescent="0.15">
      <c r="J1683" s="38">
        <v>1674</v>
      </c>
      <c r="K1683" s="40"/>
      <c r="L1683" s="34">
        <f t="shared" si="211"/>
        <v>8.4233381824163917E-4</v>
      </c>
      <c r="M1683" s="35">
        <f t="shared" si="212"/>
        <v>-9.6349962222424983E-8</v>
      </c>
      <c r="N1683" s="44">
        <f t="shared" si="210"/>
        <v>-4.9494736533559807E-6</v>
      </c>
      <c r="O1683" s="45" t="e">
        <f t="shared" si="213"/>
        <v>#VALUE!</v>
      </c>
      <c r="P1683" s="52" t="str">
        <f t="shared" si="214"/>
        <v/>
      </c>
      <c r="Q1683" s="53" t="str">
        <f t="shared" si="215"/>
        <v/>
      </c>
      <c r="R1683" s="54" t="str">
        <f t="shared" si="216"/>
        <v/>
      </c>
      <c r="S1683" s="53" t="str">
        <f t="shared" si="217"/>
        <v/>
      </c>
    </row>
    <row r="1684" spans="10:19" x14ac:dyDescent="0.15">
      <c r="J1684" s="38">
        <v>1675</v>
      </c>
      <c r="K1684" s="40"/>
      <c r="L1684" s="34">
        <f t="shared" si="211"/>
        <v>8.4223741406923096E-4</v>
      </c>
      <c r="M1684" s="35">
        <f t="shared" si="212"/>
        <v>-9.645835283546774E-8</v>
      </c>
      <c r="N1684" s="44">
        <f t="shared" si="210"/>
        <v>-4.9546778943638462E-6</v>
      </c>
      <c r="O1684" s="45" t="e">
        <f t="shared" si="213"/>
        <v>#VALUE!</v>
      </c>
      <c r="P1684" s="52" t="str">
        <f t="shared" si="214"/>
        <v/>
      </c>
      <c r="Q1684" s="53" t="str">
        <f t="shared" si="215"/>
        <v/>
      </c>
      <c r="R1684" s="54" t="str">
        <f t="shared" si="216"/>
        <v/>
      </c>
      <c r="S1684" s="53" t="str">
        <f t="shared" si="217"/>
        <v/>
      </c>
    </row>
    <row r="1685" spans="10:19" x14ac:dyDescent="0.15">
      <c r="J1685" s="38">
        <v>1676</v>
      </c>
      <c r="K1685" s="40"/>
      <c r="L1685" s="34">
        <f t="shared" si="211"/>
        <v>8.4214090159541975E-4</v>
      </c>
      <c r="M1685" s="35">
        <f t="shared" si="212"/>
        <v>-9.656656509374605E-8</v>
      </c>
      <c r="N1685" s="44">
        <f t="shared" si="210"/>
        <v>-4.9598736856623551E-6</v>
      </c>
      <c r="O1685" s="45" t="e">
        <f t="shared" si="213"/>
        <v>#VALUE!</v>
      </c>
      <c r="P1685" s="52" t="str">
        <f t="shared" si="214"/>
        <v/>
      </c>
      <c r="Q1685" s="53" t="str">
        <f t="shared" si="215"/>
        <v/>
      </c>
      <c r="R1685" s="54" t="str">
        <f t="shared" si="216"/>
        <v/>
      </c>
      <c r="S1685" s="53" t="str">
        <f t="shared" si="217"/>
        <v/>
      </c>
    </row>
    <row r="1686" spans="10:19" x14ac:dyDescent="0.15">
      <c r="J1686" s="38">
        <v>1677</v>
      </c>
      <c r="K1686" s="40"/>
      <c r="L1686" s="34">
        <f t="shared" si="211"/>
        <v>8.4204428099836468E-4</v>
      </c>
      <c r="M1686" s="35">
        <f t="shared" si="212"/>
        <v>-9.6674599388351357E-8</v>
      </c>
      <c r="N1686" s="44">
        <f t="shared" si="210"/>
        <v>-4.9650610455354927E-6</v>
      </c>
      <c r="O1686" s="45" t="e">
        <f t="shared" si="213"/>
        <v>#VALUE!</v>
      </c>
      <c r="P1686" s="52" t="str">
        <f t="shared" si="214"/>
        <v/>
      </c>
      <c r="Q1686" s="53" t="str">
        <f t="shared" si="215"/>
        <v/>
      </c>
      <c r="R1686" s="54" t="str">
        <f t="shared" si="216"/>
        <v/>
      </c>
      <c r="S1686" s="53" t="str">
        <f t="shared" si="217"/>
        <v/>
      </c>
    </row>
    <row r="1687" spans="10:19" x14ac:dyDescent="0.15">
      <c r="J1687" s="38">
        <v>1678</v>
      </c>
      <c r="K1687" s="40"/>
      <c r="L1687" s="34">
        <f t="shared" si="211"/>
        <v>8.4194755245583423E-4</v>
      </c>
      <c r="M1687" s="35">
        <f t="shared" si="212"/>
        <v>-9.6782456109303831E-8</v>
      </c>
      <c r="N1687" s="44">
        <f t="shared" si="210"/>
        <v>-4.9702399922167207E-6</v>
      </c>
      <c r="O1687" s="45" t="e">
        <f t="shared" si="213"/>
        <v>#VALUE!</v>
      </c>
      <c r="P1687" s="52" t="str">
        <f t="shared" si="214"/>
        <v/>
      </c>
      <c r="Q1687" s="53" t="str">
        <f t="shared" si="215"/>
        <v/>
      </c>
      <c r="R1687" s="54" t="str">
        <f t="shared" si="216"/>
        <v/>
      </c>
      <c r="S1687" s="53" t="str">
        <f t="shared" si="217"/>
        <v/>
      </c>
    </row>
    <row r="1688" spans="10:19" x14ac:dyDescent="0.15">
      <c r="J1688" s="38">
        <v>1679</v>
      </c>
      <c r="K1688" s="40"/>
      <c r="L1688" s="34">
        <f t="shared" si="211"/>
        <v>8.418507161452077E-4</v>
      </c>
      <c r="M1688" s="35">
        <f t="shared" si="212"/>
        <v>-9.6890135645555589E-8</v>
      </c>
      <c r="N1688" s="44">
        <f t="shared" si="210"/>
        <v>-4.9754105438911452E-6</v>
      </c>
      <c r="O1688" s="45" t="e">
        <f t="shared" si="213"/>
        <v>#VALUE!</v>
      </c>
      <c r="P1688" s="52" t="str">
        <f t="shared" si="214"/>
        <v/>
      </c>
      <c r="Q1688" s="53" t="str">
        <f t="shared" si="215"/>
        <v/>
      </c>
      <c r="R1688" s="54" t="str">
        <f t="shared" si="216"/>
        <v/>
      </c>
      <c r="S1688" s="53" t="str">
        <f t="shared" si="217"/>
        <v/>
      </c>
    </row>
    <row r="1689" spans="10:19" x14ac:dyDescent="0.15">
      <c r="J1689" s="38">
        <v>1680</v>
      </c>
      <c r="K1689" s="40"/>
      <c r="L1689" s="34">
        <f t="shared" si="211"/>
        <v>8.4175377224347554E-4</v>
      </c>
      <c r="M1689" s="35">
        <f t="shared" si="212"/>
        <v>-9.6997638384994596E-8</v>
      </c>
      <c r="N1689" s="44">
        <f t="shared" si="210"/>
        <v>-4.9805727186938908E-6</v>
      </c>
      <c r="O1689" s="45" t="e">
        <f t="shared" si="213"/>
        <v>#VALUE!</v>
      </c>
      <c r="P1689" s="52" t="str">
        <f t="shared" si="214"/>
        <v/>
      </c>
      <c r="Q1689" s="53" t="str">
        <f t="shared" si="215"/>
        <v/>
      </c>
      <c r="R1689" s="54" t="str">
        <f t="shared" si="216"/>
        <v/>
      </c>
      <c r="S1689" s="53" t="str">
        <f t="shared" si="217"/>
        <v/>
      </c>
    </row>
    <row r="1690" spans="10:19" x14ac:dyDescent="0.15">
      <c r="J1690" s="38">
        <v>1681</v>
      </c>
      <c r="K1690" s="40"/>
      <c r="L1690" s="34">
        <f t="shared" si="211"/>
        <v>8.4165672092724095E-4</v>
      </c>
      <c r="M1690" s="35">
        <f t="shared" si="212"/>
        <v>-9.7104964714447803E-8</v>
      </c>
      <c r="N1690" s="44">
        <f t="shared" si="210"/>
        <v>-4.9857265347118349E-6</v>
      </c>
      <c r="O1690" s="45" t="e">
        <f t="shared" si="213"/>
        <v>#VALUE!</v>
      </c>
      <c r="P1690" s="52" t="str">
        <f t="shared" si="214"/>
        <v/>
      </c>
      <c r="Q1690" s="53" t="str">
        <f t="shared" si="215"/>
        <v/>
      </c>
      <c r="R1690" s="54" t="str">
        <f t="shared" si="216"/>
        <v/>
      </c>
      <c r="S1690" s="53" t="str">
        <f t="shared" si="217"/>
        <v/>
      </c>
    </row>
    <row r="1691" spans="10:19" x14ac:dyDescent="0.15">
      <c r="J1691" s="38">
        <v>1682</v>
      </c>
      <c r="K1691" s="40"/>
      <c r="L1691" s="34">
        <f t="shared" si="211"/>
        <v>8.4155956237272128E-4</v>
      </c>
      <c r="M1691" s="35">
        <f t="shared" si="212"/>
        <v>-9.7212115019684838E-8</v>
      </c>
      <c r="N1691" s="44">
        <f t="shared" si="210"/>
        <v>-4.9908720099828491E-6</v>
      </c>
      <c r="O1691" s="45" t="e">
        <f t="shared" si="213"/>
        <v>#VALUE!</v>
      </c>
      <c r="P1691" s="52" t="str">
        <f t="shared" si="214"/>
        <v/>
      </c>
      <c r="Q1691" s="53" t="str">
        <f t="shared" si="215"/>
        <v/>
      </c>
      <c r="R1691" s="54" t="str">
        <f t="shared" si="216"/>
        <v/>
      </c>
      <c r="S1691" s="53" t="str">
        <f t="shared" si="217"/>
        <v/>
      </c>
    </row>
    <row r="1692" spans="10:19" x14ac:dyDescent="0.15">
      <c r="J1692" s="38">
        <v>1683</v>
      </c>
      <c r="K1692" s="40"/>
      <c r="L1692" s="34">
        <f t="shared" si="211"/>
        <v>8.4146229675574819E-4</v>
      </c>
      <c r="M1692" s="35">
        <f t="shared" si="212"/>
        <v>-9.7319089685421501E-8</v>
      </c>
      <c r="N1692" s="44">
        <f t="shared" si="210"/>
        <v>-4.9960091624960158E-6</v>
      </c>
      <c r="O1692" s="45" t="e">
        <f t="shared" si="213"/>
        <v>#VALUE!</v>
      </c>
      <c r="P1692" s="52" t="str">
        <f t="shared" si="214"/>
        <v/>
      </c>
      <c r="Q1692" s="53" t="str">
        <f t="shared" si="215"/>
        <v/>
      </c>
      <c r="R1692" s="54" t="str">
        <f t="shared" si="216"/>
        <v/>
      </c>
      <c r="S1692" s="53" t="str">
        <f t="shared" si="217"/>
        <v/>
      </c>
    </row>
    <row r="1693" spans="10:19" x14ac:dyDescent="0.15">
      <c r="J1693" s="38">
        <v>1684</v>
      </c>
      <c r="K1693" s="40"/>
      <c r="L1693" s="34">
        <f t="shared" si="211"/>
        <v>8.4136492425176913E-4</v>
      </c>
      <c r="M1693" s="35">
        <f t="shared" si="212"/>
        <v>-9.7425889095322913E-8</v>
      </c>
      <c r="N1693" s="44">
        <f t="shared" si="210"/>
        <v>-5.0011380101919536E-6</v>
      </c>
      <c r="O1693" s="45" t="e">
        <f t="shared" si="213"/>
        <v>#VALUE!</v>
      </c>
      <c r="P1693" s="52" t="str">
        <f t="shared" si="214"/>
        <v/>
      </c>
      <c r="Q1693" s="53" t="str">
        <f t="shared" si="215"/>
        <v/>
      </c>
      <c r="R1693" s="54" t="str">
        <f t="shared" si="216"/>
        <v/>
      </c>
      <c r="S1693" s="53" t="str">
        <f t="shared" si="217"/>
        <v/>
      </c>
    </row>
    <row r="1694" spans="10:19" x14ac:dyDescent="0.15">
      <c r="J1694" s="38">
        <v>1685</v>
      </c>
      <c r="K1694" s="40"/>
      <c r="L1694" s="34">
        <f t="shared" si="211"/>
        <v>8.4126744503584838E-4</v>
      </c>
      <c r="M1694" s="35">
        <f t="shared" si="212"/>
        <v>-9.7532513632007371E-8</v>
      </c>
      <c r="N1694" s="44">
        <f t="shared" si="210"/>
        <v>-5.006258570963251E-6</v>
      </c>
      <c r="O1694" s="45" t="e">
        <f t="shared" si="213"/>
        <v>#VALUE!</v>
      </c>
      <c r="P1694" s="52" t="str">
        <f t="shared" si="214"/>
        <v/>
      </c>
      <c r="Q1694" s="53" t="str">
        <f t="shared" si="215"/>
        <v/>
      </c>
      <c r="R1694" s="54" t="str">
        <f t="shared" si="216"/>
        <v/>
      </c>
      <c r="S1694" s="53" t="str">
        <f t="shared" si="217"/>
        <v/>
      </c>
    </row>
    <row r="1695" spans="10:19" x14ac:dyDescent="0.15">
      <c r="J1695" s="38">
        <v>1686</v>
      </c>
      <c r="K1695" s="40"/>
      <c r="L1695" s="34">
        <f t="shared" si="211"/>
        <v>8.411698592826689E-4</v>
      </c>
      <c r="M1695" s="35">
        <f t="shared" si="212"/>
        <v>-9.7638963677049518E-8</v>
      </c>
      <c r="N1695" s="44">
        <f t="shared" si="210"/>
        <v>-5.0113708626541411E-6</v>
      </c>
      <c r="O1695" s="45" t="e">
        <f t="shared" si="213"/>
        <v>#VALUE!</v>
      </c>
      <c r="P1695" s="52" t="str">
        <f t="shared" si="214"/>
        <v/>
      </c>
      <c r="Q1695" s="53" t="str">
        <f t="shared" si="215"/>
        <v/>
      </c>
      <c r="R1695" s="54" t="str">
        <f t="shared" si="216"/>
        <v/>
      </c>
      <c r="S1695" s="53" t="str">
        <f t="shared" si="217"/>
        <v/>
      </c>
    </row>
    <row r="1696" spans="10:19" x14ac:dyDescent="0.15">
      <c r="J1696" s="38">
        <v>1687</v>
      </c>
      <c r="K1696" s="40"/>
      <c r="L1696" s="34">
        <f t="shared" si="211"/>
        <v>8.4107216716653127E-4</v>
      </c>
      <c r="M1696" s="35">
        <f t="shared" si="212"/>
        <v>-9.7745239610983804E-8</v>
      </c>
      <c r="N1696" s="44">
        <f t="shared" si="210"/>
        <v>-5.0164749030607182E-6</v>
      </c>
      <c r="O1696" s="45" t="e">
        <f t="shared" si="213"/>
        <v>#VALUE!</v>
      </c>
      <c r="P1696" s="52" t="str">
        <f t="shared" si="214"/>
        <v/>
      </c>
      <c r="Q1696" s="53" t="str">
        <f t="shared" si="215"/>
        <v/>
      </c>
      <c r="R1696" s="54" t="str">
        <f t="shared" si="216"/>
        <v/>
      </c>
      <c r="S1696" s="53" t="str">
        <f t="shared" si="217"/>
        <v/>
      </c>
    </row>
    <row r="1697" spans="10:19" x14ac:dyDescent="0.15">
      <c r="J1697" s="38">
        <v>1688</v>
      </c>
      <c r="K1697" s="40"/>
      <c r="L1697" s="34">
        <f t="shared" si="211"/>
        <v>8.4097436886135745E-4</v>
      </c>
      <c r="M1697" s="35">
        <f t="shared" si="212"/>
        <v>-9.7851341813307933E-8</v>
      </c>
      <c r="N1697" s="44">
        <f t="shared" si="210"/>
        <v>-5.0215707099315887E-6</v>
      </c>
      <c r="O1697" s="45" t="e">
        <f t="shared" si="213"/>
        <v>#VALUE!</v>
      </c>
      <c r="P1697" s="52" t="str">
        <f t="shared" si="214"/>
        <v/>
      </c>
      <c r="Q1697" s="53" t="str">
        <f t="shared" si="215"/>
        <v/>
      </c>
      <c r="R1697" s="54" t="str">
        <f t="shared" si="216"/>
        <v/>
      </c>
      <c r="S1697" s="53" t="str">
        <f t="shared" si="217"/>
        <v/>
      </c>
    </row>
    <row r="1698" spans="10:19" x14ac:dyDescent="0.15">
      <c r="J1698" s="38">
        <v>1689</v>
      </c>
      <c r="K1698" s="40"/>
      <c r="L1698" s="34">
        <f t="shared" si="211"/>
        <v>8.4087646454068929E-4</v>
      </c>
      <c r="M1698" s="35">
        <f t="shared" si="212"/>
        <v>-9.7957270662486102E-8</v>
      </c>
      <c r="N1698" s="44">
        <f t="shared" si="210"/>
        <v>-5.0266583009674374E-6</v>
      </c>
      <c r="O1698" s="45" t="e">
        <f t="shared" si="213"/>
        <v>#VALUE!</v>
      </c>
      <c r="P1698" s="52" t="str">
        <f t="shared" si="214"/>
        <v/>
      </c>
      <c r="Q1698" s="53" t="str">
        <f t="shared" si="215"/>
        <v/>
      </c>
      <c r="R1698" s="54" t="str">
        <f t="shared" si="216"/>
        <v/>
      </c>
      <c r="S1698" s="53" t="str">
        <f t="shared" si="217"/>
        <v/>
      </c>
    </row>
    <row r="1699" spans="10:19" x14ac:dyDescent="0.15">
      <c r="J1699" s="38">
        <v>1690</v>
      </c>
      <c r="K1699" s="40"/>
      <c r="L1699" s="34">
        <f t="shared" si="211"/>
        <v>8.4077845437769078E-4</v>
      </c>
      <c r="M1699" s="35">
        <f t="shared" si="212"/>
        <v>-9.8063026535952631E-8</v>
      </c>
      <c r="N1699" s="44">
        <f t="shared" si="210"/>
        <v>-5.0317376938205935E-6</v>
      </c>
      <c r="O1699" s="45" t="e">
        <f t="shared" si="213"/>
        <v>#VALUE!</v>
      </c>
      <c r="P1699" s="52" t="str">
        <f t="shared" si="214"/>
        <v/>
      </c>
      <c r="Q1699" s="53" t="str">
        <f t="shared" si="215"/>
        <v/>
      </c>
      <c r="R1699" s="54" t="str">
        <f t="shared" si="216"/>
        <v/>
      </c>
      <c r="S1699" s="53" t="str">
        <f t="shared" si="217"/>
        <v/>
      </c>
    </row>
    <row r="1700" spans="10:19" x14ac:dyDescent="0.15">
      <c r="J1700" s="38">
        <v>1691</v>
      </c>
      <c r="K1700" s="40"/>
      <c r="L1700" s="34">
        <f t="shared" si="211"/>
        <v>8.4068033854515047E-4</v>
      </c>
      <c r="M1700" s="35">
        <f t="shared" si="212"/>
        <v>-9.8168609810115157E-8</v>
      </c>
      <c r="N1700" s="44">
        <f t="shared" si="210"/>
        <v>-5.0368089060986087E-6</v>
      </c>
      <c r="O1700" s="45" t="e">
        <f t="shared" si="213"/>
        <v>#VALUE!</v>
      </c>
      <c r="P1700" s="52" t="str">
        <f t="shared" si="214"/>
        <v/>
      </c>
      <c r="Q1700" s="53" t="str">
        <f t="shared" si="215"/>
        <v/>
      </c>
      <c r="R1700" s="54" t="str">
        <f t="shared" si="216"/>
        <v/>
      </c>
      <c r="S1700" s="53" t="str">
        <f t="shared" si="217"/>
        <v/>
      </c>
    </row>
    <row r="1701" spans="10:19" x14ac:dyDescent="0.15">
      <c r="J1701" s="38">
        <v>1692</v>
      </c>
      <c r="K1701" s="40"/>
      <c r="L1701" s="34">
        <f t="shared" si="211"/>
        <v>8.4058211721547863E-4</v>
      </c>
      <c r="M1701" s="35">
        <f t="shared" si="212"/>
        <v>-9.8274020860357917E-8</v>
      </c>
      <c r="N1701" s="44">
        <f t="shared" si="210"/>
        <v>-5.0418719553578604E-6</v>
      </c>
      <c r="O1701" s="45" t="e">
        <f t="shared" si="213"/>
        <v>#VALUE!</v>
      </c>
      <c r="P1701" s="52" t="str">
        <f t="shared" si="214"/>
        <v/>
      </c>
      <c r="Q1701" s="53" t="str">
        <f t="shared" si="215"/>
        <v/>
      </c>
      <c r="R1701" s="54" t="str">
        <f t="shared" si="216"/>
        <v/>
      </c>
      <c r="S1701" s="53" t="str">
        <f t="shared" si="217"/>
        <v/>
      </c>
    </row>
    <row r="1702" spans="10:19" x14ac:dyDescent="0.15">
      <c r="J1702" s="38">
        <v>1693</v>
      </c>
      <c r="K1702" s="40"/>
      <c r="L1702" s="34">
        <f t="shared" si="211"/>
        <v>8.4048379056071297E-4</v>
      </c>
      <c r="M1702" s="35">
        <f t="shared" si="212"/>
        <v>-9.8379260061045334E-8</v>
      </c>
      <c r="N1702" s="44">
        <f t="shared" si="210"/>
        <v>-5.0469268591113578E-6</v>
      </c>
      <c r="O1702" s="45" t="e">
        <f t="shared" si="213"/>
        <v>#VALUE!</v>
      </c>
      <c r="P1702" s="52" t="str">
        <f t="shared" si="214"/>
        <v/>
      </c>
      <c r="Q1702" s="53" t="str">
        <f t="shared" si="215"/>
        <v/>
      </c>
      <c r="R1702" s="54" t="str">
        <f t="shared" si="216"/>
        <v/>
      </c>
      <c r="S1702" s="53" t="str">
        <f t="shared" si="217"/>
        <v/>
      </c>
    </row>
    <row r="1703" spans="10:19" x14ac:dyDescent="0.15">
      <c r="J1703" s="38">
        <v>1694</v>
      </c>
      <c r="K1703" s="40"/>
      <c r="L1703" s="34">
        <f t="shared" si="211"/>
        <v>8.4038535875251546E-4</v>
      </c>
      <c r="M1703" s="35">
        <f t="shared" si="212"/>
        <v>-9.8484327785525007E-8</v>
      </c>
      <c r="N1703" s="44">
        <f t="shared" si="210"/>
        <v>-5.0519736348228874E-6</v>
      </c>
      <c r="O1703" s="45" t="e">
        <f t="shared" si="213"/>
        <v>#VALUE!</v>
      </c>
      <c r="P1703" s="52" t="str">
        <f t="shared" si="214"/>
        <v/>
      </c>
      <c r="Q1703" s="53" t="str">
        <f t="shared" si="215"/>
        <v/>
      </c>
      <c r="R1703" s="54" t="str">
        <f t="shared" si="216"/>
        <v/>
      </c>
      <c r="S1703" s="53" t="str">
        <f t="shared" si="217"/>
        <v/>
      </c>
    </row>
    <row r="1704" spans="10:19" x14ac:dyDescent="0.15">
      <c r="J1704" s="38">
        <v>1695</v>
      </c>
      <c r="K1704" s="40"/>
      <c r="L1704" s="34">
        <f t="shared" si="211"/>
        <v>8.4028682196217648E-4</v>
      </c>
      <c r="M1704" s="35">
        <f t="shared" si="212"/>
        <v>-9.858922440613131E-8</v>
      </c>
      <c r="N1704" s="44">
        <f t="shared" si="210"/>
        <v>-5.0570122999100487E-6</v>
      </c>
      <c r="O1704" s="45" t="e">
        <f t="shared" si="213"/>
        <v>#VALUE!</v>
      </c>
      <c r="P1704" s="52" t="str">
        <f t="shared" si="214"/>
        <v/>
      </c>
      <c r="Q1704" s="53" t="str">
        <f t="shared" si="215"/>
        <v/>
      </c>
      <c r="R1704" s="54" t="str">
        <f t="shared" si="216"/>
        <v/>
      </c>
      <c r="S1704" s="53" t="str">
        <f t="shared" si="217"/>
        <v/>
      </c>
    </row>
    <row r="1705" spans="10:19" x14ac:dyDescent="0.15">
      <c r="J1705" s="38">
        <v>1696</v>
      </c>
      <c r="K1705" s="40"/>
      <c r="L1705" s="34">
        <f t="shared" si="211"/>
        <v>8.4018818036061388E-4</v>
      </c>
      <c r="M1705" s="35">
        <f t="shared" si="212"/>
        <v>-9.8693950294188652E-8</v>
      </c>
      <c r="N1705" s="44">
        <f t="shared" si="210"/>
        <v>-5.0620428717443626E-6</v>
      </c>
      <c r="O1705" s="45" t="e">
        <f t="shared" si="213"/>
        <v>#VALUE!</v>
      </c>
      <c r="P1705" s="52" t="str">
        <f t="shared" si="214"/>
        <v/>
      </c>
      <c r="Q1705" s="53" t="str">
        <f t="shared" si="215"/>
        <v/>
      </c>
      <c r="R1705" s="54" t="str">
        <f t="shared" si="216"/>
        <v/>
      </c>
      <c r="S1705" s="53" t="str">
        <f t="shared" si="217"/>
        <v/>
      </c>
    </row>
    <row r="1706" spans="10:19" x14ac:dyDescent="0.15">
      <c r="J1706" s="38">
        <v>1697</v>
      </c>
      <c r="K1706" s="40"/>
      <c r="L1706" s="34">
        <f t="shared" si="211"/>
        <v>8.4008943411837517E-4</v>
      </c>
      <c r="M1706" s="35">
        <f t="shared" si="212"/>
        <v>-9.8798505820014516E-8</v>
      </c>
      <c r="N1706" s="44">
        <f t="shared" si="210"/>
        <v>-5.067065367649645E-6</v>
      </c>
      <c r="O1706" s="45" t="e">
        <f t="shared" si="213"/>
        <v>#VALUE!</v>
      </c>
      <c r="P1706" s="52" t="str">
        <f t="shared" si="214"/>
        <v/>
      </c>
      <c r="Q1706" s="53" t="str">
        <f t="shared" si="215"/>
        <v/>
      </c>
      <c r="R1706" s="54" t="str">
        <f t="shared" si="216"/>
        <v/>
      </c>
      <c r="S1706" s="53" t="str">
        <f t="shared" si="217"/>
        <v/>
      </c>
    </row>
    <row r="1707" spans="10:19" x14ac:dyDescent="0.15">
      <c r="J1707" s="38">
        <v>1698</v>
      </c>
      <c r="K1707" s="40"/>
      <c r="L1707" s="34">
        <f t="shared" si="211"/>
        <v>8.3999058340563835E-4</v>
      </c>
      <c r="M1707" s="35">
        <f t="shared" si="212"/>
        <v>-9.8902891352922998E-8</v>
      </c>
      <c r="N1707" s="44">
        <f t="shared" si="210"/>
        <v>-5.0720798049056935E-6</v>
      </c>
      <c r="O1707" s="45" t="e">
        <f t="shared" si="213"/>
        <v>#VALUE!</v>
      </c>
      <c r="P1707" s="52" t="str">
        <f t="shared" si="214"/>
        <v/>
      </c>
      <c r="Q1707" s="53" t="str">
        <f t="shared" si="215"/>
        <v/>
      </c>
      <c r="R1707" s="54" t="str">
        <f t="shared" si="216"/>
        <v/>
      </c>
      <c r="S1707" s="53" t="str">
        <f t="shared" si="217"/>
        <v/>
      </c>
    </row>
    <row r="1708" spans="10:19" x14ac:dyDescent="0.15">
      <c r="J1708" s="38">
        <v>1699</v>
      </c>
      <c r="K1708" s="40"/>
      <c r="L1708" s="34">
        <f t="shared" si="211"/>
        <v>8.3989162839221104E-4</v>
      </c>
      <c r="M1708" s="35">
        <f t="shared" si="212"/>
        <v>-9.9007107261228004E-8</v>
      </c>
      <c r="N1708" s="44">
        <f t="shared" si="210"/>
        <v>-5.0770862007427572E-6</v>
      </c>
      <c r="O1708" s="45" t="e">
        <f t="shared" si="213"/>
        <v>#VALUE!</v>
      </c>
      <c r="P1708" s="52" t="str">
        <f t="shared" si="214"/>
        <v/>
      </c>
      <c r="Q1708" s="53" t="str">
        <f t="shared" si="215"/>
        <v/>
      </c>
      <c r="R1708" s="54" t="str">
        <f t="shared" si="216"/>
        <v/>
      </c>
      <c r="S1708" s="53" t="str">
        <f t="shared" si="217"/>
        <v/>
      </c>
    </row>
    <row r="1709" spans="10:19" x14ac:dyDescent="0.15">
      <c r="J1709" s="38">
        <v>1700</v>
      </c>
      <c r="K1709" s="40"/>
      <c r="L1709" s="34">
        <f t="shared" si="211"/>
        <v>8.3979256924753476E-4</v>
      </c>
      <c r="M1709" s="35">
        <f t="shared" si="212"/>
        <v>-9.911115391224643E-8</v>
      </c>
      <c r="N1709" s="44">
        <f t="shared" si="210"/>
        <v>-5.0820845723480428E-6</v>
      </c>
      <c r="O1709" s="45" t="e">
        <f t="shared" si="213"/>
        <v>#VALUE!</v>
      </c>
      <c r="P1709" s="52" t="str">
        <f t="shared" si="214"/>
        <v/>
      </c>
      <c r="Q1709" s="53" t="str">
        <f t="shared" si="215"/>
        <v/>
      </c>
      <c r="R1709" s="54" t="str">
        <f t="shared" si="216"/>
        <v/>
      </c>
      <c r="S1709" s="53" t="str">
        <f t="shared" si="217"/>
        <v/>
      </c>
    </row>
    <row r="1710" spans="10:19" x14ac:dyDescent="0.15">
      <c r="J1710" s="38">
        <v>1701</v>
      </c>
      <c r="K1710" s="40"/>
      <c r="L1710" s="34">
        <f t="shared" si="211"/>
        <v>8.3969340614068366E-4</v>
      </c>
      <c r="M1710" s="35">
        <f t="shared" si="212"/>
        <v>-9.921503167230151E-8</v>
      </c>
      <c r="N1710" s="44">
        <f t="shared" si="210"/>
        <v>-5.0870749368617024E-6</v>
      </c>
      <c r="O1710" s="45" t="e">
        <f t="shared" si="213"/>
        <v>#VALUE!</v>
      </c>
      <c r="P1710" s="52" t="str">
        <f t="shared" si="214"/>
        <v/>
      </c>
      <c r="Q1710" s="53" t="str">
        <f t="shared" si="215"/>
        <v/>
      </c>
      <c r="R1710" s="54" t="str">
        <f t="shared" si="216"/>
        <v/>
      </c>
      <c r="S1710" s="53" t="str">
        <f t="shared" si="217"/>
        <v/>
      </c>
    </row>
    <row r="1711" spans="10:19" x14ac:dyDescent="0.15">
      <c r="J1711" s="38">
        <v>1702</v>
      </c>
      <c r="K1711" s="40"/>
      <c r="L1711" s="34">
        <f t="shared" si="211"/>
        <v>8.3959413924036548E-4</v>
      </c>
      <c r="M1711" s="35">
        <f t="shared" si="212"/>
        <v>-9.9318740906725848E-8</v>
      </c>
      <c r="N1711" s="44">
        <f t="shared" si="210"/>
        <v>-5.0920573113769421E-6</v>
      </c>
      <c r="O1711" s="45" t="e">
        <f t="shared" si="213"/>
        <v>#VALUE!</v>
      </c>
      <c r="P1711" s="52" t="str">
        <f t="shared" si="214"/>
        <v/>
      </c>
      <c r="Q1711" s="53" t="str">
        <f t="shared" si="215"/>
        <v/>
      </c>
      <c r="R1711" s="54" t="str">
        <f t="shared" si="216"/>
        <v/>
      </c>
      <c r="S1711" s="53" t="str">
        <f t="shared" si="217"/>
        <v/>
      </c>
    </row>
    <row r="1712" spans="10:19" x14ac:dyDescent="0.15">
      <c r="J1712" s="38">
        <v>1703</v>
      </c>
      <c r="K1712" s="40"/>
      <c r="L1712" s="34">
        <f t="shared" si="211"/>
        <v>8.3949476871492405E-4</v>
      </c>
      <c r="M1712" s="35">
        <f t="shared" si="212"/>
        <v>-9.9422281979864908E-8</v>
      </c>
      <c r="N1712" s="44">
        <f t="shared" si="210"/>
        <v>-5.0970317129440338E-6</v>
      </c>
      <c r="O1712" s="45" t="e">
        <f t="shared" si="213"/>
        <v>#VALUE!</v>
      </c>
      <c r="P1712" s="52" t="str">
        <f t="shared" si="214"/>
        <v/>
      </c>
      <c r="Q1712" s="53" t="str">
        <f t="shared" si="215"/>
        <v/>
      </c>
      <c r="R1712" s="54" t="str">
        <f t="shared" si="216"/>
        <v/>
      </c>
      <c r="S1712" s="53" t="str">
        <f t="shared" si="217"/>
        <v/>
      </c>
    </row>
    <row r="1713" spans="10:19" x14ac:dyDescent="0.15">
      <c r="J1713" s="38">
        <v>1704</v>
      </c>
      <c r="K1713" s="40"/>
      <c r="L1713" s="34">
        <f t="shared" si="211"/>
        <v>8.393952947323383E-4</v>
      </c>
      <c r="M1713" s="35">
        <f t="shared" si="212"/>
        <v>-9.9525655255079915E-8</v>
      </c>
      <c r="N1713" s="44">
        <f t="shared" si="210"/>
        <v>-5.1019981585651106E-6</v>
      </c>
      <c r="O1713" s="45" t="e">
        <f t="shared" si="213"/>
        <v>#VALUE!</v>
      </c>
      <c r="P1713" s="52" t="str">
        <f t="shared" si="214"/>
        <v/>
      </c>
      <c r="Q1713" s="53" t="str">
        <f t="shared" si="215"/>
        <v/>
      </c>
      <c r="R1713" s="54" t="str">
        <f t="shared" si="216"/>
        <v/>
      </c>
      <c r="S1713" s="53" t="str">
        <f t="shared" si="217"/>
        <v/>
      </c>
    </row>
    <row r="1714" spans="10:19" x14ac:dyDescent="0.15">
      <c r="J1714" s="38">
        <v>1705</v>
      </c>
      <c r="K1714" s="40"/>
      <c r="L1714" s="34">
        <f t="shared" si="211"/>
        <v>8.3929571746022545E-4</v>
      </c>
      <c r="M1714" s="35">
        <f t="shared" si="212"/>
        <v>-9.9628861094751286E-8</v>
      </c>
      <c r="N1714" s="44">
        <f t="shared" si="210"/>
        <v>-5.1069566651990462E-6</v>
      </c>
      <c r="O1714" s="45" t="e">
        <f t="shared" si="213"/>
        <v>#VALUE!</v>
      </c>
      <c r="P1714" s="52" t="str">
        <f t="shared" si="214"/>
        <v/>
      </c>
      <c r="Q1714" s="53" t="str">
        <f t="shared" si="215"/>
        <v/>
      </c>
      <c r="R1714" s="54" t="str">
        <f t="shared" si="216"/>
        <v/>
      </c>
      <c r="S1714" s="53" t="str">
        <f t="shared" si="217"/>
        <v/>
      </c>
    </row>
    <row r="1715" spans="10:19" x14ac:dyDescent="0.15">
      <c r="J1715" s="38">
        <v>1706</v>
      </c>
      <c r="K1715" s="40"/>
      <c r="L1715" s="34">
        <f t="shared" si="211"/>
        <v>8.3919603706584015E-4</v>
      </c>
      <c r="M1715" s="35">
        <f t="shared" si="212"/>
        <v>-9.9731899860281747E-8</v>
      </c>
      <c r="N1715" s="44">
        <f t="shared" si="210"/>
        <v>-5.1119072497586354E-6</v>
      </c>
      <c r="O1715" s="45" t="e">
        <f t="shared" si="213"/>
        <v>#VALUE!</v>
      </c>
      <c r="P1715" s="52" t="str">
        <f t="shared" si="214"/>
        <v/>
      </c>
      <c r="Q1715" s="53" t="str">
        <f t="shared" si="215"/>
        <v/>
      </c>
      <c r="R1715" s="54" t="str">
        <f t="shared" si="216"/>
        <v/>
      </c>
      <c r="S1715" s="53" t="str">
        <f t="shared" si="217"/>
        <v/>
      </c>
    </row>
    <row r="1716" spans="10:19" x14ac:dyDescent="0.15">
      <c r="J1716" s="38">
        <v>1707</v>
      </c>
      <c r="K1716" s="40"/>
      <c r="L1716" s="34">
        <f t="shared" si="211"/>
        <v>8.3909625371607615E-4</v>
      </c>
      <c r="M1716" s="35">
        <f t="shared" si="212"/>
        <v>-9.9834771912099315E-8</v>
      </c>
      <c r="N1716" s="44">
        <f t="shared" si="210"/>
        <v>-5.1168499291111367E-6</v>
      </c>
      <c r="O1716" s="45" t="e">
        <f t="shared" si="213"/>
        <v>#VALUE!</v>
      </c>
      <c r="P1716" s="52" t="str">
        <f t="shared" si="214"/>
        <v/>
      </c>
      <c r="Q1716" s="53" t="str">
        <f t="shared" si="215"/>
        <v/>
      </c>
      <c r="R1716" s="54" t="str">
        <f t="shared" si="216"/>
        <v/>
      </c>
      <c r="S1716" s="53" t="str">
        <f t="shared" si="217"/>
        <v/>
      </c>
    </row>
    <row r="1717" spans="10:19" x14ac:dyDescent="0.15">
      <c r="J1717" s="38">
        <v>1708</v>
      </c>
      <c r="K1717" s="40"/>
      <c r="L1717" s="34">
        <f t="shared" si="211"/>
        <v>8.3899636757746754E-4</v>
      </c>
      <c r="M1717" s="35">
        <f t="shared" si="212"/>
        <v>-9.9937477609660699E-8</v>
      </c>
      <c r="N1717" s="44">
        <f t="shared" si="210"/>
        <v>-5.1217847200806573E-6</v>
      </c>
      <c r="O1717" s="45" t="e">
        <f t="shared" si="213"/>
        <v>#VALUE!</v>
      </c>
      <c r="P1717" s="52" t="str">
        <f t="shared" si="214"/>
        <v/>
      </c>
      <c r="Q1717" s="53" t="str">
        <f t="shared" si="215"/>
        <v/>
      </c>
      <c r="R1717" s="54" t="str">
        <f t="shared" si="216"/>
        <v/>
      </c>
      <c r="S1717" s="53" t="str">
        <f t="shared" si="217"/>
        <v/>
      </c>
    </row>
    <row r="1718" spans="10:19" x14ac:dyDescent="0.15">
      <c r="J1718" s="38">
        <v>1709</v>
      </c>
      <c r="K1718" s="40"/>
      <c r="L1718" s="34">
        <f t="shared" si="211"/>
        <v>8.3889637881618892E-4</v>
      </c>
      <c r="M1718" s="35">
        <f t="shared" si="212"/>
        <v>-1.0004001731145432E-7</v>
      </c>
      <c r="N1718" s="44">
        <f t="shared" si="210"/>
        <v>-5.1267116394440333E-6</v>
      </c>
      <c r="O1718" s="45" t="e">
        <f t="shared" si="213"/>
        <v>#VALUE!</v>
      </c>
      <c r="P1718" s="52" t="str">
        <f t="shared" si="214"/>
        <v/>
      </c>
      <c r="Q1718" s="53" t="str">
        <f t="shared" si="215"/>
        <v/>
      </c>
      <c r="R1718" s="54" t="str">
        <f t="shared" si="216"/>
        <v/>
      </c>
      <c r="S1718" s="53" t="str">
        <f t="shared" si="217"/>
        <v/>
      </c>
    </row>
    <row r="1719" spans="10:19" x14ac:dyDescent="0.15">
      <c r="J1719" s="38">
        <v>1710</v>
      </c>
      <c r="K1719" s="40"/>
      <c r="L1719" s="34">
        <f t="shared" si="211"/>
        <v>8.3879628759805718E-4</v>
      </c>
      <c r="M1719" s="35">
        <f t="shared" si="212"/>
        <v>-1.001423913750034E-7</v>
      </c>
      <c r="N1719" s="44">
        <f t="shared" si="210"/>
        <v>-5.1316307039360335E-6</v>
      </c>
      <c r="O1719" s="45" t="e">
        <f t="shared" si="213"/>
        <v>#VALUE!</v>
      </c>
      <c r="P1719" s="52" t="str">
        <f t="shared" si="214"/>
        <v/>
      </c>
      <c r="Q1719" s="53" t="str">
        <f t="shared" si="215"/>
        <v/>
      </c>
      <c r="R1719" s="54" t="str">
        <f t="shared" si="216"/>
        <v/>
      </c>
      <c r="S1719" s="53" t="str">
        <f t="shared" si="217"/>
        <v/>
      </c>
    </row>
    <row r="1720" spans="10:19" x14ac:dyDescent="0.15">
      <c r="J1720" s="38">
        <v>1711</v>
      </c>
      <c r="K1720" s="40"/>
      <c r="L1720" s="34">
        <f t="shared" si="211"/>
        <v>8.3869609408853264E-4</v>
      </c>
      <c r="M1720" s="35">
        <f t="shared" si="212"/>
        <v>-1.0024460015686928E-7</v>
      </c>
      <c r="N1720" s="44">
        <f t="shared" si="210"/>
        <v>-5.1365419302454567E-6</v>
      </c>
      <c r="O1720" s="45" t="e">
        <f t="shared" si="213"/>
        <v>#VALUE!</v>
      </c>
      <c r="P1720" s="52" t="str">
        <f t="shared" si="214"/>
        <v/>
      </c>
      <c r="Q1720" s="53" t="str">
        <f t="shared" si="215"/>
        <v/>
      </c>
      <c r="R1720" s="54" t="str">
        <f t="shared" si="216"/>
        <v/>
      </c>
      <c r="S1720" s="53" t="str">
        <f t="shared" si="217"/>
        <v/>
      </c>
    </row>
    <row r="1721" spans="10:19" x14ac:dyDescent="0.15">
      <c r="J1721" s="38">
        <v>1712</v>
      </c>
      <c r="K1721" s="40"/>
      <c r="L1721" s="34">
        <f t="shared" si="211"/>
        <v>8.385957984527189E-4</v>
      </c>
      <c r="M1721" s="35">
        <f t="shared" si="212"/>
        <v>-1.0034664401265418E-7</v>
      </c>
      <c r="N1721" s="44">
        <f t="shared" si="210"/>
        <v>-5.1414453350173001E-6</v>
      </c>
      <c r="O1721" s="45" t="e">
        <f t="shared" si="213"/>
        <v>#VALUE!</v>
      </c>
      <c r="P1721" s="52" t="str">
        <f t="shared" si="214"/>
        <v/>
      </c>
      <c r="Q1721" s="53" t="str">
        <f t="shared" si="215"/>
        <v/>
      </c>
      <c r="R1721" s="54" t="str">
        <f t="shared" si="216"/>
        <v/>
      </c>
      <c r="S1721" s="53" t="str">
        <f t="shared" si="217"/>
        <v/>
      </c>
    </row>
    <row r="1722" spans="10:19" x14ac:dyDescent="0.15">
      <c r="J1722" s="38">
        <v>1713</v>
      </c>
      <c r="K1722" s="40"/>
      <c r="L1722" s="34">
        <f t="shared" si="211"/>
        <v>8.384954008553645E-4</v>
      </c>
      <c r="M1722" s="35">
        <f t="shared" si="212"/>
        <v>-1.004485232970046E-7</v>
      </c>
      <c r="N1722" s="44">
        <f t="shared" si="210"/>
        <v>-5.1463409348521082E-6</v>
      </c>
      <c r="O1722" s="45" t="e">
        <f t="shared" si="213"/>
        <v>#VALUE!</v>
      </c>
      <c r="P1722" s="52" t="str">
        <f t="shared" si="214"/>
        <v/>
      </c>
      <c r="Q1722" s="53" t="str">
        <f t="shared" si="215"/>
        <v/>
      </c>
      <c r="R1722" s="54" t="str">
        <f t="shared" si="216"/>
        <v/>
      </c>
      <c r="S1722" s="53" t="str">
        <f t="shared" si="217"/>
        <v/>
      </c>
    </row>
    <row r="1723" spans="10:19" x14ac:dyDescent="0.15">
      <c r="J1723" s="38">
        <v>1714</v>
      </c>
      <c r="K1723" s="40"/>
      <c r="L1723" s="34">
        <f t="shared" si="211"/>
        <v>8.3839490146086408E-4</v>
      </c>
      <c r="M1723" s="35">
        <f t="shared" si="212"/>
        <v>-1.0055023836361436E-7</v>
      </c>
      <c r="N1723" s="44">
        <f t="shared" si="210"/>
        <v>-5.1512287463068409E-6</v>
      </c>
      <c r="O1723" s="45" t="e">
        <f t="shared" si="213"/>
        <v>#VALUE!</v>
      </c>
      <c r="P1723" s="52" t="str">
        <f t="shared" si="214"/>
        <v/>
      </c>
      <c r="Q1723" s="53" t="str">
        <f t="shared" si="215"/>
        <v/>
      </c>
      <c r="R1723" s="54" t="str">
        <f t="shared" si="216"/>
        <v/>
      </c>
      <c r="S1723" s="53" t="str">
        <f t="shared" si="217"/>
        <v/>
      </c>
    </row>
    <row r="1724" spans="10:19" x14ac:dyDescent="0.15">
      <c r="J1724" s="38">
        <v>1715</v>
      </c>
      <c r="K1724" s="40"/>
      <c r="L1724" s="34">
        <f t="shared" si="211"/>
        <v>8.3829430043325884E-4</v>
      </c>
      <c r="M1724" s="35">
        <f t="shared" si="212"/>
        <v>-1.0065178956522738E-7</v>
      </c>
      <c r="N1724" s="44">
        <f t="shared" si="210"/>
        <v>-5.1561087858946562E-6</v>
      </c>
      <c r="O1724" s="45" t="e">
        <f t="shared" si="213"/>
        <v>#VALUE!</v>
      </c>
      <c r="P1724" s="52" t="str">
        <f t="shared" si="214"/>
        <v/>
      </c>
      <c r="Q1724" s="53" t="str">
        <f t="shared" si="215"/>
        <v/>
      </c>
      <c r="R1724" s="54" t="str">
        <f t="shared" si="216"/>
        <v/>
      </c>
      <c r="S1724" s="53" t="str">
        <f t="shared" si="217"/>
        <v/>
      </c>
    </row>
    <row r="1725" spans="10:19" x14ac:dyDescent="0.15">
      <c r="J1725" s="38">
        <v>1716</v>
      </c>
      <c r="K1725" s="40"/>
      <c r="L1725" s="34">
        <f t="shared" si="211"/>
        <v>8.3819359793623816E-4</v>
      </c>
      <c r="M1725" s="35">
        <f t="shared" si="212"/>
        <v>-1.0075317725364121E-7</v>
      </c>
      <c r="N1725" s="44">
        <f t="shared" si="210"/>
        <v>-5.1609810700842598E-6</v>
      </c>
      <c r="O1725" s="45" t="e">
        <f t="shared" si="213"/>
        <v>#VALUE!</v>
      </c>
      <c r="P1725" s="52" t="str">
        <f t="shared" si="214"/>
        <v/>
      </c>
      <c r="Q1725" s="53" t="str">
        <f t="shared" si="215"/>
        <v/>
      </c>
      <c r="R1725" s="54" t="str">
        <f t="shared" si="216"/>
        <v/>
      </c>
      <c r="S1725" s="53" t="str">
        <f t="shared" si="217"/>
        <v/>
      </c>
    </row>
    <row r="1726" spans="10:19" x14ac:dyDescent="0.15">
      <c r="J1726" s="38">
        <v>1717</v>
      </c>
      <c r="K1726" s="40"/>
      <c r="L1726" s="34">
        <f t="shared" si="211"/>
        <v>8.3809279413313916E-4</v>
      </c>
      <c r="M1726" s="35">
        <f t="shared" si="212"/>
        <v>-1.0085440177970963E-7</v>
      </c>
      <c r="N1726" s="44">
        <f t="shared" si="210"/>
        <v>-5.1658456153012063E-6</v>
      </c>
      <c r="O1726" s="45" t="e">
        <f t="shared" si="213"/>
        <v>#VALUE!</v>
      </c>
      <c r="P1726" s="52" t="str">
        <f t="shared" si="214"/>
        <v/>
      </c>
      <c r="Q1726" s="53" t="str">
        <f t="shared" si="215"/>
        <v/>
      </c>
      <c r="R1726" s="54" t="str">
        <f t="shared" si="216"/>
        <v/>
      </c>
      <c r="S1726" s="53" t="str">
        <f t="shared" si="217"/>
        <v/>
      </c>
    </row>
    <row r="1727" spans="10:19" x14ac:dyDescent="0.15">
      <c r="J1727" s="38">
        <v>1718</v>
      </c>
      <c r="K1727" s="40"/>
      <c r="L1727" s="34">
        <f t="shared" si="211"/>
        <v>8.3799188918694939E-4</v>
      </c>
      <c r="M1727" s="35">
        <f t="shared" si="212"/>
        <v>-1.0095546349334602E-7</v>
      </c>
      <c r="N1727" s="44">
        <f t="shared" si="210"/>
        <v>-5.1707024379273568E-6</v>
      </c>
      <c r="O1727" s="45" t="e">
        <f t="shared" si="213"/>
        <v>#VALUE!</v>
      </c>
      <c r="P1727" s="52" t="str">
        <f t="shared" si="214"/>
        <v/>
      </c>
      <c r="Q1727" s="53" t="str">
        <f t="shared" si="215"/>
        <v/>
      </c>
      <c r="R1727" s="54" t="str">
        <f t="shared" si="216"/>
        <v/>
      </c>
      <c r="S1727" s="53" t="str">
        <f t="shared" si="217"/>
        <v/>
      </c>
    </row>
    <row r="1728" spans="10:19" x14ac:dyDescent="0.15">
      <c r="J1728" s="38">
        <v>1719</v>
      </c>
      <c r="K1728" s="40"/>
      <c r="L1728" s="34">
        <f t="shared" si="211"/>
        <v>8.378908832603069E-4</v>
      </c>
      <c r="M1728" s="35">
        <f t="shared" si="212"/>
        <v>-1.0105636274352616E-7</v>
      </c>
      <c r="N1728" s="44">
        <f t="shared" si="210"/>
        <v>-5.1755515543020717E-6</v>
      </c>
      <c r="O1728" s="45" t="e">
        <f t="shared" si="213"/>
        <v>#VALUE!</v>
      </c>
      <c r="P1728" s="52" t="str">
        <f t="shared" si="214"/>
        <v/>
      </c>
      <c r="Q1728" s="53" t="str">
        <f t="shared" si="215"/>
        <v/>
      </c>
      <c r="R1728" s="54" t="str">
        <f t="shared" si="216"/>
        <v/>
      </c>
      <c r="S1728" s="53" t="str">
        <f t="shared" si="217"/>
        <v/>
      </c>
    </row>
    <row r="1729" spans="10:19" x14ac:dyDescent="0.15">
      <c r="J1729" s="38">
        <v>1720</v>
      </c>
      <c r="K1729" s="40"/>
      <c r="L1729" s="34">
        <f t="shared" si="211"/>
        <v>8.377897765155008E-4</v>
      </c>
      <c r="M1729" s="35">
        <f t="shared" si="212"/>
        <v>-1.0115709987829133E-7</v>
      </c>
      <c r="N1729" s="44">
        <f t="shared" si="210"/>
        <v>-5.1803929807200423E-6</v>
      </c>
      <c r="O1729" s="45" t="e">
        <f t="shared" si="213"/>
        <v>#VALUE!</v>
      </c>
      <c r="P1729" s="52" t="str">
        <f t="shared" si="214"/>
        <v/>
      </c>
      <c r="Q1729" s="53" t="str">
        <f t="shared" si="215"/>
        <v/>
      </c>
      <c r="R1729" s="54" t="str">
        <f t="shared" si="216"/>
        <v/>
      </c>
      <c r="S1729" s="53" t="str">
        <f t="shared" si="217"/>
        <v/>
      </c>
    </row>
    <row r="1730" spans="10:19" x14ac:dyDescent="0.15">
      <c r="J1730" s="38">
        <v>1721</v>
      </c>
      <c r="K1730" s="40"/>
      <c r="L1730" s="34">
        <f t="shared" si="211"/>
        <v>8.3768856911447317E-4</v>
      </c>
      <c r="M1730" s="35">
        <f t="shared" si="212"/>
        <v>-1.0125767524475141E-7</v>
      </c>
      <c r="N1730" s="44">
        <f t="shared" si="210"/>
        <v>-5.1852267334345434E-6</v>
      </c>
      <c r="O1730" s="45" t="e">
        <f t="shared" si="213"/>
        <v>#VALUE!</v>
      </c>
      <c r="P1730" s="52" t="str">
        <f t="shared" si="214"/>
        <v/>
      </c>
      <c r="Q1730" s="53" t="str">
        <f t="shared" si="215"/>
        <v/>
      </c>
      <c r="R1730" s="54" t="str">
        <f t="shared" si="216"/>
        <v/>
      </c>
      <c r="S1730" s="53" t="str">
        <f t="shared" si="217"/>
        <v/>
      </c>
    </row>
    <row r="1731" spans="10:19" x14ac:dyDescent="0.15">
      <c r="J1731" s="38">
        <v>1722</v>
      </c>
      <c r="K1731" s="40"/>
      <c r="L1731" s="34">
        <f t="shared" si="211"/>
        <v>8.375872612188187E-4</v>
      </c>
      <c r="M1731" s="35">
        <f t="shared" si="212"/>
        <v>-1.0135808918908763E-7</v>
      </c>
      <c r="N1731" s="44">
        <f t="shared" si="210"/>
        <v>-5.1900528286546142E-6</v>
      </c>
      <c r="O1731" s="45" t="e">
        <f t="shared" si="213"/>
        <v>#VALUE!</v>
      </c>
      <c r="P1731" s="52" t="str">
        <f t="shared" si="214"/>
        <v/>
      </c>
      <c r="Q1731" s="53" t="str">
        <f t="shared" si="215"/>
        <v/>
      </c>
      <c r="R1731" s="54" t="str">
        <f t="shared" si="216"/>
        <v/>
      </c>
      <c r="S1731" s="53" t="str">
        <f t="shared" si="217"/>
        <v/>
      </c>
    </row>
    <row r="1732" spans="10:19" x14ac:dyDescent="0.15">
      <c r="J1732" s="38">
        <v>1723</v>
      </c>
      <c r="K1732" s="40"/>
      <c r="L1732" s="34">
        <f t="shared" si="211"/>
        <v>8.3748585298978721E-4</v>
      </c>
      <c r="M1732" s="35">
        <f t="shared" si="212"/>
        <v>-1.0145834205655571E-7</v>
      </c>
      <c r="N1732" s="44">
        <f t="shared" si="210"/>
        <v>-5.1948712825471187E-6</v>
      </c>
      <c r="O1732" s="45" t="e">
        <f t="shared" si="213"/>
        <v>#VALUE!</v>
      </c>
      <c r="P1732" s="52" t="str">
        <f t="shared" si="214"/>
        <v/>
      </c>
      <c r="Q1732" s="53" t="str">
        <f t="shared" si="215"/>
        <v/>
      </c>
      <c r="R1732" s="54" t="str">
        <f t="shared" si="216"/>
        <v/>
      </c>
      <c r="S1732" s="53" t="str">
        <f t="shared" si="217"/>
        <v/>
      </c>
    </row>
    <row r="1733" spans="10:19" x14ac:dyDescent="0.15">
      <c r="J1733" s="38">
        <v>1724</v>
      </c>
      <c r="K1733" s="40"/>
      <c r="L1733" s="34">
        <f t="shared" si="211"/>
        <v>8.3738434458828319E-4</v>
      </c>
      <c r="M1733" s="35">
        <f t="shared" si="212"/>
        <v>-1.0155843419148899E-7</v>
      </c>
      <c r="N1733" s="44">
        <f t="shared" si="210"/>
        <v>-5.1996821112366368E-6</v>
      </c>
      <c r="O1733" s="45" t="e">
        <f t="shared" si="213"/>
        <v>#VALUE!</v>
      </c>
      <c r="P1733" s="52" t="str">
        <f t="shared" si="214"/>
        <v/>
      </c>
      <c r="Q1733" s="53" t="str">
        <f t="shared" si="215"/>
        <v/>
      </c>
      <c r="R1733" s="54" t="str">
        <f t="shared" si="216"/>
        <v/>
      </c>
      <c r="S1733" s="53" t="str">
        <f t="shared" si="217"/>
        <v/>
      </c>
    </row>
    <row r="1734" spans="10:19" x14ac:dyDescent="0.15">
      <c r="J1734" s="38">
        <v>1725</v>
      </c>
      <c r="K1734" s="40"/>
      <c r="L1734" s="34">
        <f t="shared" si="211"/>
        <v>8.3728273617486712E-4</v>
      </c>
      <c r="M1734" s="35">
        <f t="shared" si="212"/>
        <v>-1.0165836593730093E-7</v>
      </c>
      <c r="N1734" s="44">
        <f t="shared" si="210"/>
        <v>-5.2044853308037299E-6</v>
      </c>
      <c r="O1734" s="45" t="e">
        <f t="shared" si="213"/>
        <v>#VALUE!</v>
      </c>
      <c r="P1734" s="52" t="str">
        <f t="shared" si="214"/>
        <v/>
      </c>
      <c r="Q1734" s="53" t="str">
        <f t="shared" si="215"/>
        <v/>
      </c>
      <c r="R1734" s="54" t="str">
        <f t="shared" si="216"/>
        <v/>
      </c>
      <c r="S1734" s="53" t="str">
        <f t="shared" si="217"/>
        <v/>
      </c>
    </row>
    <row r="1735" spans="10:19" x14ac:dyDescent="0.15">
      <c r="J1735" s="38">
        <v>1726</v>
      </c>
      <c r="K1735" s="40"/>
      <c r="L1735" s="34">
        <f t="shared" si="211"/>
        <v>8.371810279097574E-4</v>
      </c>
      <c r="M1735" s="35">
        <f t="shared" si="212"/>
        <v>-1.0175813763648851E-7</v>
      </c>
      <c r="N1735" s="44">
        <f t="shared" si="210"/>
        <v>-5.2092809572889523E-6</v>
      </c>
      <c r="O1735" s="45" t="e">
        <f t="shared" si="213"/>
        <v>#VALUE!</v>
      </c>
      <c r="P1735" s="52" t="str">
        <f t="shared" si="214"/>
        <v/>
      </c>
      <c r="Q1735" s="53" t="str">
        <f t="shared" si="215"/>
        <v/>
      </c>
      <c r="R1735" s="54" t="str">
        <f t="shared" si="216"/>
        <v/>
      </c>
      <c r="S1735" s="53" t="str">
        <f t="shared" si="217"/>
        <v/>
      </c>
    </row>
    <row r="1736" spans="10:19" x14ac:dyDescent="0.15">
      <c r="J1736" s="38">
        <v>1727</v>
      </c>
      <c r="K1736" s="40"/>
      <c r="L1736" s="34">
        <f t="shared" si="211"/>
        <v>8.3707921995282918E-4</v>
      </c>
      <c r="M1736" s="35">
        <f t="shared" si="212"/>
        <v>-1.0185774963063488E-7</v>
      </c>
      <c r="N1736" s="44">
        <f t="shared" si="210"/>
        <v>-5.2140690066884059E-6</v>
      </c>
      <c r="O1736" s="45" t="e">
        <f t="shared" si="213"/>
        <v>#VALUE!</v>
      </c>
      <c r="P1736" s="52" t="str">
        <f t="shared" si="214"/>
        <v/>
      </c>
      <c r="Q1736" s="53" t="str">
        <f t="shared" si="215"/>
        <v/>
      </c>
      <c r="R1736" s="54" t="str">
        <f t="shared" si="216"/>
        <v/>
      </c>
      <c r="S1736" s="53" t="str">
        <f t="shared" si="217"/>
        <v/>
      </c>
    </row>
    <row r="1737" spans="10:19" x14ac:dyDescent="0.15">
      <c r="J1737" s="38">
        <v>1728</v>
      </c>
      <c r="K1737" s="40"/>
      <c r="L1737" s="34">
        <f t="shared" si="211"/>
        <v>8.3697731246361751E-4</v>
      </c>
      <c r="M1737" s="35">
        <f t="shared" si="212"/>
        <v>-1.0195720226041249E-7</v>
      </c>
      <c r="N1737" s="44">
        <f t="shared" ref="N1737:N1800" si="218">(L1787-L1737)</f>
        <v>-5.2188494949575353E-6</v>
      </c>
      <c r="O1737" s="45" t="e">
        <f t="shared" si="213"/>
        <v>#VALUE!</v>
      </c>
      <c r="P1737" s="52" t="str">
        <f t="shared" si="214"/>
        <v/>
      </c>
      <c r="Q1737" s="53" t="str">
        <f t="shared" si="215"/>
        <v/>
      </c>
      <c r="R1737" s="54" t="str">
        <f t="shared" si="216"/>
        <v/>
      </c>
      <c r="S1737" s="53" t="str">
        <f t="shared" si="217"/>
        <v/>
      </c>
    </row>
    <row r="1738" spans="10:19" x14ac:dyDescent="0.15">
      <c r="J1738" s="38">
        <v>1729</v>
      </c>
      <c r="K1738" s="40"/>
      <c r="L1738" s="34">
        <f t="shared" ref="L1738:L1801" si="219">$F$39*((1-$F$40*J1738)/(1+$F$41*J1738))*(J1738-$F$42)</f>
        <v>8.3687530560131655E-4</v>
      </c>
      <c r="M1738" s="35">
        <f t="shared" ref="M1738:M1801" si="220">$F$39*((1-2*$F$40*J1738-$F$40*$F$41*(J1738^2)+($F$41+$F$40)*$F$42)/(1+$F$41*J1738)^2)</f>
        <v>-1.0205649586558582E-7</v>
      </c>
      <c r="N1738" s="44">
        <f t="shared" si="218"/>
        <v>-5.2236224380089588E-6</v>
      </c>
      <c r="O1738" s="45" t="e">
        <f t="shared" ref="O1738:O1801" si="221">IF(N1738&lt;=$B$49,1+O1737,0)</f>
        <v>#VALUE!</v>
      </c>
      <c r="P1738" s="52" t="str">
        <f t="shared" ref="P1738:P1801" si="222">IF(J1738&lt;=$F$42,J1738,"")</f>
        <v/>
      </c>
      <c r="Q1738" s="53" t="str">
        <f t="shared" ref="Q1738:Q1801" si="223">IF(J1738&lt;=$F$42,L1738,"")</f>
        <v/>
      </c>
      <c r="R1738" s="54" t="str">
        <f t="shared" ref="R1738:R1801" si="224">IF(AND(J1738&gt;=$F$42,J1738&lt;=200),J1738,"")</f>
        <v/>
      </c>
      <c r="S1738" s="53" t="str">
        <f t="shared" ref="S1738:S1801" si="225">IF(AND(J1738&gt;=$F$42,J1738&lt;=200),L1738,"")</f>
        <v/>
      </c>
    </row>
    <row r="1739" spans="10:19" x14ac:dyDescent="0.15">
      <c r="J1739" s="38">
        <v>1730</v>
      </c>
      <c r="K1739" s="40"/>
      <c r="L1739" s="34">
        <f t="shared" si="219"/>
        <v>8.3677319952478164E-4</v>
      </c>
      <c r="M1739" s="35">
        <f t="shared" si="220"/>
        <v>-1.021556307850144E-7</v>
      </c>
      <c r="N1739" s="44">
        <f t="shared" si="218"/>
        <v>-5.2283878517136615E-6</v>
      </c>
      <c r="O1739" s="45" t="e">
        <f t="shared" si="221"/>
        <v>#VALUE!</v>
      </c>
      <c r="P1739" s="52" t="str">
        <f t="shared" si="222"/>
        <v/>
      </c>
      <c r="Q1739" s="53" t="str">
        <f t="shared" si="223"/>
        <v/>
      </c>
      <c r="R1739" s="54" t="str">
        <f t="shared" si="224"/>
        <v/>
      </c>
      <c r="S1739" s="53" t="str">
        <f t="shared" si="225"/>
        <v/>
      </c>
    </row>
    <row r="1740" spans="10:19" x14ac:dyDescent="0.15">
      <c r="J1740" s="38">
        <v>1731</v>
      </c>
      <c r="K1740" s="40"/>
      <c r="L1740" s="34">
        <f t="shared" si="219"/>
        <v>8.3667099439252912E-4</v>
      </c>
      <c r="M1740" s="35">
        <f t="shared" si="220"/>
        <v>-1.0225460735665563E-7</v>
      </c>
      <c r="N1740" s="44">
        <f t="shared" si="218"/>
        <v>-5.233145751901429E-6</v>
      </c>
      <c r="O1740" s="45" t="e">
        <f t="shared" si="221"/>
        <v>#VALUE!</v>
      </c>
      <c r="P1740" s="52" t="str">
        <f t="shared" si="222"/>
        <v/>
      </c>
      <c r="Q1740" s="53" t="str">
        <f t="shared" si="223"/>
        <v/>
      </c>
      <c r="R1740" s="54" t="str">
        <f t="shared" si="224"/>
        <v/>
      </c>
      <c r="S1740" s="53" t="str">
        <f t="shared" si="225"/>
        <v/>
      </c>
    </row>
    <row r="1741" spans="10:19" x14ac:dyDescent="0.15">
      <c r="J1741" s="38">
        <v>1732</v>
      </c>
      <c r="K1741" s="40"/>
      <c r="L1741" s="34">
        <f t="shared" si="219"/>
        <v>8.3656869036273843E-4</v>
      </c>
      <c r="M1741" s="35">
        <f t="shared" si="220"/>
        <v>-1.0235342591756769E-7</v>
      </c>
      <c r="N1741" s="44">
        <f t="shared" si="218"/>
        <v>-5.2378961543594373E-6</v>
      </c>
      <c r="O1741" s="45" t="e">
        <f t="shared" si="221"/>
        <v>#VALUE!</v>
      </c>
      <c r="P1741" s="52" t="str">
        <f t="shared" si="222"/>
        <v/>
      </c>
      <c r="Q1741" s="53" t="str">
        <f t="shared" si="223"/>
        <v/>
      </c>
      <c r="R1741" s="54" t="str">
        <f t="shared" si="224"/>
        <v/>
      </c>
      <c r="S1741" s="53" t="str">
        <f t="shared" si="225"/>
        <v/>
      </c>
    </row>
    <row r="1742" spans="10:19" x14ac:dyDescent="0.15">
      <c r="J1742" s="38">
        <v>1733</v>
      </c>
      <c r="K1742" s="40"/>
      <c r="L1742" s="34">
        <f t="shared" si="219"/>
        <v>8.3646628759325217E-4</v>
      </c>
      <c r="M1742" s="35">
        <f t="shared" si="220"/>
        <v>-1.0245208680391246E-7</v>
      </c>
      <c r="N1742" s="44">
        <f t="shared" si="218"/>
        <v>-5.2426390748348557E-6</v>
      </c>
      <c r="O1742" s="45" t="e">
        <f t="shared" si="221"/>
        <v>#VALUE!</v>
      </c>
      <c r="P1742" s="52" t="str">
        <f t="shared" si="222"/>
        <v/>
      </c>
      <c r="Q1742" s="53" t="str">
        <f t="shared" si="223"/>
        <v/>
      </c>
      <c r="R1742" s="54" t="str">
        <f t="shared" si="224"/>
        <v/>
      </c>
      <c r="S1742" s="53" t="str">
        <f t="shared" si="225"/>
        <v/>
      </c>
    </row>
    <row r="1743" spans="10:19" x14ac:dyDescent="0.15">
      <c r="J1743" s="38">
        <v>1734</v>
      </c>
      <c r="K1743" s="40"/>
      <c r="L1743" s="34">
        <f t="shared" si="219"/>
        <v>8.3636378624157718E-4</v>
      </c>
      <c r="M1743" s="35">
        <f t="shared" si="220"/>
        <v>-1.0255059035095835E-7</v>
      </c>
      <c r="N1743" s="44">
        <f t="shared" si="218"/>
        <v>-5.2473745290323526E-6</v>
      </c>
      <c r="O1743" s="45" t="e">
        <f t="shared" si="221"/>
        <v>#VALUE!</v>
      </c>
      <c r="P1743" s="52" t="str">
        <f t="shared" si="222"/>
        <v/>
      </c>
      <c r="Q1743" s="53" t="str">
        <f t="shared" si="223"/>
        <v/>
      </c>
      <c r="R1743" s="54" t="str">
        <f t="shared" si="224"/>
        <v/>
      </c>
      <c r="S1743" s="53" t="str">
        <f t="shared" si="225"/>
        <v/>
      </c>
    </row>
    <row r="1744" spans="10:19" x14ac:dyDescent="0.15">
      <c r="J1744" s="38">
        <v>1735</v>
      </c>
      <c r="K1744" s="40"/>
      <c r="L1744" s="34">
        <f t="shared" si="219"/>
        <v>8.3626118646488513E-4</v>
      </c>
      <c r="M1744" s="35">
        <f t="shared" si="220"/>
        <v>-1.0264893689308298E-7</v>
      </c>
      <c r="N1744" s="44">
        <f t="shared" si="218"/>
        <v>-5.2521025326150717E-6</v>
      </c>
      <c r="O1744" s="45" t="e">
        <f t="shared" si="221"/>
        <v>#VALUE!</v>
      </c>
      <c r="P1744" s="52" t="str">
        <f t="shared" si="222"/>
        <v/>
      </c>
      <c r="Q1744" s="53" t="str">
        <f t="shared" si="223"/>
        <v/>
      </c>
      <c r="R1744" s="54" t="str">
        <f t="shared" si="224"/>
        <v/>
      </c>
      <c r="S1744" s="53" t="str">
        <f t="shared" si="225"/>
        <v/>
      </c>
    </row>
    <row r="1745" spans="10:19" x14ac:dyDescent="0.15">
      <c r="J1745" s="38">
        <v>1736</v>
      </c>
      <c r="K1745" s="40"/>
      <c r="L1745" s="34">
        <f t="shared" si="219"/>
        <v>8.3615848842001476E-4</v>
      </c>
      <c r="M1745" s="35">
        <f t="shared" si="220"/>
        <v>-1.0274712676377635E-7</v>
      </c>
      <c r="N1745" s="44">
        <f t="shared" si="218"/>
        <v>-5.2568231012069082E-6</v>
      </c>
      <c r="O1745" s="45" t="e">
        <f t="shared" si="221"/>
        <v>#VALUE!</v>
      </c>
      <c r="P1745" s="52" t="str">
        <f t="shared" si="222"/>
        <v/>
      </c>
      <c r="Q1745" s="53" t="str">
        <f t="shared" si="223"/>
        <v/>
      </c>
      <c r="R1745" s="54" t="str">
        <f t="shared" si="224"/>
        <v/>
      </c>
      <c r="S1745" s="53" t="str">
        <f t="shared" si="225"/>
        <v/>
      </c>
    </row>
    <row r="1746" spans="10:19" x14ac:dyDescent="0.15">
      <c r="J1746" s="38">
        <v>1737</v>
      </c>
      <c r="K1746" s="40"/>
      <c r="L1746" s="34">
        <f t="shared" si="219"/>
        <v>8.3605569226347055E-4</v>
      </c>
      <c r="M1746" s="35">
        <f t="shared" si="220"/>
        <v>-1.0284516029564337E-7</v>
      </c>
      <c r="N1746" s="44">
        <f t="shared" si="218"/>
        <v>-5.2615362503887148E-6</v>
      </c>
      <c r="O1746" s="45" t="e">
        <f t="shared" si="221"/>
        <v>#VALUE!</v>
      </c>
      <c r="P1746" s="52" t="str">
        <f t="shared" si="222"/>
        <v/>
      </c>
      <c r="Q1746" s="53" t="str">
        <f t="shared" si="223"/>
        <v/>
      </c>
      <c r="R1746" s="54" t="str">
        <f t="shared" si="224"/>
        <v/>
      </c>
      <c r="S1746" s="53" t="str">
        <f t="shared" si="225"/>
        <v/>
      </c>
    </row>
    <row r="1747" spans="10:19" x14ac:dyDescent="0.15">
      <c r="J1747" s="38">
        <v>1738</v>
      </c>
      <c r="K1747" s="40"/>
      <c r="L1747" s="34">
        <f t="shared" si="219"/>
        <v>8.3595279815142586E-4</v>
      </c>
      <c r="M1747" s="35">
        <f t="shared" si="220"/>
        <v>-1.0294303782040674E-7</v>
      </c>
      <c r="N1747" s="44">
        <f t="shared" si="218"/>
        <v>-5.266241995702638E-6</v>
      </c>
      <c r="O1747" s="45" t="e">
        <f t="shared" si="221"/>
        <v>#VALUE!</v>
      </c>
      <c r="P1747" s="52" t="str">
        <f t="shared" si="222"/>
        <v/>
      </c>
      <c r="Q1747" s="53" t="str">
        <f t="shared" si="223"/>
        <v/>
      </c>
      <c r="R1747" s="54" t="str">
        <f t="shared" si="224"/>
        <v/>
      </c>
      <c r="S1747" s="53" t="str">
        <f t="shared" si="225"/>
        <v/>
      </c>
    </row>
    <row r="1748" spans="10:19" x14ac:dyDescent="0.15">
      <c r="J1748" s="38">
        <v>1739</v>
      </c>
      <c r="K1748" s="40"/>
      <c r="L1748" s="34">
        <f t="shared" si="219"/>
        <v>8.3584980623972185E-4</v>
      </c>
      <c r="M1748" s="35">
        <f t="shared" si="220"/>
        <v>-1.0304075966891006E-7</v>
      </c>
      <c r="N1748" s="44">
        <f t="shared" si="218"/>
        <v>-5.2709403526481069E-6</v>
      </c>
      <c r="O1748" s="45" t="e">
        <f t="shared" si="221"/>
        <v>#VALUE!</v>
      </c>
      <c r="P1748" s="52" t="str">
        <f t="shared" si="222"/>
        <v/>
      </c>
      <c r="Q1748" s="53" t="str">
        <f t="shared" si="223"/>
        <v/>
      </c>
      <c r="R1748" s="54" t="str">
        <f t="shared" si="224"/>
        <v/>
      </c>
      <c r="S1748" s="53" t="str">
        <f t="shared" si="225"/>
        <v/>
      </c>
    </row>
    <row r="1749" spans="10:19" x14ac:dyDescent="0.15">
      <c r="J1749" s="38">
        <v>1740</v>
      </c>
      <c r="K1749" s="40"/>
      <c r="L1749" s="34">
        <f t="shared" si="219"/>
        <v>8.3574671668387019E-4</v>
      </c>
      <c r="M1749" s="35">
        <f t="shared" si="220"/>
        <v>-1.0313832617112006E-7</v>
      </c>
      <c r="N1749" s="44">
        <f t="shared" si="218"/>
        <v>-5.2756313366854107E-6</v>
      </c>
      <c r="O1749" s="45" t="e">
        <f t="shared" si="221"/>
        <v>#VALUE!</v>
      </c>
      <c r="P1749" s="52" t="str">
        <f t="shared" si="222"/>
        <v/>
      </c>
      <c r="Q1749" s="53" t="str">
        <f t="shared" si="223"/>
        <v/>
      </c>
      <c r="R1749" s="54" t="str">
        <f t="shared" si="224"/>
        <v/>
      </c>
      <c r="S1749" s="53" t="str">
        <f t="shared" si="225"/>
        <v/>
      </c>
    </row>
    <row r="1750" spans="10:19" x14ac:dyDescent="0.15">
      <c r="J1750" s="38">
        <v>1741</v>
      </c>
      <c r="K1750" s="40"/>
      <c r="L1750" s="34">
        <f t="shared" si="219"/>
        <v>8.3564352963905186E-4</v>
      </c>
      <c r="M1750" s="35">
        <f t="shared" si="220"/>
        <v>-1.0323573765612986E-7</v>
      </c>
      <c r="N1750" s="44">
        <f t="shared" si="218"/>
        <v>-5.2803149632337475E-6</v>
      </c>
      <c r="O1750" s="45" t="e">
        <f t="shared" si="221"/>
        <v>#VALUE!</v>
      </c>
      <c r="P1750" s="52" t="str">
        <f t="shared" si="222"/>
        <v/>
      </c>
      <c r="Q1750" s="53" t="str">
        <f t="shared" si="223"/>
        <v/>
      </c>
      <c r="R1750" s="54" t="str">
        <f t="shared" si="224"/>
        <v/>
      </c>
      <c r="S1750" s="53" t="str">
        <f t="shared" si="225"/>
        <v/>
      </c>
    </row>
    <row r="1751" spans="10:19" x14ac:dyDescent="0.15">
      <c r="J1751" s="38">
        <v>1742</v>
      </c>
      <c r="K1751" s="40"/>
      <c r="L1751" s="34">
        <f t="shared" si="219"/>
        <v>8.3554024526012077E-4</v>
      </c>
      <c r="M1751" s="35">
        <f t="shared" si="220"/>
        <v>-1.0333299445216165E-7</v>
      </c>
      <c r="N1751" s="44">
        <f t="shared" si="218"/>
        <v>-5.2849912476723082E-6</v>
      </c>
      <c r="O1751" s="45" t="e">
        <f t="shared" si="221"/>
        <v>#VALUE!</v>
      </c>
      <c r="P1751" s="52" t="str">
        <f t="shared" si="222"/>
        <v/>
      </c>
      <c r="Q1751" s="53" t="str">
        <f t="shared" si="223"/>
        <v/>
      </c>
      <c r="R1751" s="54" t="str">
        <f t="shared" si="224"/>
        <v/>
      </c>
      <c r="S1751" s="53" t="str">
        <f t="shared" si="225"/>
        <v/>
      </c>
    </row>
    <row r="1752" spans="10:19" x14ac:dyDescent="0.15">
      <c r="J1752" s="38">
        <v>1743</v>
      </c>
      <c r="K1752" s="40"/>
      <c r="L1752" s="34">
        <f t="shared" si="219"/>
        <v>8.3543686370160161E-4</v>
      </c>
      <c r="M1752" s="35">
        <f t="shared" si="220"/>
        <v>-1.034300968865692E-7</v>
      </c>
      <c r="N1752" s="44">
        <f t="shared" si="218"/>
        <v>-5.289660205340602E-6</v>
      </c>
      <c r="O1752" s="45" t="e">
        <f t="shared" si="221"/>
        <v>#VALUE!</v>
      </c>
      <c r="P1752" s="52" t="str">
        <f t="shared" si="222"/>
        <v/>
      </c>
      <c r="Q1752" s="53" t="str">
        <f t="shared" si="223"/>
        <v/>
      </c>
      <c r="R1752" s="54" t="str">
        <f t="shared" si="224"/>
        <v/>
      </c>
      <c r="S1752" s="53" t="str">
        <f t="shared" si="225"/>
        <v/>
      </c>
    </row>
    <row r="1753" spans="10:19" x14ac:dyDescent="0.15">
      <c r="J1753" s="38">
        <v>1744</v>
      </c>
      <c r="K1753" s="40"/>
      <c r="L1753" s="34">
        <f t="shared" si="219"/>
        <v>8.3533338511769257E-4</v>
      </c>
      <c r="M1753" s="35">
        <f t="shared" si="220"/>
        <v>-1.0352704528584096E-7</v>
      </c>
      <c r="N1753" s="44">
        <f t="shared" si="218"/>
        <v>-5.2943218515362879E-6</v>
      </c>
      <c r="O1753" s="45" t="e">
        <f t="shared" si="221"/>
        <v>#VALUE!</v>
      </c>
      <c r="P1753" s="52" t="str">
        <f t="shared" si="222"/>
        <v/>
      </c>
      <c r="Q1753" s="53" t="str">
        <f t="shared" si="223"/>
        <v/>
      </c>
      <c r="R1753" s="54" t="str">
        <f t="shared" si="224"/>
        <v/>
      </c>
      <c r="S1753" s="53" t="str">
        <f t="shared" si="225"/>
        <v/>
      </c>
    </row>
    <row r="1754" spans="10:19" x14ac:dyDescent="0.15">
      <c r="J1754" s="38">
        <v>1745</v>
      </c>
      <c r="K1754" s="40"/>
      <c r="L1754" s="34">
        <f t="shared" si="219"/>
        <v>8.3522980966226643E-4</v>
      </c>
      <c r="M1754" s="35">
        <f t="shared" si="220"/>
        <v>-1.036238399756025E-7</v>
      </c>
      <c r="N1754" s="44">
        <f t="shared" si="218"/>
        <v>-5.2989762015198368E-6</v>
      </c>
      <c r="O1754" s="45" t="e">
        <f t="shared" si="221"/>
        <v>#VALUE!</v>
      </c>
      <c r="P1754" s="52" t="str">
        <f t="shared" si="222"/>
        <v/>
      </c>
      <c r="Q1754" s="53" t="str">
        <f t="shared" si="223"/>
        <v/>
      </c>
      <c r="R1754" s="54" t="str">
        <f t="shared" si="224"/>
        <v/>
      </c>
      <c r="S1754" s="53" t="str">
        <f t="shared" si="225"/>
        <v/>
      </c>
    </row>
    <row r="1755" spans="10:19" x14ac:dyDescent="0.15">
      <c r="J1755" s="38">
        <v>1746</v>
      </c>
      <c r="K1755" s="40"/>
      <c r="L1755" s="34">
        <f t="shared" si="219"/>
        <v>8.3512613748886952E-4</v>
      </c>
      <c r="M1755" s="35">
        <f t="shared" si="220"/>
        <v>-1.037204812806196E-7</v>
      </c>
      <c r="N1755" s="44">
        <f t="shared" si="218"/>
        <v>-5.3036232705093271E-6</v>
      </c>
      <c r="O1755" s="45" t="e">
        <f t="shared" si="221"/>
        <v>#VALUE!</v>
      </c>
      <c r="P1755" s="52" t="str">
        <f t="shared" si="222"/>
        <v/>
      </c>
      <c r="Q1755" s="53" t="str">
        <f t="shared" si="223"/>
        <v/>
      </c>
      <c r="R1755" s="54" t="str">
        <f t="shared" si="224"/>
        <v/>
      </c>
      <c r="S1755" s="53" t="str">
        <f t="shared" si="225"/>
        <v/>
      </c>
    </row>
    <row r="1756" spans="10:19" x14ac:dyDescent="0.15">
      <c r="J1756" s="38">
        <v>1747</v>
      </c>
      <c r="K1756" s="40"/>
      <c r="L1756" s="34">
        <f t="shared" si="219"/>
        <v>8.3502236875072553E-4</v>
      </c>
      <c r="M1756" s="35">
        <f t="shared" si="220"/>
        <v>-1.0381696952480059E-7</v>
      </c>
      <c r="N1756" s="44">
        <f t="shared" si="218"/>
        <v>-5.3082630736851072E-6</v>
      </c>
      <c r="O1756" s="45" t="e">
        <f t="shared" si="221"/>
        <v>#VALUE!</v>
      </c>
      <c r="P1756" s="52" t="str">
        <f t="shared" si="222"/>
        <v/>
      </c>
      <c r="Q1756" s="53" t="str">
        <f t="shared" si="223"/>
        <v/>
      </c>
      <c r="R1756" s="54" t="str">
        <f t="shared" si="224"/>
        <v/>
      </c>
      <c r="S1756" s="53" t="str">
        <f t="shared" si="225"/>
        <v/>
      </c>
    </row>
    <row r="1757" spans="10:19" x14ac:dyDescent="0.15">
      <c r="J1757" s="38">
        <v>1748</v>
      </c>
      <c r="K1757" s="40"/>
      <c r="L1757" s="34">
        <f t="shared" si="219"/>
        <v>8.3491850360073265E-4</v>
      </c>
      <c r="M1757" s="35">
        <f t="shared" si="220"/>
        <v>-1.0391330503119926E-7</v>
      </c>
      <c r="N1757" s="44">
        <f t="shared" si="218"/>
        <v>-5.3128956261866509E-6</v>
      </c>
      <c r="O1757" s="45" t="e">
        <f t="shared" si="221"/>
        <v>#VALUE!</v>
      </c>
      <c r="P1757" s="52" t="str">
        <f t="shared" si="222"/>
        <v/>
      </c>
      <c r="Q1757" s="53" t="str">
        <f t="shared" si="223"/>
        <v/>
      </c>
      <c r="R1757" s="54" t="str">
        <f t="shared" si="224"/>
        <v/>
      </c>
      <c r="S1757" s="53" t="str">
        <f t="shared" si="225"/>
        <v/>
      </c>
    </row>
    <row r="1758" spans="10:19" x14ac:dyDescent="0.15">
      <c r="J1758" s="38">
        <v>1749</v>
      </c>
      <c r="K1758" s="40"/>
      <c r="L1758" s="34">
        <f t="shared" si="219"/>
        <v>8.3481454219146828E-4</v>
      </c>
      <c r="M1758" s="35">
        <f t="shared" si="220"/>
        <v>-1.0400948812201764E-7</v>
      </c>
      <c r="N1758" s="44">
        <f t="shared" si="218"/>
        <v>-5.3175209431148346E-6</v>
      </c>
      <c r="O1758" s="45" t="e">
        <f t="shared" si="221"/>
        <v>#VALUE!</v>
      </c>
      <c r="P1758" s="52" t="str">
        <f t="shared" si="222"/>
        <v/>
      </c>
      <c r="Q1758" s="53" t="str">
        <f t="shared" si="223"/>
        <v/>
      </c>
      <c r="R1758" s="54" t="str">
        <f t="shared" si="224"/>
        <v/>
      </c>
      <c r="S1758" s="53" t="str">
        <f t="shared" si="225"/>
        <v/>
      </c>
    </row>
    <row r="1759" spans="10:19" x14ac:dyDescent="0.15">
      <c r="J1759" s="38">
        <v>1750</v>
      </c>
      <c r="K1759" s="40"/>
      <c r="L1759" s="34">
        <f t="shared" si="219"/>
        <v>8.3471048467518671E-4</v>
      </c>
      <c r="M1759" s="35">
        <f t="shared" si="220"/>
        <v>-1.0410551911860847E-7</v>
      </c>
      <c r="N1759" s="44">
        <f t="shared" si="218"/>
        <v>-5.3221390395308526E-6</v>
      </c>
      <c r="O1759" s="45" t="e">
        <f t="shared" si="221"/>
        <v>#VALUE!</v>
      </c>
      <c r="P1759" s="52" t="str">
        <f t="shared" si="222"/>
        <v/>
      </c>
      <c r="Q1759" s="53" t="str">
        <f t="shared" si="223"/>
        <v/>
      </c>
      <c r="R1759" s="54" t="str">
        <f t="shared" si="224"/>
        <v/>
      </c>
      <c r="S1759" s="53" t="str">
        <f t="shared" si="225"/>
        <v/>
      </c>
    </row>
    <row r="1760" spans="10:19" x14ac:dyDescent="0.15">
      <c r="J1760" s="38">
        <v>1751</v>
      </c>
      <c r="K1760" s="40"/>
      <c r="L1760" s="34">
        <f t="shared" si="219"/>
        <v>8.3460633120382196E-4</v>
      </c>
      <c r="M1760" s="35">
        <f t="shared" si="220"/>
        <v>-1.0420139834147809E-7</v>
      </c>
      <c r="N1760" s="44">
        <f t="shared" si="218"/>
        <v>-5.3267499304567598E-6</v>
      </c>
      <c r="O1760" s="45" t="e">
        <f t="shared" si="221"/>
        <v>#VALUE!</v>
      </c>
      <c r="P1760" s="52" t="str">
        <f t="shared" si="222"/>
        <v/>
      </c>
      <c r="Q1760" s="53" t="str">
        <f t="shared" si="223"/>
        <v/>
      </c>
      <c r="R1760" s="54" t="str">
        <f t="shared" si="224"/>
        <v/>
      </c>
      <c r="S1760" s="53" t="str">
        <f t="shared" si="225"/>
        <v/>
      </c>
    </row>
    <row r="1761" spans="10:19" x14ac:dyDescent="0.15">
      <c r="J1761" s="38">
        <v>1752</v>
      </c>
      <c r="K1761" s="40"/>
      <c r="L1761" s="34">
        <f t="shared" si="219"/>
        <v>8.3450208192898854E-4</v>
      </c>
      <c r="M1761" s="35">
        <f t="shared" si="220"/>
        <v>-1.0429712611028909E-7</v>
      </c>
      <c r="N1761" s="44">
        <f t="shared" si="218"/>
        <v>-5.3313536308763386E-6</v>
      </c>
      <c r="O1761" s="45" t="e">
        <f t="shared" si="221"/>
        <v>#VALUE!</v>
      </c>
      <c r="P1761" s="52" t="str">
        <f t="shared" si="222"/>
        <v/>
      </c>
      <c r="Q1761" s="53" t="str">
        <f t="shared" si="223"/>
        <v/>
      </c>
      <c r="R1761" s="54" t="str">
        <f t="shared" si="224"/>
        <v/>
      </c>
      <c r="S1761" s="53" t="str">
        <f t="shared" si="225"/>
        <v/>
      </c>
    </row>
    <row r="1762" spans="10:19" x14ac:dyDescent="0.15">
      <c r="J1762" s="38">
        <v>1753</v>
      </c>
      <c r="K1762" s="40"/>
      <c r="L1762" s="34">
        <f t="shared" si="219"/>
        <v>8.3439773700198002E-4</v>
      </c>
      <c r="M1762" s="35">
        <f t="shared" si="220"/>
        <v>-1.0439270274386276E-7</v>
      </c>
      <c r="N1762" s="44">
        <f t="shared" si="218"/>
        <v>-5.3359501557327139E-6</v>
      </c>
      <c r="O1762" s="45" t="e">
        <f t="shared" si="221"/>
        <v>#VALUE!</v>
      </c>
      <c r="P1762" s="52" t="str">
        <f t="shared" si="222"/>
        <v/>
      </c>
      <c r="Q1762" s="53" t="str">
        <f t="shared" si="223"/>
        <v/>
      </c>
      <c r="R1762" s="54" t="str">
        <f t="shared" si="224"/>
        <v/>
      </c>
      <c r="S1762" s="53" t="str">
        <f t="shared" si="225"/>
        <v/>
      </c>
    </row>
    <row r="1763" spans="10:19" x14ac:dyDescent="0.15">
      <c r="J1763" s="38">
        <v>1754</v>
      </c>
      <c r="K1763" s="40"/>
      <c r="L1763" s="34">
        <f t="shared" si="219"/>
        <v>8.3429329657377319E-4</v>
      </c>
      <c r="M1763" s="35">
        <f t="shared" si="220"/>
        <v>-1.0448812856018204E-7</v>
      </c>
      <c r="N1763" s="44">
        <f t="shared" si="218"/>
        <v>-5.3405395199318225E-6</v>
      </c>
      <c r="O1763" s="45" t="e">
        <f t="shared" si="221"/>
        <v>#VALUE!</v>
      </c>
      <c r="P1763" s="52" t="str">
        <f t="shared" si="222"/>
        <v/>
      </c>
      <c r="Q1763" s="53" t="str">
        <f t="shared" si="223"/>
        <v/>
      </c>
      <c r="R1763" s="54" t="str">
        <f t="shared" si="224"/>
        <v/>
      </c>
      <c r="S1763" s="53" t="str">
        <f t="shared" si="225"/>
        <v/>
      </c>
    </row>
    <row r="1764" spans="10:19" x14ac:dyDescent="0.15">
      <c r="J1764" s="38">
        <v>1755</v>
      </c>
      <c r="K1764" s="40"/>
      <c r="L1764" s="34">
        <f t="shared" si="219"/>
        <v>8.341887607950264E-4</v>
      </c>
      <c r="M1764" s="35">
        <f t="shared" si="220"/>
        <v>-1.0458340387639396E-7</v>
      </c>
      <c r="N1764" s="44">
        <f t="shared" si="218"/>
        <v>-5.3451217383402444E-6</v>
      </c>
      <c r="O1764" s="45" t="e">
        <f t="shared" si="221"/>
        <v>#VALUE!</v>
      </c>
      <c r="P1764" s="52" t="str">
        <f t="shared" si="222"/>
        <v/>
      </c>
      <c r="Q1764" s="53" t="str">
        <f t="shared" si="223"/>
        <v/>
      </c>
      <c r="R1764" s="54" t="str">
        <f t="shared" si="224"/>
        <v/>
      </c>
      <c r="S1764" s="53" t="str">
        <f t="shared" si="225"/>
        <v/>
      </c>
    </row>
    <row r="1765" spans="10:19" x14ac:dyDescent="0.15">
      <c r="J1765" s="38">
        <v>1756</v>
      </c>
      <c r="K1765" s="40"/>
      <c r="L1765" s="34">
        <f t="shared" si="219"/>
        <v>8.3408412981608151E-4</v>
      </c>
      <c r="M1765" s="35">
        <f t="shared" si="220"/>
        <v>-1.0467852900881238E-7</v>
      </c>
      <c r="N1765" s="44">
        <f t="shared" si="218"/>
        <v>-5.3496968257859623E-6</v>
      </c>
      <c r="O1765" s="45" t="e">
        <f t="shared" si="221"/>
        <v>#VALUE!</v>
      </c>
      <c r="P1765" s="52" t="str">
        <f t="shared" si="222"/>
        <v/>
      </c>
      <c r="Q1765" s="53" t="str">
        <f t="shared" si="223"/>
        <v/>
      </c>
      <c r="R1765" s="54" t="str">
        <f t="shared" si="224"/>
        <v/>
      </c>
      <c r="S1765" s="53" t="str">
        <f t="shared" si="225"/>
        <v/>
      </c>
    </row>
    <row r="1766" spans="10:19" x14ac:dyDescent="0.15">
      <c r="J1766" s="38">
        <v>1757</v>
      </c>
      <c r="K1766" s="40"/>
      <c r="L1766" s="34">
        <f t="shared" si="219"/>
        <v>8.3397940378696501E-4</v>
      </c>
      <c r="M1766" s="35">
        <f t="shared" si="220"/>
        <v>-1.0477350427292062E-7</v>
      </c>
      <c r="N1766" s="44">
        <f t="shared" si="218"/>
        <v>-5.3542647970591202E-6</v>
      </c>
      <c r="O1766" s="45" t="e">
        <f t="shared" si="221"/>
        <v>#VALUE!</v>
      </c>
      <c r="P1766" s="52" t="str">
        <f t="shared" si="222"/>
        <v/>
      </c>
      <c r="Q1766" s="53" t="str">
        <f t="shared" si="223"/>
        <v/>
      </c>
      <c r="R1766" s="54" t="str">
        <f t="shared" si="224"/>
        <v/>
      </c>
      <c r="S1766" s="53" t="str">
        <f t="shared" si="225"/>
        <v/>
      </c>
    </row>
    <row r="1767" spans="10:19" x14ac:dyDescent="0.15">
      <c r="J1767" s="38">
        <v>1758</v>
      </c>
      <c r="K1767" s="40"/>
      <c r="L1767" s="34">
        <f t="shared" si="219"/>
        <v>8.3387458285738689E-4</v>
      </c>
      <c r="M1767" s="35">
        <f t="shared" si="220"/>
        <v>-1.0486832998337388E-7</v>
      </c>
      <c r="N1767" s="44">
        <f t="shared" si="218"/>
        <v>-5.3588256669100717E-6</v>
      </c>
      <c r="O1767" s="45" t="e">
        <f t="shared" si="221"/>
        <v>#VALUE!</v>
      </c>
      <c r="P1767" s="52" t="str">
        <f t="shared" si="222"/>
        <v/>
      </c>
      <c r="Q1767" s="53" t="str">
        <f t="shared" si="223"/>
        <v/>
      </c>
      <c r="R1767" s="54" t="str">
        <f t="shared" si="224"/>
        <v/>
      </c>
      <c r="S1767" s="53" t="str">
        <f t="shared" si="225"/>
        <v/>
      </c>
    </row>
    <row r="1768" spans="10:19" x14ac:dyDescent="0.15">
      <c r="J1768" s="38">
        <v>1759</v>
      </c>
      <c r="K1768" s="40"/>
      <c r="L1768" s="34">
        <f t="shared" si="219"/>
        <v>8.3376966717674489E-4</v>
      </c>
      <c r="M1768" s="35">
        <f t="shared" si="220"/>
        <v>-1.0496300645400222E-7</v>
      </c>
      <c r="N1768" s="44">
        <f t="shared" si="218"/>
        <v>-5.3633794500533918E-6</v>
      </c>
      <c r="O1768" s="45" t="e">
        <f t="shared" si="221"/>
        <v>#VALUE!</v>
      </c>
      <c r="P1768" s="52" t="str">
        <f t="shared" si="222"/>
        <v/>
      </c>
      <c r="Q1768" s="53" t="str">
        <f t="shared" si="223"/>
        <v/>
      </c>
      <c r="R1768" s="54" t="str">
        <f t="shared" si="224"/>
        <v/>
      </c>
      <c r="S1768" s="53" t="str">
        <f t="shared" si="225"/>
        <v/>
      </c>
    </row>
    <row r="1769" spans="10:19" x14ac:dyDescent="0.15">
      <c r="J1769" s="38">
        <v>1760</v>
      </c>
      <c r="K1769" s="40"/>
      <c r="L1769" s="34">
        <f t="shared" si="219"/>
        <v>8.3366465689412115E-4</v>
      </c>
      <c r="M1769" s="35">
        <f t="shared" si="220"/>
        <v>-1.0505753399781274E-7</v>
      </c>
      <c r="N1769" s="44">
        <f t="shared" si="218"/>
        <v>-5.3679261611623477E-6</v>
      </c>
      <c r="O1769" s="45" t="e">
        <f t="shared" si="221"/>
        <v>#VALUE!</v>
      </c>
      <c r="P1769" s="52" t="str">
        <f t="shared" si="222"/>
        <v/>
      </c>
      <c r="Q1769" s="53" t="str">
        <f t="shared" si="223"/>
        <v/>
      </c>
      <c r="R1769" s="54" t="str">
        <f t="shared" si="224"/>
        <v/>
      </c>
      <c r="S1769" s="53" t="str">
        <f t="shared" si="225"/>
        <v/>
      </c>
    </row>
    <row r="1770" spans="10:19" x14ac:dyDescent="0.15">
      <c r="J1770" s="38">
        <v>1761</v>
      </c>
      <c r="K1770" s="40"/>
      <c r="L1770" s="34">
        <f t="shared" si="219"/>
        <v>8.3355955215828718E-4</v>
      </c>
      <c r="M1770" s="35">
        <f t="shared" si="220"/>
        <v>-1.0515191292699251E-7</v>
      </c>
      <c r="N1770" s="44">
        <f t="shared" si="218"/>
        <v>-5.37246581487562E-6</v>
      </c>
      <c r="O1770" s="45" t="e">
        <f t="shared" si="221"/>
        <v>#VALUE!</v>
      </c>
      <c r="P1770" s="52" t="str">
        <f t="shared" si="222"/>
        <v/>
      </c>
      <c r="Q1770" s="53" t="str">
        <f t="shared" si="223"/>
        <v/>
      </c>
      <c r="R1770" s="54" t="str">
        <f t="shared" si="224"/>
        <v/>
      </c>
      <c r="S1770" s="53" t="str">
        <f t="shared" si="225"/>
        <v/>
      </c>
    </row>
    <row r="1771" spans="10:19" x14ac:dyDescent="0.15">
      <c r="J1771" s="38">
        <v>1762</v>
      </c>
      <c r="K1771" s="40"/>
      <c r="L1771" s="34">
        <f t="shared" si="219"/>
        <v>8.334543531177016E-4</v>
      </c>
      <c r="M1771" s="35">
        <f t="shared" si="220"/>
        <v>-1.0524614355291089E-7</v>
      </c>
      <c r="N1771" s="44">
        <f t="shared" si="218"/>
        <v>-5.3769984257919911E-6</v>
      </c>
      <c r="O1771" s="45" t="e">
        <f t="shared" si="221"/>
        <v>#VALUE!</v>
      </c>
      <c r="P1771" s="52" t="str">
        <f t="shared" si="222"/>
        <v/>
      </c>
      <c r="Q1771" s="53" t="str">
        <f t="shared" si="223"/>
        <v/>
      </c>
      <c r="R1771" s="54" t="str">
        <f t="shared" si="224"/>
        <v/>
      </c>
      <c r="S1771" s="53" t="str">
        <f t="shared" si="225"/>
        <v/>
      </c>
    </row>
    <row r="1772" spans="10:19" x14ac:dyDescent="0.15">
      <c r="J1772" s="38">
        <v>1763</v>
      </c>
      <c r="K1772" s="40"/>
      <c r="L1772" s="34">
        <f t="shared" si="219"/>
        <v>8.3334905992051239E-4</v>
      </c>
      <c r="M1772" s="35">
        <f t="shared" si="220"/>
        <v>-1.0534022618612231E-7</v>
      </c>
      <c r="N1772" s="44">
        <f t="shared" si="218"/>
        <v>-5.3815240084724046E-6</v>
      </c>
      <c r="O1772" s="45" t="e">
        <f t="shared" si="221"/>
        <v>#VALUE!</v>
      </c>
      <c r="P1772" s="52" t="str">
        <f t="shared" si="222"/>
        <v/>
      </c>
      <c r="Q1772" s="53" t="str">
        <f t="shared" si="223"/>
        <v/>
      </c>
      <c r="R1772" s="54" t="str">
        <f t="shared" si="224"/>
        <v/>
      </c>
      <c r="S1772" s="53" t="str">
        <f t="shared" si="225"/>
        <v/>
      </c>
    </row>
    <row r="1773" spans="10:19" x14ac:dyDescent="0.15">
      <c r="J1773" s="38">
        <v>1764</v>
      </c>
      <c r="K1773" s="40"/>
      <c r="L1773" s="34">
        <f t="shared" si="219"/>
        <v>8.3324367271455724E-4</v>
      </c>
      <c r="M1773" s="35">
        <f t="shared" si="220"/>
        <v>-1.054341611363687E-7</v>
      </c>
      <c r="N1773" s="44">
        <f t="shared" si="218"/>
        <v>-5.3860425774414833E-6</v>
      </c>
      <c r="O1773" s="45" t="e">
        <f t="shared" si="221"/>
        <v>#VALUE!</v>
      </c>
      <c r="P1773" s="52" t="str">
        <f t="shared" si="222"/>
        <v/>
      </c>
      <c r="Q1773" s="53" t="str">
        <f t="shared" si="223"/>
        <v/>
      </c>
      <c r="R1773" s="54" t="str">
        <f t="shared" si="224"/>
        <v/>
      </c>
      <c r="S1773" s="53" t="str">
        <f t="shared" si="225"/>
        <v/>
      </c>
    </row>
    <row r="1774" spans="10:19" x14ac:dyDescent="0.15">
      <c r="J1774" s="38">
        <v>1765</v>
      </c>
      <c r="K1774" s="40"/>
      <c r="L1774" s="34">
        <f t="shared" si="219"/>
        <v>8.3313819164736419E-4</v>
      </c>
      <c r="M1774" s="35">
        <f t="shared" si="220"/>
        <v>-1.0552794871258197E-7</v>
      </c>
      <c r="N1774" s="44">
        <f t="shared" si="218"/>
        <v>-5.3905541471846018E-6</v>
      </c>
      <c r="O1774" s="45" t="e">
        <f t="shared" si="221"/>
        <v>#VALUE!</v>
      </c>
      <c r="P1774" s="52" t="str">
        <f t="shared" si="222"/>
        <v/>
      </c>
      <c r="Q1774" s="53" t="str">
        <f t="shared" si="223"/>
        <v/>
      </c>
      <c r="R1774" s="54" t="str">
        <f t="shared" si="224"/>
        <v/>
      </c>
      <c r="S1774" s="53" t="str">
        <f t="shared" si="225"/>
        <v/>
      </c>
    </row>
    <row r="1775" spans="10:19" x14ac:dyDescent="0.15">
      <c r="J1775" s="38">
        <v>1766</v>
      </c>
      <c r="K1775" s="40"/>
      <c r="L1775" s="34">
        <f t="shared" si="219"/>
        <v>8.330326168661539E-4</v>
      </c>
      <c r="M1775" s="35">
        <f t="shared" si="220"/>
        <v>-1.0562158922288682E-7</v>
      </c>
      <c r="N1775" s="44">
        <f t="shared" si="218"/>
        <v>-5.39505873215179E-6</v>
      </c>
      <c r="O1775" s="45" t="e">
        <f t="shared" si="221"/>
        <v>#VALUE!</v>
      </c>
      <c r="P1775" s="52" t="str">
        <f t="shared" si="222"/>
        <v/>
      </c>
      <c r="Q1775" s="53" t="str">
        <f t="shared" si="223"/>
        <v/>
      </c>
      <c r="R1775" s="54" t="str">
        <f t="shared" si="224"/>
        <v/>
      </c>
      <c r="S1775" s="53" t="str">
        <f t="shared" si="225"/>
        <v/>
      </c>
    </row>
    <row r="1776" spans="10:19" x14ac:dyDescent="0.15">
      <c r="J1776" s="38">
        <v>1767</v>
      </c>
      <c r="K1776" s="40"/>
      <c r="L1776" s="34">
        <f t="shared" si="219"/>
        <v>8.3292694851783795E-4</v>
      </c>
      <c r="M1776" s="35">
        <f t="shared" si="220"/>
        <v>-1.0571508297460296E-7</v>
      </c>
      <c r="N1776" s="44">
        <f t="shared" si="218"/>
        <v>-5.3995563467543715E-6</v>
      </c>
      <c r="O1776" s="45" t="e">
        <f t="shared" si="221"/>
        <v>#VALUE!</v>
      </c>
      <c r="P1776" s="52" t="str">
        <f t="shared" si="222"/>
        <v/>
      </c>
      <c r="Q1776" s="53" t="str">
        <f t="shared" si="223"/>
        <v/>
      </c>
      <c r="R1776" s="54" t="str">
        <f t="shared" si="224"/>
        <v/>
      </c>
      <c r="S1776" s="53" t="str">
        <f t="shared" si="225"/>
        <v/>
      </c>
    </row>
    <row r="1777" spans="10:19" x14ac:dyDescent="0.15">
      <c r="J1777" s="38">
        <v>1768</v>
      </c>
      <c r="K1777" s="40"/>
      <c r="L1777" s="34">
        <f t="shared" si="219"/>
        <v>8.3282118674902204E-4</v>
      </c>
      <c r="M1777" s="35">
        <f t="shared" si="220"/>
        <v>-1.0580843027424784E-7</v>
      </c>
      <c r="N1777" s="44">
        <f t="shared" si="218"/>
        <v>-5.4040470053666988E-6</v>
      </c>
      <c r="O1777" s="45" t="e">
        <f t="shared" si="221"/>
        <v>#VALUE!</v>
      </c>
      <c r="P1777" s="52" t="str">
        <f t="shared" si="222"/>
        <v/>
      </c>
      <c r="Q1777" s="53" t="str">
        <f t="shared" si="223"/>
        <v/>
      </c>
      <c r="R1777" s="54" t="str">
        <f t="shared" si="224"/>
        <v/>
      </c>
      <c r="S1777" s="53" t="str">
        <f t="shared" si="225"/>
        <v/>
      </c>
    </row>
    <row r="1778" spans="10:19" x14ac:dyDescent="0.15">
      <c r="J1778" s="38">
        <v>1769</v>
      </c>
      <c r="K1778" s="40"/>
      <c r="L1778" s="34">
        <f t="shared" si="219"/>
        <v>8.3271533170600483E-4</v>
      </c>
      <c r="M1778" s="35">
        <f t="shared" si="220"/>
        <v>-1.0590163142753913E-7</v>
      </c>
      <c r="N1778" s="44">
        <f t="shared" si="218"/>
        <v>-5.4085307223268033E-6</v>
      </c>
      <c r="O1778" s="45" t="e">
        <f t="shared" si="221"/>
        <v>#VALUE!</v>
      </c>
      <c r="P1778" s="52" t="str">
        <f t="shared" si="222"/>
        <v/>
      </c>
      <c r="Q1778" s="53" t="str">
        <f t="shared" si="223"/>
        <v/>
      </c>
      <c r="R1778" s="54" t="str">
        <f t="shared" si="224"/>
        <v/>
      </c>
      <c r="S1778" s="53" t="str">
        <f t="shared" si="225"/>
        <v/>
      </c>
    </row>
    <row r="1779" spans="10:19" x14ac:dyDescent="0.15">
      <c r="J1779" s="38">
        <v>1770</v>
      </c>
      <c r="K1779" s="40"/>
      <c r="L1779" s="34">
        <f t="shared" si="219"/>
        <v>8.3260938353478075E-4</v>
      </c>
      <c r="M1779" s="35">
        <f t="shared" si="220"/>
        <v>-1.0599468673939711E-7</v>
      </c>
      <c r="N1779" s="44">
        <f t="shared" si="218"/>
        <v>-5.4130075119348782E-6</v>
      </c>
      <c r="O1779" s="45" t="e">
        <f t="shared" si="221"/>
        <v>#VALUE!</v>
      </c>
      <c r="P1779" s="52" t="str">
        <f t="shared" si="222"/>
        <v/>
      </c>
      <c r="Q1779" s="53" t="str">
        <f t="shared" si="223"/>
        <v/>
      </c>
      <c r="R1779" s="54" t="str">
        <f t="shared" si="224"/>
        <v/>
      </c>
      <c r="S1779" s="53" t="str">
        <f t="shared" si="225"/>
        <v/>
      </c>
    </row>
    <row r="1780" spans="10:19" x14ac:dyDescent="0.15">
      <c r="J1780" s="38">
        <v>1771</v>
      </c>
      <c r="K1780" s="40"/>
      <c r="L1780" s="34">
        <f t="shared" si="219"/>
        <v>8.3250334238103862E-4</v>
      </c>
      <c r="M1780" s="35">
        <f t="shared" si="220"/>
        <v>-1.0608759651394717E-7</v>
      </c>
      <c r="N1780" s="44">
        <f t="shared" si="218"/>
        <v>-5.4174773884551209E-6</v>
      </c>
      <c r="O1780" s="45" t="e">
        <f t="shared" si="221"/>
        <v>#VALUE!</v>
      </c>
      <c r="P1780" s="52" t="str">
        <f t="shared" si="222"/>
        <v/>
      </c>
      <c r="Q1780" s="53" t="str">
        <f t="shared" si="223"/>
        <v/>
      </c>
      <c r="R1780" s="54" t="str">
        <f t="shared" si="224"/>
        <v/>
      </c>
      <c r="S1780" s="53" t="str">
        <f t="shared" si="225"/>
        <v/>
      </c>
    </row>
    <row r="1781" spans="10:19" x14ac:dyDescent="0.15">
      <c r="J1781" s="38">
        <v>1772</v>
      </c>
      <c r="K1781" s="40"/>
      <c r="L1781" s="34">
        <f t="shared" si="219"/>
        <v>8.3239720839016409E-4</v>
      </c>
      <c r="M1781" s="35">
        <f t="shared" si="220"/>
        <v>-1.0618036105452264E-7</v>
      </c>
      <c r="N1781" s="44">
        <f t="shared" si="218"/>
        <v>-5.421940366114107E-6</v>
      </c>
      <c r="O1781" s="45" t="e">
        <f t="shared" si="221"/>
        <v>#VALUE!</v>
      </c>
      <c r="P1781" s="52" t="str">
        <f t="shared" si="222"/>
        <v/>
      </c>
      <c r="Q1781" s="53" t="str">
        <f t="shared" si="223"/>
        <v/>
      </c>
      <c r="R1781" s="54" t="str">
        <f t="shared" si="224"/>
        <v/>
      </c>
      <c r="S1781" s="53" t="str">
        <f t="shared" si="225"/>
        <v/>
      </c>
    </row>
    <row r="1782" spans="10:19" x14ac:dyDescent="0.15">
      <c r="J1782" s="38">
        <v>1773</v>
      </c>
      <c r="K1782" s="40"/>
      <c r="L1782" s="34">
        <f t="shared" si="219"/>
        <v>8.3229098170724009E-4</v>
      </c>
      <c r="M1782" s="35">
        <f t="shared" si="220"/>
        <v>-1.0627298066366667E-7</v>
      </c>
      <c r="N1782" s="44">
        <f t="shared" si="218"/>
        <v>-5.4263964591026335E-6</v>
      </c>
      <c r="O1782" s="45" t="e">
        <f t="shared" si="221"/>
        <v>#VALUE!</v>
      </c>
      <c r="P1782" s="52" t="str">
        <f t="shared" si="222"/>
        <v/>
      </c>
      <c r="Q1782" s="53" t="str">
        <f t="shared" si="223"/>
        <v/>
      </c>
      <c r="R1782" s="54" t="str">
        <f t="shared" si="224"/>
        <v/>
      </c>
      <c r="S1782" s="53" t="str">
        <f t="shared" si="225"/>
        <v/>
      </c>
    </row>
    <row r="1783" spans="10:19" x14ac:dyDescent="0.15">
      <c r="J1783" s="38">
        <v>1774</v>
      </c>
      <c r="K1783" s="40"/>
      <c r="L1783" s="34">
        <f t="shared" si="219"/>
        <v>8.3218466247704655E-4</v>
      </c>
      <c r="M1783" s="35">
        <f t="shared" si="220"/>
        <v>-1.0636545564313523E-7</v>
      </c>
      <c r="N1783" s="44">
        <f t="shared" si="218"/>
        <v>-5.4308456815747429E-6</v>
      </c>
      <c r="O1783" s="45" t="e">
        <f t="shared" si="221"/>
        <v>#VALUE!</v>
      </c>
      <c r="P1783" s="52" t="str">
        <f t="shared" si="222"/>
        <v/>
      </c>
      <c r="Q1783" s="53" t="str">
        <f t="shared" si="223"/>
        <v/>
      </c>
      <c r="R1783" s="54" t="str">
        <f t="shared" si="224"/>
        <v/>
      </c>
      <c r="S1783" s="53" t="str">
        <f t="shared" si="225"/>
        <v/>
      </c>
    </row>
    <row r="1784" spans="10:19" x14ac:dyDescent="0.15">
      <c r="J1784" s="38">
        <v>1775</v>
      </c>
      <c r="K1784" s="40"/>
      <c r="L1784" s="34">
        <f t="shared" si="219"/>
        <v>8.3207825084406339E-4</v>
      </c>
      <c r="M1784" s="35">
        <f t="shared" si="220"/>
        <v>-1.064577862938993E-7</v>
      </c>
      <c r="N1784" s="44">
        <f t="shared" si="218"/>
        <v>-5.4352880476484823E-6</v>
      </c>
      <c r="O1784" s="45" t="e">
        <f t="shared" si="221"/>
        <v>#VALUE!</v>
      </c>
      <c r="P1784" s="52" t="str">
        <f t="shared" si="222"/>
        <v/>
      </c>
      <c r="Q1784" s="53" t="str">
        <f t="shared" si="223"/>
        <v/>
      </c>
      <c r="R1784" s="54" t="str">
        <f t="shared" si="224"/>
        <v/>
      </c>
      <c r="S1784" s="53" t="str">
        <f t="shared" si="225"/>
        <v/>
      </c>
    </row>
    <row r="1785" spans="10:19" x14ac:dyDescent="0.15">
      <c r="J1785" s="38">
        <v>1776</v>
      </c>
      <c r="K1785" s="40"/>
      <c r="L1785" s="34">
        <f t="shared" si="219"/>
        <v>8.3197174695246845E-4</v>
      </c>
      <c r="M1785" s="35">
        <f t="shared" si="220"/>
        <v>-1.0654997291614729E-7</v>
      </c>
      <c r="N1785" s="44">
        <f t="shared" si="218"/>
        <v>-5.4397235714049273E-6</v>
      </c>
      <c r="O1785" s="45" t="e">
        <f t="shared" si="221"/>
        <v>#VALUE!</v>
      </c>
      <c r="P1785" s="52" t="str">
        <f t="shared" si="222"/>
        <v/>
      </c>
      <c r="Q1785" s="53" t="str">
        <f t="shared" si="223"/>
        <v/>
      </c>
      <c r="R1785" s="54" t="str">
        <f t="shared" si="224"/>
        <v/>
      </c>
      <c r="S1785" s="53" t="str">
        <f t="shared" si="225"/>
        <v/>
      </c>
    </row>
    <row r="1786" spans="10:19" x14ac:dyDescent="0.15">
      <c r="J1786" s="38">
        <v>1777</v>
      </c>
      <c r="K1786" s="40"/>
      <c r="L1786" s="34">
        <f t="shared" si="219"/>
        <v>8.3186515094614078E-4</v>
      </c>
      <c r="M1786" s="35">
        <f t="shared" si="220"/>
        <v>-1.0664201580928774E-7</v>
      </c>
      <c r="N1786" s="44">
        <f t="shared" si="218"/>
        <v>-5.4441522668892666E-6</v>
      </c>
      <c r="O1786" s="45" t="e">
        <f t="shared" si="221"/>
        <v>#VALUE!</v>
      </c>
      <c r="P1786" s="52" t="str">
        <f t="shared" si="222"/>
        <v/>
      </c>
      <c r="Q1786" s="53" t="str">
        <f t="shared" si="223"/>
        <v/>
      </c>
      <c r="R1786" s="54" t="str">
        <f t="shared" si="224"/>
        <v/>
      </c>
      <c r="S1786" s="53" t="str">
        <f t="shared" si="225"/>
        <v/>
      </c>
    </row>
    <row r="1787" spans="10:19" x14ac:dyDescent="0.15">
      <c r="J1787" s="38">
        <v>1778</v>
      </c>
      <c r="K1787" s="40"/>
      <c r="L1787" s="34">
        <f t="shared" si="219"/>
        <v>8.3175846296865998E-4</v>
      </c>
      <c r="M1787" s="35">
        <f t="shared" si="220"/>
        <v>-1.0673391527195141E-7</v>
      </c>
      <c r="N1787" s="44">
        <f t="shared" si="218"/>
        <v>-5.448574148111127E-6</v>
      </c>
      <c r="O1787" s="45" t="e">
        <f t="shared" si="221"/>
        <v>#VALUE!</v>
      </c>
      <c r="P1787" s="52" t="str">
        <f t="shared" si="222"/>
        <v/>
      </c>
      <c r="Q1787" s="53" t="str">
        <f t="shared" si="223"/>
        <v/>
      </c>
      <c r="R1787" s="54" t="str">
        <f t="shared" si="224"/>
        <v/>
      </c>
      <c r="S1787" s="53" t="str">
        <f t="shared" si="225"/>
        <v/>
      </c>
    </row>
    <row r="1788" spans="10:19" x14ac:dyDescent="0.15">
      <c r="J1788" s="38">
        <v>1779</v>
      </c>
      <c r="K1788" s="40"/>
      <c r="L1788" s="34">
        <f t="shared" si="219"/>
        <v>8.3165168316330759E-4</v>
      </c>
      <c r="M1788" s="35">
        <f t="shared" si="220"/>
        <v>-1.0682567160199397E-7</v>
      </c>
      <c r="N1788" s="44">
        <f t="shared" si="218"/>
        <v>-5.4529892290435976E-6</v>
      </c>
      <c r="O1788" s="45" t="e">
        <f t="shared" si="221"/>
        <v>#VALUE!</v>
      </c>
      <c r="P1788" s="52" t="str">
        <f t="shared" si="222"/>
        <v/>
      </c>
      <c r="Q1788" s="53" t="str">
        <f t="shared" si="223"/>
        <v/>
      </c>
      <c r="R1788" s="54" t="str">
        <f t="shared" si="224"/>
        <v/>
      </c>
      <c r="S1788" s="53" t="str">
        <f t="shared" si="225"/>
        <v/>
      </c>
    </row>
    <row r="1789" spans="10:19" x14ac:dyDescent="0.15">
      <c r="J1789" s="38">
        <v>1780</v>
      </c>
      <c r="K1789" s="40"/>
      <c r="L1789" s="34">
        <f t="shared" si="219"/>
        <v>8.3154481167306798E-4</v>
      </c>
      <c r="M1789" s="35">
        <f t="shared" si="220"/>
        <v>-1.0691728509649825E-7</v>
      </c>
      <c r="N1789" s="44">
        <f t="shared" si="218"/>
        <v>-5.4573975236247478E-6</v>
      </c>
      <c r="O1789" s="45" t="e">
        <f t="shared" si="221"/>
        <v>#VALUE!</v>
      </c>
      <c r="P1789" s="52" t="str">
        <f t="shared" si="222"/>
        <v/>
      </c>
      <c r="Q1789" s="53" t="str">
        <f t="shared" si="223"/>
        <v/>
      </c>
      <c r="R1789" s="54" t="str">
        <f t="shared" si="224"/>
        <v/>
      </c>
      <c r="S1789" s="53" t="str">
        <f t="shared" si="225"/>
        <v/>
      </c>
    </row>
    <row r="1790" spans="10:19" x14ac:dyDescent="0.15">
      <c r="J1790" s="38">
        <v>1781</v>
      </c>
      <c r="K1790" s="40"/>
      <c r="L1790" s="34">
        <f t="shared" si="219"/>
        <v>8.3143784864062769E-4</v>
      </c>
      <c r="M1790" s="35">
        <f t="shared" si="220"/>
        <v>-1.0700875605177676E-7</v>
      </c>
      <c r="N1790" s="44">
        <f t="shared" si="218"/>
        <v>-5.461799045755676E-6</v>
      </c>
      <c r="O1790" s="45" t="e">
        <f t="shared" si="221"/>
        <v>#VALUE!</v>
      </c>
      <c r="P1790" s="52" t="str">
        <f t="shared" si="222"/>
        <v/>
      </c>
      <c r="Q1790" s="53" t="str">
        <f t="shared" si="223"/>
        <v/>
      </c>
      <c r="R1790" s="54" t="str">
        <f t="shared" si="224"/>
        <v/>
      </c>
      <c r="S1790" s="53" t="str">
        <f t="shared" si="225"/>
        <v/>
      </c>
    </row>
    <row r="1791" spans="10:19" x14ac:dyDescent="0.15">
      <c r="J1791" s="38">
        <v>1782</v>
      </c>
      <c r="K1791" s="40"/>
      <c r="L1791" s="34">
        <f t="shared" si="219"/>
        <v>8.3133079420837899E-4</v>
      </c>
      <c r="M1791" s="35">
        <f t="shared" si="220"/>
        <v>-1.07100084763374E-7</v>
      </c>
      <c r="N1791" s="44">
        <f t="shared" si="218"/>
        <v>-5.4661938093037614E-6</v>
      </c>
      <c r="O1791" s="45" t="e">
        <f t="shared" si="221"/>
        <v>#VALUE!</v>
      </c>
      <c r="P1791" s="52" t="str">
        <f t="shared" si="222"/>
        <v/>
      </c>
      <c r="Q1791" s="53" t="str">
        <f t="shared" si="223"/>
        <v/>
      </c>
      <c r="R1791" s="54" t="str">
        <f t="shared" si="224"/>
        <v/>
      </c>
      <c r="S1791" s="53" t="str">
        <f t="shared" si="225"/>
        <v/>
      </c>
    </row>
    <row r="1792" spans="10:19" x14ac:dyDescent="0.15">
      <c r="J1792" s="38">
        <v>1783</v>
      </c>
      <c r="K1792" s="40"/>
      <c r="L1792" s="34">
        <f t="shared" si="219"/>
        <v>8.3122364851841732E-4</v>
      </c>
      <c r="M1792" s="35">
        <f t="shared" si="220"/>
        <v>-1.0719127152606886E-7</v>
      </c>
      <c r="N1792" s="44">
        <f t="shared" si="218"/>
        <v>-5.4705818280988703E-6</v>
      </c>
      <c r="O1792" s="45" t="e">
        <f t="shared" si="221"/>
        <v>#VALUE!</v>
      </c>
      <c r="P1792" s="52" t="str">
        <f t="shared" si="222"/>
        <v/>
      </c>
      <c r="Q1792" s="53" t="str">
        <f t="shared" si="223"/>
        <v/>
      </c>
      <c r="R1792" s="54" t="str">
        <f t="shared" si="224"/>
        <v/>
      </c>
      <c r="S1792" s="53" t="str">
        <f t="shared" si="225"/>
        <v/>
      </c>
    </row>
    <row r="1793" spans="10:19" x14ac:dyDescent="0.15">
      <c r="J1793" s="38">
        <v>1784</v>
      </c>
      <c r="K1793" s="40"/>
      <c r="L1793" s="34">
        <f t="shared" si="219"/>
        <v>8.3111641171254482E-4</v>
      </c>
      <c r="M1793" s="35">
        <f t="shared" si="220"/>
        <v>-1.0728231663387706E-7</v>
      </c>
      <c r="N1793" s="44">
        <f t="shared" si="218"/>
        <v>-5.4749631159367162E-6</v>
      </c>
      <c r="O1793" s="45" t="e">
        <f t="shared" si="221"/>
        <v>#VALUE!</v>
      </c>
      <c r="P1793" s="52" t="str">
        <f t="shared" si="222"/>
        <v/>
      </c>
      <c r="Q1793" s="53" t="str">
        <f t="shared" si="223"/>
        <v/>
      </c>
      <c r="R1793" s="54" t="str">
        <f t="shared" si="224"/>
        <v/>
      </c>
      <c r="S1793" s="53" t="str">
        <f t="shared" si="225"/>
        <v/>
      </c>
    </row>
    <row r="1794" spans="10:19" x14ac:dyDescent="0.15">
      <c r="J1794" s="38">
        <v>1785</v>
      </c>
      <c r="K1794" s="40"/>
      <c r="L1794" s="34">
        <f t="shared" si="219"/>
        <v>8.3100908393227005E-4</v>
      </c>
      <c r="M1794" s="35">
        <f t="shared" si="220"/>
        <v>-1.0737322038005349E-7</v>
      </c>
      <c r="N1794" s="44">
        <f t="shared" si="218"/>
        <v>-5.47933768657821E-6</v>
      </c>
      <c r="O1794" s="45" t="e">
        <f t="shared" si="221"/>
        <v>#VALUE!</v>
      </c>
      <c r="P1794" s="52" t="str">
        <f t="shared" si="222"/>
        <v/>
      </c>
      <c r="Q1794" s="53" t="str">
        <f t="shared" si="223"/>
        <v/>
      </c>
      <c r="R1794" s="54" t="str">
        <f t="shared" si="224"/>
        <v/>
      </c>
      <c r="S1794" s="53" t="str">
        <f t="shared" si="225"/>
        <v/>
      </c>
    </row>
    <row r="1795" spans="10:19" x14ac:dyDescent="0.15">
      <c r="J1795" s="38">
        <v>1786</v>
      </c>
      <c r="K1795" s="40"/>
      <c r="L1795" s="34">
        <f t="shared" si="219"/>
        <v>8.3090166531880785E-4</v>
      </c>
      <c r="M1795" s="35">
        <f t="shared" si="220"/>
        <v>-1.0746398305709449E-7</v>
      </c>
      <c r="N1795" s="44">
        <f t="shared" si="218"/>
        <v>-5.4837055537476165E-6</v>
      </c>
      <c r="O1795" s="45" t="e">
        <f t="shared" si="221"/>
        <v>#VALUE!</v>
      </c>
      <c r="P1795" s="52" t="str">
        <f t="shared" si="222"/>
        <v/>
      </c>
      <c r="Q1795" s="53" t="str">
        <f t="shared" si="223"/>
        <v/>
      </c>
      <c r="R1795" s="54" t="str">
        <f t="shared" si="224"/>
        <v/>
      </c>
      <c r="S1795" s="53" t="str">
        <f t="shared" si="225"/>
        <v/>
      </c>
    </row>
    <row r="1796" spans="10:19" x14ac:dyDescent="0.15">
      <c r="J1796" s="38">
        <v>1787</v>
      </c>
      <c r="K1796" s="40"/>
      <c r="L1796" s="34">
        <f t="shared" si="219"/>
        <v>8.3079415601308184E-4</v>
      </c>
      <c r="M1796" s="35">
        <f t="shared" si="220"/>
        <v>-1.0755460495674034E-7</v>
      </c>
      <c r="N1796" s="44">
        <f t="shared" si="218"/>
        <v>-5.4880667311354818E-6</v>
      </c>
      <c r="O1796" s="45" t="e">
        <f t="shared" si="221"/>
        <v>#VALUE!</v>
      </c>
      <c r="P1796" s="52" t="str">
        <f t="shared" si="222"/>
        <v/>
      </c>
      <c r="Q1796" s="53" t="str">
        <f t="shared" si="223"/>
        <v/>
      </c>
      <c r="R1796" s="54" t="str">
        <f t="shared" si="224"/>
        <v/>
      </c>
      <c r="S1796" s="53" t="str">
        <f t="shared" si="225"/>
        <v/>
      </c>
    </row>
    <row r="1797" spans="10:19" x14ac:dyDescent="0.15">
      <c r="J1797" s="38">
        <v>1788</v>
      </c>
      <c r="K1797" s="40"/>
      <c r="L1797" s="34">
        <f t="shared" si="219"/>
        <v>8.3068655615572322E-4</v>
      </c>
      <c r="M1797" s="35">
        <f t="shared" si="220"/>
        <v>-1.0764508636997751E-7</v>
      </c>
      <c r="N1797" s="44">
        <f t="shared" si="218"/>
        <v>-5.4924212323963564E-6</v>
      </c>
      <c r="O1797" s="45" t="e">
        <f t="shared" si="221"/>
        <v>#VALUE!</v>
      </c>
      <c r="P1797" s="52" t="str">
        <f t="shared" si="222"/>
        <v/>
      </c>
      <c r="Q1797" s="53" t="str">
        <f t="shared" si="223"/>
        <v/>
      </c>
      <c r="R1797" s="54" t="str">
        <f t="shared" si="224"/>
        <v/>
      </c>
      <c r="S1797" s="53" t="str">
        <f t="shared" si="225"/>
        <v/>
      </c>
    </row>
    <row r="1798" spans="10:19" x14ac:dyDescent="0.15">
      <c r="J1798" s="38">
        <v>1789</v>
      </c>
      <c r="K1798" s="40"/>
      <c r="L1798" s="34">
        <f t="shared" si="219"/>
        <v>8.3057886588707374E-4</v>
      </c>
      <c r="M1798" s="35">
        <f t="shared" si="220"/>
        <v>-1.0773542758704102E-7</v>
      </c>
      <c r="N1798" s="44">
        <f t="shared" si="218"/>
        <v>-5.4967690711508555E-6</v>
      </c>
      <c r="O1798" s="45" t="e">
        <f t="shared" si="221"/>
        <v>#VALUE!</v>
      </c>
      <c r="P1798" s="52" t="str">
        <f t="shared" si="222"/>
        <v/>
      </c>
      <c r="Q1798" s="53" t="str">
        <f t="shared" si="223"/>
        <v/>
      </c>
      <c r="R1798" s="54" t="str">
        <f t="shared" si="224"/>
        <v/>
      </c>
      <c r="S1798" s="53" t="str">
        <f t="shared" si="225"/>
        <v/>
      </c>
    </row>
    <row r="1799" spans="10:19" x14ac:dyDescent="0.15">
      <c r="J1799" s="38">
        <v>1790</v>
      </c>
      <c r="K1799" s="40"/>
      <c r="L1799" s="34">
        <f t="shared" si="219"/>
        <v>8.3047108534718478E-4</v>
      </c>
      <c r="M1799" s="35">
        <f t="shared" si="220"/>
        <v>-1.0782562889741681E-7</v>
      </c>
      <c r="N1799" s="44">
        <f t="shared" si="218"/>
        <v>-5.5011102609848995E-6</v>
      </c>
      <c r="O1799" s="45" t="e">
        <f t="shared" si="221"/>
        <v>#VALUE!</v>
      </c>
      <c r="P1799" s="52" t="str">
        <f t="shared" si="222"/>
        <v/>
      </c>
      <c r="Q1799" s="53" t="str">
        <f t="shared" si="223"/>
        <v/>
      </c>
      <c r="R1799" s="54" t="str">
        <f t="shared" si="224"/>
        <v/>
      </c>
      <c r="S1799" s="53" t="str">
        <f t="shared" si="225"/>
        <v/>
      </c>
    </row>
    <row r="1800" spans="10:19" x14ac:dyDescent="0.15">
      <c r="J1800" s="38">
        <v>1791</v>
      </c>
      <c r="K1800" s="40"/>
      <c r="L1800" s="34">
        <f t="shared" si="219"/>
        <v>8.3036321467581812E-4</v>
      </c>
      <c r="M1800" s="35">
        <f t="shared" si="220"/>
        <v>-1.0791569058984393E-7</v>
      </c>
      <c r="N1800" s="44">
        <f t="shared" si="218"/>
        <v>-5.505444815448522E-6</v>
      </c>
      <c r="O1800" s="45" t="e">
        <f t="shared" si="221"/>
        <v>#VALUE!</v>
      </c>
      <c r="P1800" s="52" t="str">
        <f t="shared" si="222"/>
        <v/>
      </c>
      <c r="Q1800" s="53" t="str">
        <f t="shared" si="223"/>
        <v/>
      </c>
      <c r="R1800" s="54" t="str">
        <f t="shared" si="224"/>
        <v/>
      </c>
      <c r="S1800" s="53" t="str">
        <f t="shared" si="225"/>
        <v/>
      </c>
    </row>
    <row r="1801" spans="10:19" x14ac:dyDescent="0.15">
      <c r="J1801" s="38">
        <v>1792</v>
      </c>
      <c r="K1801" s="40"/>
      <c r="L1801" s="34">
        <f t="shared" si="219"/>
        <v>8.3025525401244846E-4</v>
      </c>
      <c r="M1801" s="35">
        <f t="shared" si="220"/>
        <v>-1.0800561295231707E-7</v>
      </c>
      <c r="N1801" s="44">
        <f t="shared" ref="N1801:N1864" si="226">(L1851-L1801)</f>
        <v>-5.5097727480594473E-6</v>
      </c>
      <c r="O1801" s="45" t="e">
        <f t="shared" si="221"/>
        <v>#VALUE!</v>
      </c>
      <c r="P1801" s="52" t="str">
        <f t="shared" si="222"/>
        <v/>
      </c>
      <c r="Q1801" s="53" t="str">
        <f t="shared" si="223"/>
        <v/>
      </c>
      <c r="R1801" s="54" t="str">
        <f t="shared" si="224"/>
        <v/>
      </c>
      <c r="S1801" s="53" t="str">
        <f t="shared" si="225"/>
        <v/>
      </c>
    </row>
    <row r="1802" spans="10:19" x14ac:dyDescent="0.15">
      <c r="J1802" s="38">
        <v>1793</v>
      </c>
      <c r="K1802" s="40"/>
      <c r="L1802" s="34">
        <f t="shared" ref="L1802:L1865" si="227">$F$39*((1-$F$40*J1802)/(1+$F$41*J1802))*(J1802-$F$42)</f>
        <v>8.3014720349626101E-4</v>
      </c>
      <c r="M1802" s="35">
        <f t="shared" ref="M1802:M1865" si="228">$F$39*((1-2*$F$40*J1802-$F$40*$F$41*(J1802^2)+($F$41+$F$40)*$F$42)/(1+$F$41*J1802)^2)</f>
        <v>-1.0809539627208855E-7</v>
      </c>
      <c r="N1802" s="44">
        <f t="shared" si="226"/>
        <v>-5.5140940722983199E-6</v>
      </c>
      <c r="O1802" s="45" t="e">
        <f t="shared" ref="O1802:O1865" si="229">IF(N1802&lt;=$B$49,1+O1801,0)</f>
        <v>#VALUE!</v>
      </c>
      <c r="P1802" s="52" t="str">
        <f t="shared" ref="P1802:P1865" si="230">IF(J1802&lt;=$F$42,J1802,"")</f>
        <v/>
      </c>
      <c r="Q1802" s="53" t="str">
        <f t="shared" ref="Q1802:Q1865" si="231">IF(J1802&lt;=$F$42,L1802,"")</f>
        <v/>
      </c>
      <c r="R1802" s="54" t="str">
        <f t="shared" ref="R1802:R1865" si="232">IF(AND(J1802&gt;=$F$42,J1802&lt;=200),J1802,"")</f>
        <v/>
      </c>
      <c r="S1802" s="53" t="str">
        <f t="shared" ref="S1802:S1865" si="233">IF(AND(J1802&gt;=$F$42,J1802&lt;=200),L1802,"")</f>
        <v/>
      </c>
    </row>
    <row r="1803" spans="10:19" x14ac:dyDescent="0.15">
      <c r="J1803" s="38">
        <v>1794</v>
      </c>
      <c r="K1803" s="40"/>
      <c r="L1803" s="34">
        <f t="shared" si="227"/>
        <v>8.3003906326615628E-4</v>
      </c>
      <c r="M1803" s="35">
        <f t="shared" si="228"/>
        <v>-1.08185040835671E-7</v>
      </c>
      <c r="N1803" s="44">
        <f t="shared" si="226"/>
        <v>-5.518408801614234E-6</v>
      </c>
      <c r="O1803" s="45" t="e">
        <f t="shared" si="229"/>
        <v>#VALUE!</v>
      </c>
      <c r="P1803" s="52" t="str">
        <f t="shared" si="230"/>
        <v/>
      </c>
      <c r="Q1803" s="53" t="str">
        <f t="shared" si="231"/>
        <v/>
      </c>
      <c r="R1803" s="54" t="str">
        <f t="shared" si="232"/>
        <v/>
      </c>
      <c r="S1803" s="53" t="str">
        <f t="shared" si="233"/>
        <v/>
      </c>
    </row>
    <row r="1804" spans="10:19" x14ac:dyDescent="0.15">
      <c r="J1804" s="38">
        <v>1795</v>
      </c>
      <c r="K1804" s="40"/>
      <c r="L1804" s="34">
        <f t="shared" si="227"/>
        <v>8.2993083346074659E-4</v>
      </c>
      <c r="M1804" s="35">
        <f t="shared" si="228"/>
        <v>-1.0827454692883935E-7</v>
      </c>
      <c r="N1804" s="44">
        <f t="shared" si="226"/>
        <v>-5.522716949419638E-6</v>
      </c>
      <c r="O1804" s="45" t="e">
        <f t="shared" si="229"/>
        <v>#VALUE!</v>
      </c>
      <c r="P1804" s="52" t="str">
        <f t="shared" si="230"/>
        <v/>
      </c>
      <c r="Q1804" s="53" t="str">
        <f t="shared" si="231"/>
        <v/>
      </c>
      <c r="R1804" s="54" t="str">
        <f t="shared" si="232"/>
        <v/>
      </c>
      <c r="S1804" s="53" t="str">
        <f t="shared" si="233"/>
        <v/>
      </c>
    </row>
    <row r="1805" spans="10:19" x14ac:dyDescent="0.15">
      <c r="J1805" s="38">
        <v>1796</v>
      </c>
      <c r="K1805" s="40"/>
      <c r="L1805" s="34">
        <f t="shared" si="227"/>
        <v>8.2982251421836019E-4</v>
      </c>
      <c r="M1805" s="35">
        <f t="shared" si="228"/>
        <v>-1.0836391483663314E-7</v>
      </c>
      <c r="N1805" s="44">
        <f t="shared" si="226"/>
        <v>-5.527018529094237E-6</v>
      </c>
      <c r="O1805" s="45" t="e">
        <f t="shared" si="229"/>
        <v>#VALUE!</v>
      </c>
      <c r="P1805" s="52" t="str">
        <f t="shared" si="230"/>
        <v/>
      </c>
      <c r="Q1805" s="53" t="str">
        <f t="shared" si="231"/>
        <v/>
      </c>
      <c r="R1805" s="54" t="str">
        <f t="shared" si="232"/>
        <v/>
      </c>
      <c r="S1805" s="53" t="str">
        <f t="shared" si="233"/>
        <v/>
      </c>
    </row>
    <row r="1806" spans="10:19" x14ac:dyDescent="0.15">
      <c r="J1806" s="38">
        <v>1797</v>
      </c>
      <c r="K1806" s="40"/>
      <c r="L1806" s="34">
        <f t="shared" si="227"/>
        <v>8.2971410567704042E-4</v>
      </c>
      <c r="M1806" s="35">
        <f t="shared" si="228"/>
        <v>-1.0845314484335891E-7</v>
      </c>
      <c r="N1806" s="44">
        <f t="shared" si="226"/>
        <v>-5.5313135539843431E-6</v>
      </c>
      <c r="O1806" s="45" t="e">
        <f t="shared" si="229"/>
        <v>#VALUE!</v>
      </c>
      <c r="P1806" s="52" t="str">
        <f t="shared" si="230"/>
        <v/>
      </c>
      <c r="Q1806" s="53" t="str">
        <f t="shared" si="231"/>
        <v/>
      </c>
      <c r="R1806" s="54" t="str">
        <f t="shared" si="232"/>
        <v/>
      </c>
      <c r="S1806" s="53" t="str">
        <f t="shared" si="233"/>
        <v/>
      </c>
    </row>
    <row r="1807" spans="10:19" x14ac:dyDescent="0.15">
      <c r="J1807" s="38">
        <v>1798</v>
      </c>
      <c r="K1807" s="40"/>
      <c r="L1807" s="34">
        <f t="shared" si="227"/>
        <v>8.29605607974546E-4</v>
      </c>
      <c r="M1807" s="35">
        <f t="shared" si="228"/>
        <v>-1.0854223723259246E-7</v>
      </c>
      <c r="N1807" s="44">
        <f t="shared" si="226"/>
        <v>-5.5356020374004895E-6</v>
      </c>
      <c r="O1807" s="45" t="e">
        <f t="shared" si="229"/>
        <v>#VALUE!</v>
      </c>
      <c r="P1807" s="52" t="str">
        <f t="shared" si="230"/>
        <v/>
      </c>
      <c r="Q1807" s="53" t="str">
        <f t="shared" si="231"/>
        <v/>
      </c>
      <c r="R1807" s="54" t="str">
        <f t="shared" si="232"/>
        <v/>
      </c>
      <c r="S1807" s="53" t="str">
        <f t="shared" si="233"/>
        <v/>
      </c>
    </row>
    <row r="1808" spans="10:19" x14ac:dyDescent="0.15">
      <c r="J1808" s="38">
        <v>1799</v>
      </c>
      <c r="K1808" s="40"/>
      <c r="L1808" s="34">
        <f t="shared" si="227"/>
        <v>8.2949702124835345E-4</v>
      </c>
      <c r="M1808" s="35">
        <f t="shared" si="228"/>
        <v>-1.0863119228718091E-7</v>
      </c>
      <c r="N1808" s="44">
        <f t="shared" si="226"/>
        <v>-5.539883992621117E-6</v>
      </c>
      <c r="O1808" s="45" t="e">
        <f t="shared" si="229"/>
        <v>#VALUE!</v>
      </c>
      <c r="P1808" s="52" t="str">
        <f t="shared" si="230"/>
        <v/>
      </c>
      <c r="Q1808" s="53" t="str">
        <f t="shared" si="231"/>
        <v/>
      </c>
      <c r="R1808" s="54" t="str">
        <f t="shared" si="232"/>
        <v/>
      </c>
      <c r="S1808" s="53" t="str">
        <f t="shared" si="233"/>
        <v/>
      </c>
    </row>
    <row r="1809" spans="10:19" x14ac:dyDescent="0.15">
      <c r="J1809" s="38">
        <v>1800</v>
      </c>
      <c r="K1809" s="75">
        <f>B29</f>
        <v>9.6041910000000004E-4</v>
      </c>
      <c r="L1809" s="34">
        <f t="shared" si="227"/>
        <v>8.2938834563565586E-4</v>
      </c>
      <c r="M1809" s="35">
        <f t="shared" si="228"/>
        <v>-1.0872001028924524E-7</v>
      </c>
      <c r="N1809" s="44">
        <f t="shared" si="226"/>
        <v>-5.5441594328900804E-6</v>
      </c>
      <c r="O1809" s="45" t="e">
        <f t="shared" si="229"/>
        <v>#VALUE!</v>
      </c>
      <c r="P1809" s="52" t="str">
        <f t="shared" si="230"/>
        <v/>
      </c>
      <c r="Q1809" s="53" t="str">
        <f t="shared" si="231"/>
        <v/>
      </c>
      <c r="R1809" s="54" t="str">
        <f t="shared" si="232"/>
        <v/>
      </c>
      <c r="S1809" s="53" t="str">
        <f t="shared" si="233"/>
        <v/>
      </c>
    </row>
    <row r="1810" spans="10:19" x14ac:dyDescent="0.15">
      <c r="J1810" s="38">
        <v>1801</v>
      </c>
      <c r="K1810" s="40"/>
      <c r="L1810" s="34">
        <f t="shared" si="227"/>
        <v>8.292795812733652E-4</v>
      </c>
      <c r="M1810" s="35">
        <f t="shared" si="228"/>
        <v>-1.0880869152018215E-7</v>
      </c>
      <c r="N1810" s="44">
        <f t="shared" si="226"/>
        <v>-5.548428371418058E-6</v>
      </c>
      <c r="O1810" s="45" t="e">
        <f t="shared" si="229"/>
        <v>#VALUE!</v>
      </c>
      <c r="P1810" s="52" t="str">
        <f t="shared" si="230"/>
        <v/>
      </c>
      <c r="Q1810" s="53" t="str">
        <f t="shared" si="231"/>
        <v/>
      </c>
      <c r="R1810" s="54" t="str">
        <f t="shared" si="232"/>
        <v/>
      </c>
      <c r="S1810" s="53" t="str">
        <f t="shared" si="233"/>
        <v/>
      </c>
    </row>
    <row r="1811" spans="10:19" x14ac:dyDescent="0.15">
      <c r="J1811" s="38">
        <v>1802</v>
      </c>
      <c r="K1811" s="40"/>
      <c r="L1811" s="34">
        <f t="shared" si="227"/>
        <v>8.291707282981122E-4</v>
      </c>
      <c r="M1811" s="35">
        <f t="shared" si="228"/>
        <v>-1.0889723626066675E-7</v>
      </c>
      <c r="N1811" s="44">
        <f t="shared" si="226"/>
        <v>-5.5526908213824428E-6</v>
      </c>
      <c r="O1811" s="45" t="e">
        <f t="shared" si="229"/>
        <v>#VALUE!</v>
      </c>
      <c r="P1811" s="52" t="str">
        <f t="shared" si="230"/>
        <v/>
      </c>
      <c r="Q1811" s="53" t="str">
        <f t="shared" si="231"/>
        <v/>
      </c>
      <c r="R1811" s="54" t="str">
        <f t="shared" si="232"/>
        <v/>
      </c>
      <c r="S1811" s="53" t="str">
        <f t="shared" si="233"/>
        <v/>
      </c>
    </row>
    <row r="1812" spans="10:19" x14ac:dyDescent="0.15">
      <c r="J1812" s="38">
        <v>1803</v>
      </c>
      <c r="K1812" s="40"/>
      <c r="L1812" s="34">
        <f t="shared" si="227"/>
        <v>8.2906178684624731E-4</v>
      </c>
      <c r="M1812" s="35">
        <f t="shared" si="228"/>
        <v>-1.0898564479065434E-7</v>
      </c>
      <c r="N1812" s="44">
        <f t="shared" si="226"/>
        <v>-5.5569467959265843E-6</v>
      </c>
      <c r="O1812" s="45" t="e">
        <f t="shared" si="229"/>
        <v>#VALUE!</v>
      </c>
      <c r="P1812" s="52" t="str">
        <f t="shared" si="230"/>
        <v/>
      </c>
      <c r="Q1812" s="53" t="str">
        <f t="shared" si="231"/>
        <v/>
      </c>
      <c r="R1812" s="54" t="str">
        <f t="shared" si="232"/>
        <v/>
      </c>
      <c r="S1812" s="53" t="str">
        <f t="shared" si="233"/>
        <v/>
      </c>
    </row>
    <row r="1813" spans="10:19" x14ac:dyDescent="0.15">
      <c r="J1813" s="38">
        <v>1804</v>
      </c>
      <c r="K1813" s="40"/>
      <c r="L1813" s="34">
        <f t="shared" si="227"/>
        <v>8.2895275705384137E-4</v>
      </c>
      <c r="M1813" s="35">
        <f t="shared" si="228"/>
        <v>-1.0907391738938289E-7</v>
      </c>
      <c r="N1813" s="44">
        <f t="shared" si="226"/>
        <v>-5.5611963081611971E-6</v>
      </c>
      <c r="O1813" s="45" t="e">
        <f t="shared" si="229"/>
        <v>#VALUE!</v>
      </c>
      <c r="P1813" s="52" t="str">
        <f t="shared" si="230"/>
        <v/>
      </c>
      <c r="Q1813" s="53" t="str">
        <f t="shared" si="231"/>
        <v/>
      </c>
      <c r="R1813" s="54" t="str">
        <f t="shared" si="232"/>
        <v/>
      </c>
      <c r="S1813" s="53" t="str">
        <f t="shared" si="233"/>
        <v/>
      </c>
    </row>
    <row r="1814" spans="10:19" x14ac:dyDescent="0.15">
      <c r="J1814" s="38">
        <v>1805</v>
      </c>
      <c r="K1814" s="40"/>
      <c r="L1814" s="34">
        <f t="shared" si="227"/>
        <v>8.2884363905668616E-4</v>
      </c>
      <c r="M1814" s="35">
        <f t="shared" si="228"/>
        <v>-1.0916205433537522E-7</v>
      </c>
      <c r="N1814" s="44">
        <f t="shared" si="226"/>
        <v>-5.5654393711636026E-6</v>
      </c>
      <c r="O1814" s="45" t="e">
        <f t="shared" si="229"/>
        <v>#VALUE!</v>
      </c>
      <c r="P1814" s="52" t="str">
        <f t="shared" si="230"/>
        <v/>
      </c>
      <c r="Q1814" s="53" t="str">
        <f t="shared" si="231"/>
        <v/>
      </c>
      <c r="R1814" s="54" t="str">
        <f t="shared" si="232"/>
        <v/>
      </c>
      <c r="S1814" s="53" t="str">
        <f t="shared" si="233"/>
        <v/>
      </c>
    </row>
    <row r="1815" spans="10:19" x14ac:dyDescent="0.15">
      <c r="J1815" s="38">
        <v>1806</v>
      </c>
      <c r="K1815" s="40"/>
      <c r="L1815" s="34">
        <f t="shared" si="227"/>
        <v>8.2873443299029555E-4</v>
      </c>
      <c r="M1815" s="35">
        <f t="shared" si="228"/>
        <v>-1.0925005590644108E-7</v>
      </c>
      <c r="N1815" s="44">
        <f t="shared" si="226"/>
        <v>-5.5696759979776203E-6</v>
      </c>
      <c r="O1815" s="45" t="e">
        <f t="shared" si="229"/>
        <v>#VALUE!</v>
      </c>
      <c r="P1815" s="52" t="str">
        <f t="shared" si="230"/>
        <v/>
      </c>
      <c r="Q1815" s="53" t="str">
        <f t="shared" si="231"/>
        <v/>
      </c>
      <c r="R1815" s="54" t="str">
        <f t="shared" si="232"/>
        <v/>
      </c>
      <c r="S1815" s="53" t="str">
        <f t="shared" si="233"/>
        <v/>
      </c>
    </row>
    <row r="1816" spans="10:19" x14ac:dyDescent="0.15">
      <c r="J1816" s="38">
        <v>1807</v>
      </c>
      <c r="K1816" s="40"/>
      <c r="L1816" s="34">
        <f t="shared" si="227"/>
        <v>8.2862513898990589E-4</v>
      </c>
      <c r="M1816" s="35">
        <f t="shared" si="228"/>
        <v>-1.0933792237967943E-7</v>
      </c>
      <c r="N1816" s="44">
        <f t="shared" si="226"/>
        <v>-5.5739062016153026E-6</v>
      </c>
      <c r="O1816" s="45" t="e">
        <f t="shared" si="229"/>
        <v>#VALUE!</v>
      </c>
      <c r="P1816" s="52" t="str">
        <f t="shared" si="230"/>
        <v/>
      </c>
      <c r="Q1816" s="53" t="str">
        <f t="shared" si="231"/>
        <v/>
      </c>
      <c r="R1816" s="54" t="str">
        <f t="shared" si="232"/>
        <v/>
      </c>
      <c r="S1816" s="53" t="str">
        <f t="shared" si="233"/>
        <v/>
      </c>
    </row>
    <row r="1817" spans="10:19" x14ac:dyDescent="0.15">
      <c r="J1817" s="38">
        <v>1808</v>
      </c>
      <c r="K1817" s="40"/>
      <c r="L1817" s="34">
        <f t="shared" si="227"/>
        <v>8.2851575719047681E-4</v>
      </c>
      <c r="M1817" s="35">
        <f t="shared" si="228"/>
        <v>-1.0942565403148062E-7</v>
      </c>
      <c r="N1817" s="44">
        <f t="shared" si="226"/>
        <v>-5.5781299950546578E-6</v>
      </c>
      <c r="O1817" s="45" t="e">
        <f t="shared" si="229"/>
        <v>#VALUE!</v>
      </c>
      <c r="P1817" s="52" t="str">
        <f t="shared" si="230"/>
        <v/>
      </c>
      <c r="Q1817" s="53" t="str">
        <f t="shared" si="231"/>
        <v/>
      </c>
      <c r="R1817" s="54" t="str">
        <f t="shared" si="232"/>
        <v/>
      </c>
      <c r="S1817" s="53" t="str">
        <f t="shared" si="233"/>
        <v/>
      </c>
    </row>
    <row r="1818" spans="10:19" x14ac:dyDescent="0.15">
      <c r="J1818" s="38">
        <v>1809</v>
      </c>
      <c r="K1818" s="40"/>
      <c r="L1818" s="34">
        <f t="shared" si="227"/>
        <v>8.284062877266915E-4</v>
      </c>
      <c r="M1818" s="35">
        <f t="shared" si="228"/>
        <v>-1.0951325113752846E-7</v>
      </c>
      <c r="N1818" s="44">
        <f t="shared" si="226"/>
        <v>-5.58234739124106E-6</v>
      </c>
      <c r="O1818" s="45" t="e">
        <f t="shared" si="229"/>
        <v>#VALUE!</v>
      </c>
      <c r="P1818" s="52" t="str">
        <f t="shared" si="230"/>
        <v/>
      </c>
      <c r="Q1818" s="53" t="str">
        <f t="shared" si="231"/>
        <v/>
      </c>
      <c r="R1818" s="54" t="str">
        <f t="shared" si="232"/>
        <v/>
      </c>
      <c r="S1818" s="53" t="str">
        <f t="shared" si="233"/>
        <v/>
      </c>
    </row>
    <row r="1819" spans="10:19" x14ac:dyDescent="0.15">
      <c r="J1819" s="38">
        <v>1810</v>
      </c>
      <c r="K1819" s="40"/>
      <c r="L1819" s="34">
        <f t="shared" si="227"/>
        <v>8.282967307329588E-4</v>
      </c>
      <c r="M1819" s="35">
        <f t="shared" si="228"/>
        <v>-1.0960071397280264E-7</v>
      </c>
      <c r="N1819" s="44">
        <f t="shared" si="226"/>
        <v>-5.586558403088116E-6</v>
      </c>
      <c r="O1819" s="45" t="e">
        <f t="shared" si="229"/>
        <v>#VALUE!</v>
      </c>
      <c r="P1819" s="52" t="str">
        <f t="shared" si="230"/>
        <v/>
      </c>
      <c r="Q1819" s="53" t="str">
        <f t="shared" si="231"/>
        <v/>
      </c>
      <c r="R1819" s="54" t="str">
        <f t="shared" si="232"/>
        <v/>
      </c>
      <c r="S1819" s="53" t="str">
        <f t="shared" si="233"/>
        <v/>
      </c>
    </row>
    <row r="1820" spans="10:19" x14ac:dyDescent="0.15">
      <c r="J1820" s="38">
        <v>1811</v>
      </c>
      <c r="K1820" s="40"/>
      <c r="L1820" s="34">
        <f t="shared" si="227"/>
        <v>8.2818708634341156E-4</v>
      </c>
      <c r="M1820" s="35">
        <f t="shared" si="228"/>
        <v>-1.0968804281158056E-7</v>
      </c>
      <c r="N1820" s="44">
        <f t="shared" si="226"/>
        <v>-5.5907630434757138E-6</v>
      </c>
      <c r="O1820" s="45" t="e">
        <f t="shared" si="229"/>
        <v>#VALUE!</v>
      </c>
      <c r="P1820" s="52" t="str">
        <f t="shared" si="230"/>
        <v/>
      </c>
      <c r="Q1820" s="53" t="str">
        <f t="shared" si="231"/>
        <v/>
      </c>
      <c r="R1820" s="54" t="str">
        <f t="shared" si="232"/>
        <v/>
      </c>
      <c r="S1820" s="53" t="str">
        <f t="shared" si="233"/>
        <v/>
      </c>
    </row>
    <row r="1821" spans="10:19" x14ac:dyDescent="0.15">
      <c r="J1821" s="38">
        <v>1812</v>
      </c>
      <c r="K1821" s="40"/>
      <c r="L1821" s="34">
        <f t="shared" si="227"/>
        <v>8.2807735469190961E-4</v>
      </c>
      <c r="M1821" s="35">
        <f t="shared" si="228"/>
        <v>-1.097752379274397E-7</v>
      </c>
      <c r="N1821" s="44">
        <f t="shared" si="226"/>
        <v>-5.5949613252517577E-6</v>
      </c>
      <c r="O1821" s="45" t="e">
        <f t="shared" si="229"/>
        <v>#VALUE!</v>
      </c>
      <c r="P1821" s="52" t="str">
        <f t="shared" si="230"/>
        <v/>
      </c>
      <c r="Q1821" s="53" t="str">
        <f t="shared" si="231"/>
        <v/>
      </c>
      <c r="R1821" s="54" t="str">
        <f t="shared" si="232"/>
        <v/>
      </c>
      <c r="S1821" s="53" t="str">
        <f t="shared" si="233"/>
        <v/>
      </c>
    </row>
    <row r="1822" spans="10:19" x14ac:dyDescent="0.15">
      <c r="J1822" s="38">
        <v>1813</v>
      </c>
      <c r="K1822" s="40"/>
      <c r="L1822" s="34">
        <f t="shared" si="227"/>
        <v>8.2796753591203999E-4</v>
      </c>
      <c r="M1822" s="35">
        <f t="shared" si="228"/>
        <v>-1.0986229959325966E-7</v>
      </c>
      <c r="N1822" s="44">
        <f t="shared" si="226"/>
        <v>-5.5991532612326015E-6</v>
      </c>
      <c r="O1822" s="45" t="e">
        <f t="shared" si="229"/>
        <v>#VALUE!</v>
      </c>
      <c r="P1822" s="52" t="str">
        <f t="shared" si="230"/>
        <v/>
      </c>
      <c r="Q1822" s="53" t="str">
        <f t="shared" si="231"/>
        <v/>
      </c>
      <c r="R1822" s="54" t="str">
        <f t="shared" si="232"/>
        <v/>
      </c>
      <c r="S1822" s="53" t="str">
        <f t="shared" si="233"/>
        <v/>
      </c>
    </row>
    <row r="1823" spans="10:19" x14ac:dyDescent="0.15">
      <c r="J1823" s="38">
        <v>1814</v>
      </c>
      <c r="K1823" s="40"/>
      <c r="L1823" s="34">
        <f t="shared" si="227"/>
        <v>8.2785763013711576E-4</v>
      </c>
      <c r="M1823" s="35">
        <f t="shared" si="228"/>
        <v>-1.0994922808122442E-7</v>
      </c>
      <c r="N1823" s="44">
        <f t="shared" si="226"/>
        <v>-5.6033388642006635E-6</v>
      </c>
      <c r="O1823" s="45" t="e">
        <f t="shared" si="229"/>
        <v>#VALUE!</v>
      </c>
      <c r="P1823" s="52" t="str">
        <f t="shared" si="230"/>
        <v/>
      </c>
      <c r="Q1823" s="53" t="str">
        <f t="shared" si="231"/>
        <v/>
      </c>
      <c r="R1823" s="54" t="str">
        <f t="shared" si="232"/>
        <v/>
      </c>
      <c r="S1823" s="53" t="str">
        <f t="shared" si="233"/>
        <v/>
      </c>
    </row>
    <row r="1824" spans="10:19" x14ac:dyDescent="0.15">
      <c r="J1824" s="38">
        <v>1815</v>
      </c>
      <c r="K1824" s="40"/>
      <c r="L1824" s="34">
        <f t="shared" si="227"/>
        <v>8.2774763750017959E-4</v>
      </c>
      <c r="M1824" s="35">
        <f t="shared" si="228"/>
        <v>-1.1003602366282431E-7</v>
      </c>
      <c r="N1824" s="44">
        <f t="shared" si="226"/>
        <v>-5.6075181469077877E-6</v>
      </c>
      <c r="O1824" s="45" t="e">
        <f t="shared" si="229"/>
        <v>#VALUE!</v>
      </c>
      <c r="P1824" s="52" t="str">
        <f t="shared" si="230"/>
        <v/>
      </c>
      <c r="Q1824" s="53" t="str">
        <f t="shared" si="231"/>
        <v/>
      </c>
      <c r="R1824" s="54" t="str">
        <f t="shared" si="232"/>
        <v/>
      </c>
      <c r="S1824" s="53" t="str">
        <f t="shared" si="233"/>
        <v/>
      </c>
    </row>
    <row r="1825" spans="10:19" x14ac:dyDescent="0.15">
      <c r="J1825" s="38">
        <v>1816</v>
      </c>
      <c r="K1825" s="40"/>
      <c r="L1825" s="34">
        <f t="shared" si="227"/>
        <v>8.2763755813400211E-4</v>
      </c>
      <c r="M1825" s="35">
        <f t="shared" si="228"/>
        <v>-1.101226866088582E-7</v>
      </c>
      <c r="N1825" s="44">
        <f t="shared" si="226"/>
        <v>-5.6116911220727497E-6</v>
      </c>
      <c r="O1825" s="45" t="e">
        <f t="shared" si="229"/>
        <v>#VALUE!</v>
      </c>
      <c r="P1825" s="52" t="str">
        <f t="shared" si="230"/>
        <v/>
      </c>
      <c r="Q1825" s="53" t="str">
        <f t="shared" si="231"/>
        <v/>
      </c>
      <c r="R1825" s="54" t="str">
        <f t="shared" si="232"/>
        <v/>
      </c>
      <c r="S1825" s="53" t="str">
        <f t="shared" si="233"/>
        <v/>
      </c>
    </row>
    <row r="1826" spans="10:19" x14ac:dyDescent="0.15">
      <c r="J1826" s="38">
        <v>1817</v>
      </c>
      <c r="K1826" s="40"/>
      <c r="L1826" s="34">
        <f t="shared" si="227"/>
        <v>8.2752739217108358E-4</v>
      </c>
      <c r="M1826" s="35">
        <f t="shared" si="228"/>
        <v>-1.1020921718943567E-7</v>
      </c>
      <c r="N1826" s="44">
        <f t="shared" si="226"/>
        <v>-5.6158578023821244E-6</v>
      </c>
      <c r="O1826" s="45" t="e">
        <f t="shared" si="229"/>
        <v>#VALUE!</v>
      </c>
      <c r="P1826" s="52" t="str">
        <f t="shared" si="230"/>
        <v/>
      </c>
      <c r="Q1826" s="53" t="str">
        <f t="shared" si="231"/>
        <v/>
      </c>
      <c r="R1826" s="54" t="str">
        <f t="shared" si="232"/>
        <v/>
      </c>
      <c r="S1826" s="53" t="str">
        <f t="shared" si="233"/>
        <v/>
      </c>
    </row>
    <row r="1827" spans="10:19" x14ac:dyDescent="0.15">
      <c r="J1827" s="38">
        <v>1818</v>
      </c>
      <c r="K1827" s="40"/>
      <c r="L1827" s="34">
        <f t="shared" si="227"/>
        <v>8.2741713974365534E-4</v>
      </c>
      <c r="M1827" s="35">
        <f t="shared" si="228"/>
        <v>-1.10295615673979E-7</v>
      </c>
      <c r="N1827" s="44">
        <f t="shared" si="226"/>
        <v>-5.6200182004922375E-6</v>
      </c>
      <c r="O1827" s="45" t="e">
        <f t="shared" si="229"/>
        <v>#VALUE!</v>
      </c>
      <c r="P1827" s="52" t="str">
        <f t="shared" si="230"/>
        <v/>
      </c>
      <c r="Q1827" s="53" t="str">
        <f t="shared" si="231"/>
        <v/>
      </c>
      <c r="R1827" s="54" t="str">
        <f t="shared" si="232"/>
        <v/>
      </c>
      <c r="S1827" s="53" t="str">
        <f t="shared" si="233"/>
        <v/>
      </c>
    </row>
    <row r="1828" spans="10:19" x14ac:dyDescent="0.15">
      <c r="J1828" s="38">
        <v>1819</v>
      </c>
      <c r="K1828" s="40"/>
      <c r="L1828" s="34">
        <f t="shared" si="227"/>
        <v>8.2730680098367802E-4</v>
      </c>
      <c r="M1828" s="35">
        <f t="shared" si="228"/>
        <v>-1.1038188233122539E-7</v>
      </c>
      <c r="N1828" s="44">
        <f t="shared" si="226"/>
        <v>-5.6241723290251537E-6</v>
      </c>
      <c r="O1828" s="45" t="e">
        <f t="shared" si="229"/>
        <v>#VALUE!</v>
      </c>
      <c r="P1828" s="52" t="str">
        <f t="shared" si="230"/>
        <v/>
      </c>
      <c r="Q1828" s="53" t="str">
        <f t="shared" si="231"/>
        <v/>
      </c>
      <c r="R1828" s="54" t="str">
        <f t="shared" si="232"/>
        <v/>
      </c>
      <c r="S1828" s="53" t="str">
        <f t="shared" si="233"/>
        <v/>
      </c>
    </row>
    <row r="1829" spans="10:19" x14ac:dyDescent="0.15">
      <c r="J1829" s="38">
        <v>1820</v>
      </c>
      <c r="K1829" s="40"/>
      <c r="L1829" s="34">
        <f t="shared" si="227"/>
        <v>8.2719637602284588E-4</v>
      </c>
      <c r="M1829" s="35">
        <f t="shared" si="228"/>
        <v>-1.1046801742922888E-7</v>
      </c>
      <c r="N1829" s="44">
        <f t="shared" si="226"/>
        <v>-5.6283202005739897E-6</v>
      </c>
      <c r="O1829" s="45" t="e">
        <f t="shared" si="229"/>
        <v>#VALUE!</v>
      </c>
      <c r="P1829" s="52" t="str">
        <f t="shared" si="230"/>
        <v/>
      </c>
      <c r="Q1829" s="53" t="str">
        <f t="shared" si="231"/>
        <v/>
      </c>
      <c r="R1829" s="54" t="str">
        <f t="shared" si="232"/>
        <v/>
      </c>
      <c r="S1829" s="53" t="str">
        <f t="shared" si="233"/>
        <v/>
      </c>
    </row>
    <row r="1830" spans="10:19" x14ac:dyDescent="0.15">
      <c r="J1830" s="38">
        <v>1821</v>
      </c>
      <c r="K1830" s="40"/>
      <c r="L1830" s="34">
        <f t="shared" si="227"/>
        <v>8.270858649925835E-4</v>
      </c>
      <c r="M1830" s="35">
        <f t="shared" si="228"/>
        <v>-1.1055402123536271E-7</v>
      </c>
      <c r="N1830" s="44">
        <f t="shared" si="226"/>
        <v>-5.6324618276974931E-6</v>
      </c>
      <c r="O1830" s="45" t="e">
        <f t="shared" si="229"/>
        <v>#VALUE!</v>
      </c>
      <c r="P1830" s="52" t="str">
        <f t="shared" si="230"/>
        <v/>
      </c>
      <c r="Q1830" s="53" t="str">
        <f t="shared" si="231"/>
        <v/>
      </c>
      <c r="R1830" s="54" t="str">
        <f t="shared" si="232"/>
        <v/>
      </c>
      <c r="S1830" s="53" t="str">
        <f t="shared" si="233"/>
        <v/>
      </c>
    </row>
    <row r="1831" spans="10:19" x14ac:dyDescent="0.15">
      <c r="J1831" s="38">
        <v>1822</v>
      </c>
      <c r="K1831" s="40"/>
      <c r="L1831" s="34">
        <f t="shared" si="227"/>
        <v>8.2697526802404998E-4</v>
      </c>
      <c r="M1831" s="35">
        <f t="shared" si="228"/>
        <v>-1.1063989401632103E-7</v>
      </c>
      <c r="N1831" s="44">
        <f t="shared" si="226"/>
        <v>-5.6365972229252461E-6</v>
      </c>
      <c r="O1831" s="45" t="e">
        <f t="shared" si="229"/>
        <v>#VALUE!</v>
      </c>
      <c r="P1831" s="52" t="str">
        <f t="shared" si="230"/>
        <v/>
      </c>
      <c r="Q1831" s="53" t="str">
        <f t="shared" si="231"/>
        <v/>
      </c>
      <c r="R1831" s="54" t="str">
        <f t="shared" si="232"/>
        <v/>
      </c>
      <c r="S1831" s="53" t="str">
        <f t="shared" si="233"/>
        <v/>
      </c>
    </row>
    <row r="1832" spans="10:19" x14ac:dyDescent="0.15">
      <c r="J1832" s="38">
        <v>1823</v>
      </c>
      <c r="K1832" s="40"/>
      <c r="L1832" s="34">
        <f t="shared" si="227"/>
        <v>8.2686458524813746E-4</v>
      </c>
      <c r="M1832" s="35">
        <f t="shared" si="228"/>
        <v>-1.1072563603812132E-7</v>
      </c>
      <c r="N1832" s="44">
        <f t="shared" si="226"/>
        <v>-5.6407263987546304E-6</v>
      </c>
      <c r="O1832" s="45" t="e">
        <f t="shared" si="229"/>
        <v>#VALUE!</v>
      </c>
      <c r="P1832" s="52" t="str">
        <f t="shared" si="230"/>
        <v/>
      </c>
      <c r="Q1832" s="53" t="str">
        <f t="shared" si="231"/>
        <v/>
      </c>
      <c r="R1832" s="54" t="str">
        <f t="shared" si="232"/>
        <v/>
      </c>
      <c r="S1832" s="53" t="str">
        <f t="shared" si="233"/>
        <v/>
      </c>
    </row>
    <row r="1833" spans="10:19" x14ac:dyDescent="0.15">
      <c r="J1833" s="38">
        <v>1824</v>
      </c>
      <c r="K1833" s="40"/>
      <c r="L1833" s="34">
        <f t="shared" si="227"/>
        <v>8.2675381679547181E-4</v>
      </c>
      <c r="M1833" s="35">
        <f t="shared" si="228"/>
        <v>-1.1081124756610614E-7</v>
      </c>
      <c r="N1833" s="44">
        <f t="shared" si="226"/>
        <v>-5.6448493676502847E-6</v>
      </c>
      <c r="O1833" s="45" t="e">
        <f t="shared" si="229"/>
        <v>#VALUE!</v>
      </c>
      <c r="P1833" s="52" t="str">
        <f t="shared" si="230"/>
        <v/>
      </c>
      <c r="Q1833" s="53" t="str">
        <f t="shared" si="231"/>
        <v/>
      </c>
      <c r="R1833" s="54" t="str">
        <f t="shared" si="232"/>
        <v/>
      </c>
      <c r="S1833" s="53" t="str">
        <f t="shared" si="233"/>
        <v/>
      </c>
    </row>
    <row r="1834" spans="10:19" x14ac:dyDescent="0.15">
      <c r="J1834" s="38">
        <v>1825</v>
      </c>
      <c r="K1834" s="40"/>
      <c r="L1834" s="34">
        <f t="shared" si="227"/>
        <v>8.266429627964149E-4</v>
      </c>
      <c r="M1834" s="35">
        <f t="shared" si="228"/>
        <v>-1.1089672886494551E-7</v>
      </c>
      <c r="N1834" s="44">
        <f t="shared" si="226"/>
        <v>-5.6489661420482248E-6</v>
      </c>
      <c r="O1834" s="45" t="e">
        <f t="shared" si="229"/>
        <v>#VALUE!</v>
      </c>
      <c r="P1834" s="52" t="str">
        <f t="shared" si="230"/>
        <v/>
      </c>
      <c r="Q1834" s="53" t="str">
        <f t="shared" si="231"/>
        <v/>
      </c>
      <c r="R1834" s="54" t="str">
        <f t="shared" si="232"/>
        <v/>
      </c>
      <c r="S1834" s="53" t="str">
        <f t="shared" si="233"/>
        <v/>
      </c>
    </row>
    <row r="1835" spans="10:19" x14ac:dyDescent="0.15">
      <c r="J1835" s="38">
        <v>1826</v>
      </c>
      <c r="K1835" s="40"/>
      <c r="L1835" s="34">
        <f t="shared" si="227"/>
        <v>8.2653202338106352E-4</v>
      </c>
      <c r="M1835" s="35">
        <f t="shared" si="228"/>
        <v>-1.1098208019863867E-7</v>
      </c>
      <c r="N1835" s="44">
        <f t="shared" si="226"/>
        <v>-5.6530767343512898E-6</v>
      </c>
      <c r="O1835" s="45" t="e">
        <f t="shared" si="229"/>
        <v>#VALUE!</v>
      </c>
      <c r="P1835" s="52" t="str">
        <f t="shared" si="230"/>
        <v/>
      </c>
      <c r="Q1835" s="53" t="str">
        <f t="shared" si="231"/>
        <v/>
      </c>
      <c r="R1835" s="54" t="str">
        <f t="shared" si="232"/>
        <v/>
      </c>
      <c r="S1835" s="53" t="str">
        <f t="shared" si="233"/>
        <v/>
      </c>
    </row>
    <row r="1836" spans="10:19" x14ac:dyDescent="0.15">
      <c r="J1836" s="38">
        <v>1827</v>
      </c>
      <c r="K1836" s="40"/>
      <c r="L1836" s="34">
        <f t="shared" si="227"/>
        <v>8.2642099867925151E-4</v>
      </c>
      <c r="M1836" s="35">
        <f t="shared" si="228"/>
        <v>-1.1106730183051617E-7</v>
      </c>
      <c r="N1836" s="44">
        <f t="shared" si="226"/>
        <v>-5.657181156932178E-6</v>
      </c>
      <c r="O1836" s="45" t="e">
        <f t="shared" si="229"/>
        <v>#VALUE!</v>
      </c>
      <c r="P1836" s="52" t="str">
        <f t="shared" si="230"/>
        <v/>
      </c>
      <c r="Q1836" s="53" t="str">
        <f t="shared" si="231"/>
        <v/>
      </c>
      <c r="R1836" s="54" t="str">
        <f t="shared" si="232"/>
        <v/>
      </c>
      <c r="S1836" s="53" t="str">
        <f t="shared" si="233"/>
        <v/>
      </c>
    </row>
    <row r="1837" spans="10:19" x14ac:dyDescent="0.15">
      <c r="J1837" s="38">
        <v>1828</v>
      </c>
      <c r="K1837" s="40"/>
      <c r="L1837" s="34">
        <f t="shared" si="227"/>
        <v>8.2630988882054885E-4</v>
      </c>
      <c r="M1837" s="35">
        <f t="shared" si="228"/>
        <v>-1.1115239402324216E-7</v>
      </c>
      <c r="N1837" s="44">
        <f t="shared" si="226"/>
        <v>-5.6612794221323629E-6</v>
      </c>
      <c r="O1837" s="45" t="e">
        <f t="shared" si="229"/>
        <v>#VALUE!</v>
      </c>
      <c r="P1837" s="52" t="str">
        <f t="shared" si="230"/>
        <v/>
      </c>
      <c r="Q1837" s="53" t="str">
        <f t="shared" si="231"/>
        <v/>
      </c>
      <c r="R1837" s="54" t="str">
        <f t="shared" si="232"/>
        <v/>
      </c>
      <c r="S1837" s="53" t="str">
        <f t="shared" si="233"/>
        <v/>
      </c>
    </row>
    <row r="1838" spans="10:19" x14ac:dyDescent="0.15">
      <c r="J1838" s="38">
        <v>1829</v>
      </c>
      <c r="K1838" s="40"/>
      <c r="L1838" s="34">
        <f t="shared" si="227"/>
        <v>8.2619869393426399E-4</v>
      </c>
      <c r="M1838" s="35">
        <f t="shared" si="228"/>
        <v>-1.1123735703881594E-7</v>
      </c>
      <c r="N1838" s="44">
        <f t="shared" si="226"/>
        <v>-5.6653715422627432E-6</v>
      </c>
      <c r="O1838" s="45" t="e">
        <f t="shared" si="229"/>
        <v>#VALUE!</v>
      </c>
      <c r="P1838" s="52" t="str">
        <f t="shared" si="230"/>
        <v/>
      </c>
      <c r="Q1838" s="53" t="str">
        <f t="shared" si="231"/>
        <v/>
      </c>
      <c r="R1838" s="54" t="str">
        <f t="shared" si="232"/>
        <v/>
      </c>
      <c r="S1838" s="53" t="str">
        <f t="shared" si="233"/>
        <v/>
      </c>
    </row>
    <row r="1839" spans="10:19" x14ac:dyDescent="0.15">
      <c r="J1839" s="38">
        <v>1830</v>
      </c>
      <c r="K1839" s="40"/>
      <c r="L1839" s="34">
        <f t="shared" si="227"/>
        <v>8.2608741414944324E-4</v>
      </c>
      <c r="M1839" s="35">
        <f t="shared" si="228"/>
        <v>-1.1132219113857448E-7</v>
      </c>
      <c r="N1839" s="44">
        <f t="shared" si="226"/>
        <v>-5.6694575296035348E-6</v>
      </c>
      <c r="O1839" s="45" t="e">
        <f t="shared" si="229"/>
        <v>#VALUE!</v>
      </c>
      <c r="P1839" s="52" t="str">
        <f t="shared" si="230"/>
        <v/>
      </c>
      <c r="Q1839" s="53" t="str">
        <f t="shared" si="231"/>
        <v/>
      </c>
      <c r="R1839" s="54" t="str">
        <f t="shared" si="232"/>
        <v/>
      </c>
      <c r="S1839" s="53" t="str">
        <f t="shared" si="233"/>
        <v/>
      </c>
    </row>
    <row r="1840" spans="10:19" x14ac:dyDescent="0.15">
      <c r="J1840" s="38">
        <v>1831</v>
      </c>
      <c r="K1840" s="40"/>
      <c r="L1840" s="34">
        <f t="shared" si="227"/>
        <v>8.2597604959487201E-4</v>
      </c>
      <c r="M1840" s="35">
        <f t="shared" si="228"/>
        <v>-1.1140689658319417E-7</v>
      </c>
      <c r="N1840" s="44">
        <f t="shared" si="226"/>
        <v>-5.6735373964035118E-6</v>
      </c>
      <c r="O1840" s="45" t="e">
        <f t="shared" si="229"/>
        <v>#VALUE!</v>
      </c>
      <c r="P1840" s="52" t="str">
        <f t="shared" si="230"/>
        <v/>
      </c>
      <c r="Q1840" s="53" t="str">
        <f t="shared" si="231"/>
        <v/>
      </c>
      <c r="R1840" s="54" t="str">
        <f t="shared" si="232"/>
        <v/>
      </c>
      <c r="S1840" s="53" t="str">
        <f t="shared" si="233"/>
        <v/>
      </c>
    </row>
    <row r="1841" spans="10:19" x14ac:dyDescent="0.15">
      <c r="J1841" s="38">
        <v>1832</v>
      </c>
      <c r="K1841" s="40"/>
      <c r="L1841" s="34">
        <f t="shared" si="227"/>
        <v>8.2586460039907523E-4</v>
      </c>
      <c r="M1841" s="35">
        <f t="shared" si="228"/>
        <v>-1.1149147363269269E-7</v>
      </c>
      <c r="N1841" s="44">
        <f t="shared" si="226"/>
        <v>-5.6776111548817411E-6</v>
      </c>
      <c r="O1841" s="45" t="e">
        <f t="shared" si="229"/>
        <v>#VALUE!</v>
      </c>
      <c r="P1841" s="52" t="str">
        <f t="shared" si="230"/>
        <v/>
      </c>
      <c r="Q1841" s="53" t="str">
        <f t="shared" si="231"/>
        <v/>
      </c>
      <c r="R1841" s="54" t="str">
        <f t="shared" si="232"/>
        <v/>
      </c>
      <c r="S1841" s="53" t="str">
        <f t="shared" si="233"/>
        <v/>
      </c>
    </row>
    <row r="1842" spans="10:19" x14ac:dyDescent="0.15">
      <c r="J1842" s="38">
        <v>1833</v>
      </c>
      <c r="K1842" s="40"/>
      <c r="L1842" s="34">
        <f t="shared" si="227"/>
        <v>8.2575306669031845E-4</v>
      </c>
      <c r="M1842" s="35">
        <f t="shared" si="228"/>
        <v>-1.1157592254643134E-7</v>
      </c>
      <c r="N1842" s="44">
        <f t="shared" si="226"/>
        <v>-5.6816788172263898E-6</v>
      </c>
      <c r="O1842" s="45" t="e">
        <f t="shared" si="229"/>
        <v>#VALUE!</v>
      </c>
      <c r="P1842" s="52" t="str">
        <f t="shared" si="230"/>
        <v/>
      </c>
      <c r="Q1842" s="53" t="str">
        <f t="shared" si="231"/>
        <v/>
      </c>
      <c r="R1842" s="54" t="str">
        <f t="shared" si="232"/>
        <v/>
      </c>
      <c r="S1842" s="53" t="str">
        <f t="shared" si="233"/>
        <v/>
      </c>
    </row>
    <row r="1843" spans="10:19" x14ac:dyDescent="0.15">
      <c r="J1843" s="38">
        <v>1834</v>
      </c>
      <c r="K1843" s="40"/>
      <c r="L1843" s="34">
        <f t="shared" si="227"/>
        <v>8.2564144859660811E-4</v>
      </c>
      <c r="M1843" s="35">
        <f t="shared" si="228"/>
        <v>-1.1166024358311678E-7</v>
      </c>
      <c r="N1843" s="44">
        <f t="shared" si="226"/>
        <v>-5.6857403955954842E-6</v>
      </c>
      <c r="O1843" s="45" t="e">
        <f t="shared" si="229"/>
        <v>#VALUE!</v>
      </c>
      <c r="P1843" s="52" t="str">
        <f t="shared" si="230"/>
        <v/>
      </c>
      <c r="Q1843" s="53" t="str">
        <f t="shared" si="231"/>
        <v/>
      </c>
      <c r="R1843" s="54" t="str">
        <f t="shared" si="232"/>
        <v/>
      </c>
      <c r="S1843" s="53" t="str">
        <f t="shared" si="233"/>
        <v/>
      </c>
    </row>
    <row r="1844" spans="10:19" x14ac:dyDescent="0.15">
      <c r="J1844" s="38">
        <v>1835</v>
      </c>
      <c r="K1844" s="40"/>
      <c r="L1844" s="34">
        <f t="shared" si="227"/>
        <v>8.2552974624569184E-4</v>
      </c>
      <c r="M1844" s="35">
        <f t="shared" si="228"/>
        <v>-1.1174443700080307E-7</v>
      </c>
      <c r="N1844" s="44">
        <f t="shared" si="226"/>
        <v>-5.6897959021165847E-6</v>
      </c>
      <c r="O1844" s="45" t="e">
        <f t="shared" si="229"/>
        <v>#VALUE!</v>
      </c>
      <c r="P1844" s="52" t="str">
        <f t="shared" si="230"/>
        <v/>
      </c>
      <c r="Q1844" s="53" t="str">
        <f t="shared" si="231"/>
        <v/>
      </c>
      <c r="R1844" s="54" t="str">
        <f t="shared" si="232"/>
        <v/>
      </c>
      <c r="S1844" s="53" t="str">
        <f t="shared" si="233"/>
        <v/>
      </c>
    </row>
    <row r="1845" spans="10:19" x14ac:dyDescent="0.15">
      <c r="J1845" s="38">
        <v>1836</v>
      </c>
      <c r="K1845" s="40"/>
      <c r="L1845" s="34">
        <f t="shared" si="227"/>
        <v>8.2541795976506023E-4</v>
      </c>
      <c r="M1845" s="35">
        <f t="shared" si="228"/>
        <v>-1.1182850305689376E-7</v>
      </c>
      <c r="N1845" s="44">
        <f t="shared" si="226"/>
        <v>-5.6938453488870021E-6</v>
      </c>
      <c r="O1845" s="45" t="e">
        <f t="shared" si="229"/>
        <v>#VALUE!</v>
      </c>
      <c r="P1845" s="52" t="str">
        <f t="shared" si="230"/>
        <v/>
      </c>
      <c r="Q1845" s="53" t="str">
        <f t="shared" si="231"/>
        <v/>
      </c>
      <c r="R1845" s="54" t="str">
        <f t="shared" si="232"/>
        <v/>
      </c>
      <c r="S1845" s="53" t="str">
        <f t="shared" si="233"/>
        <v/>
      </c>
    </row>
    <row r="1846" spans="10:19" x14ac:dyDescent="0.15">
      <c r="J1846" s="38">
        <v>1837</v>
      </c>
      <c r="K1846" s="40"/>
      <c r="L1846" s="34">
        <f t="shared" si="227"/>
        <v>8.2530608928194635E-4</v>
      </c>
      <c r="M1846" s="35">
        <f t="shared" si="228"/>
        <v>-1.119124420081436E-7</v>
      </c>
      <c r="N1846" s="44">
        <f t="shared" si="226"/>
        <v>-5.6978887479741235E-6</v>
      </c>
      <c r="O1846" s="45" t="e">
        <f t="shared" si="229"/>
        <v>#VALUE!</v>
      </c>
      <c r="P1846" s="52" t="str">
        <f t="shared" si="230"/>
        <v/>
      </c>
      <c r="Q1846" s="53" t="str">
        <f t="shared" si="231"/>
        <v/>
      </c>
      <c r="R1846" s="54" t="str">
        <f t="shared" si="232"/>
        <v/>
      </c>
      <c r="S1846" s="53" t="str">
        <f t="shared" si="233"/>
        <v/>
      </c>
    </row>
    <row r="1847" spans="10:19" x14ac:dyDescent="0.15">
      <c r="J1847" s="38">
        <v>1838</v>
      </c>
      <c r="K1847" s="40"/>
      <c r="L1847" s="34">
        <f t="shared" si="227"/>
        <v>8.2519413492332687E-4</v>
      </c>
      <c r="M1847" s="35">
        <f t="shared" si="228"/>
        <v>-1.1199625411066085E-7</v>
      </c>
      <c r="N1847" s="44">
        <f t="shared" si="226"/>
        <v>-5.7019261114150867E-6</v>
      </c>
      <c r="O1847" s="45" t="e">
        <f t="shared" si="229"/>
        <v>#VALUE!</v>
      </c>
      <c r="P1847" s="52" t="str">
        <f t="shared" si="230"/>
        <v/>
      </c>
      <c r="Q1847" s="53" t="str">
        <f t="shared" si="231"/>
        <v/>
      </c>
      <c r="R1847" s="54" t="str">
        <f t="shared" si="232"/>
        <v/>
      </c>
      <c r="S1847" s="53" t="str">
        <f t="shared" si="233"/>
        <v/>
      </c>
    </row>
    <row r="1848" spans="10:19" x14ac:dyDescent="0.15">
      <c r="J1848" s="38">
        <v>1839</v>
      </c>
      <c r="K1848" s="40"/>
      <c r="L1848" s="34">
        <f t="shared" si="227"/>
        <v>8.2508209681592289E-4</v>
      </c>
      <c r="M1848" s="35">
        <f t="shared" si="228"/>
        <v>-1.1207993961990879E-7</v>
      </c>
      <c r="N1848" s="44">
        <f t="shared" si="226"/>
        <v>-5.7059574512173224E-6</v>
      </c>
      <c r="O1848" s="45" t="e">
        <f t="shared" si="229"/>
        <v>#VALUE!</v>
      </c>
      <c r="P1848" s="52" t="str">
        <f t="shared" si="230"/>
        <v/>
      </c>
      <c r="Q1848" s="53" t="str">
        <f t="shared" si="231"/>
        <v/>
      </c>
      <c r="R1848" s="54" t="str">
        <f t="shared" si="232"/>
        <v/>
      </c>
      <c r="S1848" s="53" t="str">
        <f t="shared" si="233"/>
        <v/>
      </c>
    </row>
    <row r="1849" spans="10:19" x14ac:dyDescent="0.15">
      <c r="J1849" s="38">
        <v>1840</v>
      </c>
      <c r="K1849" s="40"/>
      <c r="L1849" s="34">
        <f t="shared" si="227"/>
        <v>8.2496997508619988E-4</v>
      </c>
      <c r="M1849" s="35">
        <f t="shared" si="228"/>
        <v>-1.1216349879070822E-7</v>
      </c>
      <c r="N1849" s="44">
        <f t="shared" si="226"/>
        <v>-5.7099827793582287E-6</v>
      </c>
      <c r="O1849" s="45" t="e">
        <f t="shared" si="229"/>
        <v>#VALUE!</v>
      </c>
      <c r="P1849" s="52" t="str">
        <f t="shared" si="230"/>
        <v/>
      </c>
      <c r="Q1849" s="53" t="str">
        <f t="shared" si="231"/>
        <v/>
      </c>
      <c r="R1849" s="54" t="str">
        <f t="shared" si="232"/>
        <v/>
      </c>
      <c r="S1849" s="53" t="str">
        <f t="shared" si="233"/>
        <v/>
      </c>
    </row>
    <row r="1850" spans="10:19" x14ac:dyDescent="0.15">
      <c r="J1850" s="38">
        <v>1841</v>
      </c>
      <c r="K1850" s="40"/>
      <c r="L1850" s="34">
        <f t="shared" si="227"/>
        <v>8.2485776986036959E-4</v>
      </c>
      <c r="M1850" s="35">
        <f t="shared" si="228"/>
        <v>-1.122469318772389E-7</v>
      </c>
      <c r="N1850" s="44">
        <f t="shared" si="226"/>
        <v>-5.7140021077857137E-6</v>
      </c>
      <c r="O1850" s="45" t="e">
        <f t="shared" si="229"/>
        <v>#VALUE!</v>
      </c>
      <c r="P1850" s="52" t="str">
        <f t="shared" si="230"/>
        <v/>
      </c>
      <c r="Q1850" s="53" t="str">
        <f t="shared" si="231"/>
        <v/>
      </c>
      <c r="R1850" s="54" t="str">
        <f t="shared" si="232"/>
        <v/>
      </c>
      <c r="S1850" s="53" t="str">
        <f t="shared" si="233"/>
        <v/>
      </c>
    </row>
    <row r="1851" spans="10:19" x14ac:dyDescent="0.15">
      <c r="J1851" s="38">
        <v>1842</v>
      </c>
      <c r="K1851" s="40"/>
      <c r="L1851" s="34">
        <f t="shared" si="227"/>
        <v>8.2474548126438901E-4</v>
      </c>
      <c r="M1851" s="35">
        <f t="shared" si="228"/>
        <v>-1.1233023913304169E-7</v>
      </c>
      <c r="N1851" s="44">
        <f t="shared" si="226"/>
        <v>-5.7180154484173275E-6</v>
      </c>
      <c r="O1851" s="45" t="e">
        <f t="shared" si="229"/>
        <v>#VALUE!</v>
      </c>
      <c r="P1851" s="52" t="str">
        <f t="shared" si="230"/>
        <v/>
      </c>
      <c r="Q1851" s="53" t="str">
        <f t="shared" si="231"/>
        <v/>
      </c>
      <c r="R1851" s="54" t="str">
        <f t="shared" si="232"/>
        <v/>
      </c>
      <c r="S1851" s="53" t="str">
        <f t="shared" si="233"/>
        <v/>
      </c>
    </row>
    <row r="1852" spans="10:19" x14ac:dyDescent="0.15">
      <c r="J1852" s="38">
        <v>1843</v>
      </c>
      <c r="K1852" s="40"/>
      <c r="L1852" s="34">
        <f t="shared" si="227"/>
        <v>8.2463310942396269E-4</v>
      </c>
      <c r="M1852" s="35">
        <f t="shared" si="228"/>
        <v>-1.1241342081102055E-7</v>
      </c>
      <c r="N1852" s="44">
        <f t="shared" si="226"/>
        <v>-5.7220228131418891E-6</v>
      </c>
      <c r="O1852" s="45" t="e">
        <f t="shared" si="229"/>
        <v>#VALUE!</v>
      </c>
      <c r="P1852" s="52" t="str">
        <f t="shared" si="230"/>
        <v/>
      </c>
      <c r="Q1852" s="53" t="str">
        <f t="shared" si="231"/>
        <v/>
      </c>
      <c r="R1852" s="54" t="str">
        <f t="shared" si="232"/>
        <v/>
      </c>
      <c r="S1852" s="53" t="str">
        <f t="shared" si="233"/>
        <v/>
      </c>
    </row>
    <row r="1853" spans="10:19" x14ac:dyDescent="0.15">
      <c r="J1853" s="38">
        <v>1844</v>
      </c>
      <c r="K1853" s="40"/>
      <c r="L1853" s="34">
        <f t="shared" si="227"/>
        <v>8.2452065446454205E-4</v>
      </c>
      <c r="M1853" s="35">
        <f t="shared" si="228"/>
        <v>-1.1249647716344434E-7</v>
      </c>
      <c r="N1853" s="44">
        <f t="shared" si="226"/>
        <v>-5.7260242138184019E-6</v>
      </c>
      <c r="O1853" s="45" t="e">
        <f t="shared" si="229"/>
        <v>#VALUE!</v>
      </c>
      <c r="P1853" s="52" t="str">
        <f t="shared" si="230"/>
        <v/>
      </c>
      <c r="Q1853" s="53" t="str">
        <f t="shared" si="231"/>
        <v/>
      </c>
      <c r="R1853" s="54" t="str">
        <f t="shared" si="232"/>
        <v/>
      </c>
      <c r="S1853" s="53" t="str">
        <f t="shared" si="233"/>
        <v/>
      </c>
    </row>
    <row r="1854" spans="10:19" x14ac:dyDescent="0.15">
      <c r="J1854" s="38">
        <v>1845</v>
      </c>
      <c r="K1854" s="40"/>
      <c r="L1854" s="34">
        <f t="shared" si="227"/>
        <v>8.2440811651132695E-4</v>
      </c>
      <c r="M1854" s="35">
        <f t="shared" si="228"/>
        <v>-1.1257940844194875E-7</v>
      </c>
      <c r="N1854" s="44">
        <f t="shared" si="226"/>
        <v>-5.7300196622764874E-6</v>
      </c>
      <c r="O1854" s="45" t="e">
        <f t="shared" si="229"/>
        <v>#VALUE!</v>
      </c>
      <c r="P1854" s="52" t="str">
        <f t="shared" si="230"/>
        <v/>
      </c>
      <c r="Q1854" s="53" t="str">
        <f t="shared" si="231"/>
        <v/>
      </c>
      <c r="R1854" s="54" t="str">
        <f t="shared" si="232"/>
        <v/>
      </c>
      <c r="S1854" s="53" t="str">
        <f t="shared" si="233"/>
        <v/>
      </c>
    </row>
    <row r="1855" spans="10:19" x14ac:dyDescent="0.15">
      <c r="J1855" s="38">
        <v>1846</v>
      </c>
      <c r="K1855" s="40"/>
      <c r="L1855" s="34">
        <f t="shared" si="227"/>
        <v>8.2429549568926595E-4</v>
      </c>
      <c r="M1855" s="35">
        <f t="shared" si="228"/>
        <v>-1.1266221489753827E-7</v>
      </c>
      <c r="N1855" s="44">
        <f t="shared" si="226"/>
        <v>-5.7340091703163851E-6</v>
      </c>
      <c r="O1855" s="45" t="e">
        <f t="shared" si="229"/>
        <v>#VALUE!</v>
      </c>
      <c r="P1855" s="52" t="str">
        <f t="shared" si="230"/>
        <v/>
      </c>
      <c r="Q1855" s="53" t="str">
        <f t="shared" si="231"/>
        <v/>
      </c>
      <c r="R1855" s="54" t="str">
        <f t="shared" si="232"/>
        <v/>
      </c>
      <c r="S1855" s="53" t="str">
        <f t="shared" si="233"/>
        <v/>
      </c>
    </row>
    <row r="1856" spans="10:19" x14ac:dyDescent="0.15">
      <c r="J1856" s="38">
        <v>1847</v>
      </c>
      <c r="K1856" s="40"/>
      <c r="L1856" s="34">
        <f t="shared" si="227"/>
        <v>8.2418279212305608E-4</v>
      </c>
      <c r="M1856" s="35">
        <f t="shared" si="228"/>
        <v>-1.1274489678058797E-7</v>
      </c>
      <c r="N1856" s="44">
        <f t="shared" si="226"/>
        <v>-5.7379927497085191E-6</v>
      </c>
      <c r="O1856" s="45" t="e">
        <f t="shared" si="229"/>
        <v>#VALUE!</v>
      </c>
      <c r="P1856" s="52" t="str">
        <f t="shared" si="230"/>
        <v/>
      </c>
      <c r="Q1856" s="53" t="str">
        <f t="shared" si="231"/>
        <v/>
      </c>
      <c r="R1856" s="54" t="str">
        <f t="shared" si="232"/>
        <v/>
      </c>
      <c r="S1856" s="53" t="str">
        <f t="shared" si="233"/>
        <v/>
      </c>
    </row>
    <row r="1857" spans="10:19" x14ac:dyDescent="0.15">
      <c r="J1857" s="38">
        <v>1848</v>
      </c>
      <c r="K1857" s="40"/>
      <c r="L1857" s="34">
        <f t="shared" si="227"/>
        <v>8.2407000593714551E-4</v>
      </c>
      <c r="M1857" s="35">
        <f t="shared" si="228"/>
        <v>-1.1282745434084556E-7</v>
      </c>
      <c r="N1857" s="44">
        <f t="shared" si="226"/>
        <v>-5.7419704121956664E-6</v>
      </c>
      <c r="O1857" s="45" t="e">
        <f t="shared" si="229"/>
        <v>#VALUE!</v>
      </c>
      <c r="P1857" s="52" t="str">
        <f t="shared" si="230"/>
        <v/>
      </c>
      <c r="Q1857" s="53" t="str">
        <f t="shared" si="231"/>
        <v/>
      </c>
      <c r="R1857" s="54" t="str">
        <f t="shared" si="232"/>
        <v/>
      </c>
      <c r="S1857" s="53" t="str">
        <f t="shared" si="233"/>
        <v/>
      </c>
    </row>
    <row r="1858" spans="10:19" x14ac:dyDescent="0.15">
      <c r="J1858" s="38">
        <v>1849</v>
      </c>
      <c r="K1858" s="40"/>
      <c r="L1858" s="34">
        <f t="shared" si="227"/>
        <v>8.2395713725573233E-4</v>
      </c>
      <c r="M1858" s="35">
        <f t="shared" si="228"/>
        <v>-1.1290988782743314E-7</v>
      </c>
      <c r="N1858" s="44">
        <f t="shared" si="226"/>
        <v>-5.745942169490246E-6</v>
      </c>
      <c r="O1858" s="45" t="e">
        <f t="shared" si="229"/>
        <v>#VALUE!</v>
      </c>
      <c r="P1858" s="52" t="str">
        <f t="shared" si="230"/>
        <v/>
      </c>
      <c r="Q1858" s="53" t="str">
        <f t="shared" si="231"/>
        <v/>
      </c>
      <c r="R1858" s="54" t="str">
        <f t="shared" si="232"/>
        <v/>
      </c>
      <c r="S1858" s="53" t="str">
        <f t="shared" si="233"/>
        <v/>
      </c>
    </row>
    <row r="1859" spans="10:19" x14ac:dyDescent="0.15">
      <c r="J1859" s="38">
        <v>1850</v>
      </c>
      <c r="K1859" s="40"/>
      <c r="L1859" s="34">
        <f t="shared" si="227"/>
        <v>8.2384418620276578E-4</v>
      </c>
      <c r="M1859" s="35">
        <f t="shared" si="228"/>
        <v>-1.1299219748884913E-7</v>
      </c>
      <c r="N1859" s="44">
        <f t="shared" si="226"/>
        <v>-5.7499080332760544E-6</v>
      </c>
      <c r="O1859" s="45" t="e">
        <f t="shared" si="229"/>
        <v>#VALUE!</v>
      </c>
      <c r="P1859" s="52" t="str">
        <f t="shared" si="230"/>
        <v/>
      </c>
      <c r="Q1859" s="53" t="str">
        <f t="shared" si="231"/>
        <v/>
      </c>
      <c r="R1859" s="54" t="str">
        <f t="shared" si="232"/>
        <v/>
      </c>
      <c r="S1859" s="53" t="str">
        <f t="shared" si="233"/>
        <v/>
      </c>
    </row>
    <row r="1860" spans="10:19" x14ac:dyDescent="0.15">
      <c r="J1860" s="38">
        <v>1851</v>
      </c>
      <c r="K1860" s="40"/>
      <c r="L1860" s="34">
        <f t="shared" si="227"/>
        <v>8.2373115290194714E-4</v>
      </c>
      <c r="M1860" s="35">
        <f t="shared" si="228"/>
        <v>-1.1307438357297009E-7</v>
      </c>
      <c r="N1860" s="44">
        <f t="shared" si="226"/>
        <v>-5.7538680152083733E-6</v>
      </c>
      <c r="O1860" s="45" t="e">
        <f t="shared" si="229"/>
        <v>#VALUE!</v>
      </c>
      <c r="P1860" s="52" t="str">
        <f t="shared" si="230"/>
        <v/>
      </c>
      <c r="Q1860" s="53" t="str">
        <f t="shared" si="231"/>
        <v/>
      </c>
      <c r="R1860" s="54" t="str">
        <f t="shared" si="232"/>
        <v/>
      </c>
      <c r="S1860" s="53" t="str">
        <f t="shared" si="233"/>
        <v/>
      </c>
    </row>
    <row r="1861" spans="10:19" x14ac:dyDescent="0.15">
      <c r="J1861" s="38">
        <v>1852</v>
      </c>
      <c r="K1861" s="40"/>
      <c r="L1861" s="34">
        <f t="shared" si="227"/>
        <v>8.2361803747672976E-4</v>
      </c>
      <c r="M1861" s="35">
        <f t="shared" si="228"/>
        <v>-1.1315644632705274E-7</v>
      </c>
      <c r="N1861" s="44">
        <f t="shared" si="226"/>
        <v>-5.7578221269126689E-6</v>
      </c>
      <c r="O1861" s="45" t="e">
        <f t="shared" si="229"/>
        <v>#VALUE!</v>
      </c>
      <c r="P1861" s="52" t="str">
        <f t="shared" si="230"/>
        <v/>
      </c>
      <c r="Q1861" s="53" t="str">
        <f t="shared" si="231"/>
        <v/>
      </c>
      <c r="R1861" s="54" t="str">
        <f t="shared" si="232"/>
        <v/>
      </c>
      <c r="S1861" s="53" t="str">
        <f t="shared" si="233"/>
        <v/>
      </c>
    </row>
    <row r="1862" spans="10:19" x14ac:dyDescent="0.15">
      <c r="J1862" s="38">
        <v>1853</v>
      </c>
      <c r="K1862" s="40"/>
      <c r="L1862" s="34">
        <f t="shared" si="227"/>
        <v>8.2350484005032072E-4</v>
      </c>
      <c r="M1862" s="35">
        <f t="shared" si="228"/>
        <v>-1.1323838599773559E-7</v>
      </c>
      <c r="N1862" s="44">
        <f t="shared" si="226"/>
        <v>-5.7617703799870855E-6</v>
      </c>
      <c r="O1862" s="45" t="e">
        <f t="shared" si="229"/>
        <v>#VALUE!</v>
      </c>
      <c r="P1862" s="52" t="str">
        <f t="shared" si="230"/>
        <v/>
      </c>
      <c r="Q1862" s="53" t="str">
        <f t="shared" si="231"/>
        <v/>
      </c>
      <c r="R1862" s="54" t="str">
        <f t="shared" si="232"/>
        <v/>
      </c>
      <c r="S1862" s="53" t="str">
        <f t="shared" si="233"/>
        <v/>
      </c>
    </row>
    <row r="1863" spans="10:19" x14ac:dyDescent="0.15">
      <c r="J1863" s="38">
        <v>1854</v>
      </c>
      <c r="K1863" s="40"/>
      <c r="L1863" s="34">
        <f t="shared" si="227"/>
        <v>8.2339156074568017E-4</v>
      </c>
      <c r="M1863" s="35">
        <f t="shared" si="228"/>
        <v>-1.1332020283104103E-7</v>
      </c>
      <c r="N1863" s="44">
        <f t="shared" si="226"/>
        <v>-5.7657127860003855E-6</v>
      </c>
      <c r="O1863" s="45" t="e">
        <f t="shared" si="229"/>
        <v>#VALUE!</v>
      </c>
      <c r="P1863" s="52" t="str">
        <f t="shared" si="230"/>
        <v/>
      </c>
      <c r="Q1863" s="53" t="str">
        <f t="shared" si="231"/>
        <v/>
      </c>
      <c r="R1863" s="54" t="str">
        <f t="shared" si="232"/>
        <v/>
      </c>
      <c r="S1863" s="53" t="str">
        <f t="shared" si="233"/>
        <v/>
      </c>
    </row>
    <row r="1864" spans="10:19" x14ac:dyDescent="0.15">
      <c r="J1864" s="38">
        <v>1855</v>
      </c>
      <c r="K1864" s="40"/>
      <c r="L1864" s="34">
        <f t="shared" si="227"/>
        <v>8.2327819968552255E-4</v>
      </c>
      <c r="M1864" s="35">
        <f t="shared" si="228"/>
        <v>-1.1340189707237698E-7</v>
      </c>
      <c r="N1864" s="44">
        <f t="shared" si="226"/>
        <v>-5.7696493564923833E-6</v>
      </c>
      <c r="O1864" s="45" t="e">
        <f t="shared" si="229"/>
        <v>#VALUE!</v>
      </c>
      <c r="P1864" s="52" t="str">
        <f t="shared" si="230"/>
        <v/>
      </c>
      <c r="Q1864" s="53" t="str">
        <f t="shared" si="231"/>
        <v/>
      </c>
      <c r="R1864" s="54" t="str">
        <f t="shared" si="232"/>
        <v/>
      </c>
      <c r="S1864" s="53" t="str">
        <f t="shared" si="233"/>
        <v/>
      </c>
    </row>
    <row r="1865" spans="10:19" x14ac:dyDescent="0.15">
      <c r="J1865" s="38">
        <v>1856</v>
      </c>
      <c r="K1865" s="40"/>
      <c r="L1865" s="34">
        <f t="shared" si="227"/>
        <v>8.2316475699231793E-4</v>
      </c>
      <c r="M1865" s="35">
        <f t="shared" si="228"/>
        <v>-1.134834689665388E-7</v>
      </c>
      <c r="N1865" s="44">
        <f t="shared" ref="N1865:N1928" si="234">(L1915-L1865)</f>
        <v>-5.7735801029758964E-6</v>
      </c>
      <c r="O1865" s="45" t="e">
        <f t="shared" si="229"/>
        <v>#VALUE!</v>
      </c>
      <c r="P1865" s="52" t="str">
        <f t="shared" si="230"/>
        <v/>
      </c>
      <c r="Q1865" s="53" t="str">
        <f t="shared" si="231"/>
        <v/>
      </c>
      <c r="R1865" s="54" t="str">
        <f t="shared" si="232"/>
        <v/>
      </c>
      <c r="S1865" s="53" t="str">
        <f t="shared" si="233"/>
        <v/>
      </c>
    </row>
    <row r="1866" spans="10:19" x14ac:dyDescent="0.15">
      <c r="J1866" s="38">
        <v>1857</v>
      </c>
      <c r="K1866" s="40"/>
      <c r="L1866" s="34">
        <f t="shared" ref="L1866:L1929" si="235">$F$39*((1-$F$40*J1866)/(1+$F$41*J1866))*(J1866-$F$42)</f>
        <v>8.2305123278829059E-4</v>
      </c>
      <c r="M1866" s="35">
        <f t="shared" ref="M1866:M1929" si="236">$F$39*((1-2*$F$40*J1866-$F$40*$F$41*(J1866^2)+($F$41+$F$40)*$F$42)/(1+$F$41*J1866)^2)</f>
        <v>-1.1356491875771121E-7</v>
      </c>
      <c r="N1866" s="44">
        <f t="shared" si="234"/>
        <v>-5.7775050369328427E-6</v>
      </c>
      <c r="O1866" s="45" t="e">
        <f t="shared" ref="O1866:O1929" si="237">IF(N1866&lt;=$B$49,1+O1865,0)</f>
        <v>#VALUE!</v>
      </c>
      <c r="P1866" s="52" t="str">
        <f t="shared" ref="P1866:P1929" si="238">IF(J1866&lt;=$F$42,J1866,"")</f>
        <v/>
      </c>
      <c r="Q1866" s="53" t="str">
        <f t="shared" ref="Q1866:Q1929" si="239">IF(J1866&lt;=$F$42,L1866,"")</f>
        <v/>
      </c>
      <c r="R1866" s="54" t="str">
        <f t="shared" ref="R1866:R1929" si="240">IF(AND(J1866&gt;=$F$42,J1866&lt;=200),J1866,"")</f>
        <v/>
      </c>
      <c r="S1866" s="53" t="str">
        <f t="shared" ref="S1866:S1929" si="241">IF(AND(J1866&gt;=$F$42,J1866&lt;=200),L1866,"")</f>
        <v/>
      </c>
    </row>
    <row r="1867" spans="10:19" x14ac:dyDescent="0.15">
      <c r="J1867" s="38">
        <v>1858</v>
      </c>
      <c r="K1867" s="40"/>
      <c r="L1867" s="34">
        <f t="shared" si="235"/>
        <v>8.2293762719542216E-4</v>
      </c>
      <c r="M1867" s="35">
        <f t="shared" si="236"/>
        <v>-1.1364624668947E-7</v>
      </c>
      <c r="N1867" s="44">
        <f t="shared" si="234"/>
        <v>-5.7814241698198781E-6</v>
      </c>
      <c r="O1867" s="45" t="e">
        <f t="shared" si="237"/>
        <v>#VALUE!</v>
      </c>
      <c r="P1867" s="52" t="str">
        <f t="shared" si="238"/>
        <v/>
      </c>
      <c r="Q1867" s="53" t="str">
        <f t="shared" si="239"/>
        <v/>
      </c>
      <c r="R1867" s="54" t="str">
        <f t="shared" si="240"/>
        <v/>
      </c>
      <c r="S1867" s="53" t="str">
        <f t="shared" si="241"/>
        <v/>
      </c>
    </row>
    <row r="1868" spans="10:19" x14ac:dyDescent="0.15">
      <c r="J1868" s="38">
        <v>1859</v>
      </c>
      <c r="K1868" s="40"/>
      <c r="L1868" s="34">
        <f t="shared" si="235"/>
        <v>8.2282394033545043E-4</v>
      </c>
      <c r="M1868" s="35">
        <f t="shared" si="236"/>
        <v>-1.1372745300478395E-7</v>
      </c>
      <c r="N1868" s="44">
        <f t="shared" si="234"/>
        <v>-5.7853375130633008E-6</v>
      </c>
      <c r="O1868" s="45" t="e">
        <f t="shared" si="237"/>
        <v>#VALUE!</v>
      </c>
      <c r="P1868" s="52" t="str">
        <f t="shared" si="238"/>
        <v/>
      </c>
      <c r="Q1868" s="53" t="str">
        <f t="shared" si="239"/>
        <v/>
      </c>
      <c r="R1868" s="54" t="str">
        <f t="shared" si="240"/>
        <v/>
      </c>
      <c r="S1868" s="53" t="str">
        <f t="shared" si="241"/>
        <v/>
      </c>
    </row>
    <row r="1869" spans="10:19" x14ac:dyDescent="0.15">
      <c r="J1869" s="38">
        <v>1860</v>
      </c>
      <c r="K1869" s="40"/>
      <c r="L1869" s="34">
        <f t="shared" si="235"/>
        <v>8.2271017232987069E-4</v>
      </c>
      <c r="M1869" s="35">
        <f t="shared" si="236"/>
        <v>-1.1380853794601645E-7</v>
      </c>
      <c r="N1869" s="44">
        <f t="shared" si="234"/>
        <v>-5.7892450780618705E-6</v>
      </c>
      <c r="O1869" s="45" t="e">
        <f t="shared" si="237"/>
        <v>#VALUE!</v>
      </c>
      <c r="P1869" s="52" t="str">
        <f t="shared" si="238"/>
        <v/>
      </c>
      <c r="Q1869" s="53" t="str">
        <f t="shared" si="239"/>
        <v/>
      </c>
      <c r="R1869" s="54" t="str">
        <f t="shared" si="240"/>
        <v/>
      </c>
      <c r="S1869" s="53" t="str">
        <f t="shared" si="241"/>
        <v/>
      </c>
    </row>
    <row r="1870" spans="10:19" x14ac:dyDescent="0.15">
      <c r="J1870" s="38">
        <v>1861</v>
      </c>
      <c r="K1870" s="40"/>
      <c r="L1870" s="34">
        <f t="shared" si="235"/>
        <v>8.2259632329993585E-4</v>
      </c>
      <c r="M1870" s="35">
        <f t="shared" si="236"/>
        <v>-1.1388950175492762E-7</v>
      </c>
      <c r="N1870" s="44">
        <f t="shared" si="234"/>
        <v>-5.7931468761863742E-6</v>
      </c>
      <c r="O1870" s="45" t="e">
        <f t="shared" si="237"/>
        <v>#VALUE!</v>
      </c>
      <c r="P1870" s="52" t="str">
        <f t="shared" si="238"/>
        <v/>
      </c>
      <c r="Q1870" s="53" t="str">
        <f t="shared" si="239"/>
        <v/>
      </c>
      <c r="R1870" s="54" t="str">
        <f t="shared" si="240"/>
        <v/>
      </c>
      <c r="S1870" s="53" t="str">
        <f t="shared" si="241"/>
        <v/>
      </c>
    </row>
    <row r="1871" spans="10:19" x14ac:dyDescent="0.15">
      <c r="J1871" s="38">
        <v>1862</v>
      </c>
      <c r="K1871" s="40"/>
      <c r="L1871" s="34">
        <f t="shared" si="235"/>
        <v>8.2248239336665785E-4</v>
      </c>
      <c r="M1871" s="35">
        <f t="shared" si="236"/>
        <v>-1.1397034467267577E-7</v>
      </c>
      <c r="N1871" s="44">
        <f t="shared" si="234"/>
        <v>-5.7970429187800604E-6</v>
      </c>
      <c r="O1871" s="45" t="e">
        <f t="shared" si="237"/>
        <v>#VALUE!</v>
      </c>
      <c r="P1871" s="52" t="str">
        <f t="shared" si="238"/>
        <v/>
      </c>
      <c r="Q1871" s="53" t="str">
        <f t="shared" si="239"/>
        <v/>
      </c>
      <c r="R1871" s="54" t="str">
        <f t="shared" si="240"/>
        <v/>
      </c>
      <c r="S1871" s="53" t="str">
        <f t="shared" si="241"/>
        <v/>
      </c>
    </row>
    <row r="1872" spans="10:19" x14ac:dyDescent="0.15">
      <c r="J1872" s="38">
        <v>1863</v>
      </c>
      <c r="K1872" s="40"/>
      <c r="L1872" s="34">
        <f t="shared" si="235"/>
        <v>8.2236838265080739E-4</v>
      </c>
      <c r="M1872" s="35">
        <f t="shared" si="236"/>
        <v>-1.1405106693981955E-7</v>
      </c>
      <c r="N1872" s="44">
        <f t="shared" si="234"/>
        <v>-5.800933217157446E-6</v>
      </c>
      <c r="O1872" s="45" t="e">
        <f t="shared" si="237"/>
        <v>#VALUE!</v>
      </c>
      <c r="P1872" s="52" t="str">
        <f t="shared" si="238"/>
        <v/>
      </c>
      <c r="Q1872" s="53" t="str">
        <f t="shared" si="239"/>
        <v/>
      </c>
      <c r="R1872" s="54" t="str">
        <f t="shared" si="240"/>
        <v/>
      </c>
      <c r="S1872" s="53" t="str">
        <f t="shared" si="241"/>
        <v/>
      </c>
    </row>
    <row r="1873" spans="10:19" x14ac:dyDescent="0.15">
      <c r="J1873" s="38">
        <v>1864</v>
      </c>
      <c r="K1873" s="40"/>
      <c r="L1873" s="34">
        <f t="shared" si="235"/>
        <v>8.2225429127291509E-4</v>
      </c>
      <c r="M1873" s="35">
        <f t="shared" si="236"/>
        <v>-1.1413166879631945E-7</v>
      </c>
      <c r="N1873" s="44">
        <f t="shared" si="234"/>
        <v>-5.804817782605943E-6</v>
      </c>
      <c r="O1873" s="45" t="e">
        <f t="shared" si="237"/>
        <v>#VALUE!</v>
      </c>
      <c r="P1873" s="52" t="str">
        <f t="shared" si="238"/>
        <v/>
      </c>
      <c r="Q1873" s="53" t="str">
        <f t="shared" si="239"/>
        <v/>
      </c>
      <c r="R1873" s="54" t="str">
        <f t="shared" si="240"/>
        <v/>
      </c>
      <c r="S1873" s="53" t="str">
        <f t="shared" si="241"/>
        <v/>
      </c>
    </row>
    <row r="1874" spans="10:19" x14ac:dyDescent="0.15">
      <c r="J1874" s="38">
        <v>1865</v>
      </c>
      <c r="K1874" s="40"/>
      <c r="L1874" s="34">
        <f t="shared" si="235"/>
        <v>8.221401193532718E-4</v>
      </c>
      <c r="M1874" s="35">
        <f t="shared" si="236"/>
        <v>-1.142121504815396E-7</v>
      </c>
      <c r="N1874" s="44">
        <f t="shared" si="234"/>
        <v>-5.8086966263849911E-6</v>
      </c>
      <c r="O1874" s="45" t="e">
        <f t="shared" si="237"/>
        <v>#VALUE!</v>
      </c>
      <c r="P1874" s="52" t="str">
        <f t="shared" si="238"/>
        <v/>
      </c>
      <c r="Q1874" s="53" t="str">
        <f t="shared" si="239"/>
        <v/>
      </c>
      <c r="R1874" s="54" t="str">
        <f t="shared" si="240"/>
        <v/>
      </c>
      <c r="S1874" s="53" t="str">
        <f t="shared" si="241"/>
        <v/>
      </c>
    </row>
    <row r="1875" spans="10:19" x14ac:dyDescent="0.15">
      <c r="J1875" s="38">
        <v>1866</v>
      </c>
      <c r="K1875" s="40"/>
      <c r="L1875" s="34">
        <f t="shared" si="235"/>
        <v>8.2202586701192936E-4</v>
      </c>
      <c r="M1875" s="35">
        <f t="shared" si="236"/>
        <v>-1.1429251223424985E-7</v>
      </c>
      <c r="N1875" s="44">
        <f t="shared" si="234"/>
        <v>-5.8125697597261657E-6</v>
      </c>
      <c r="O1875" s="45" t="e">
        <f t="shared" si="237"/>
        <v>#VALUE!</v>
      </c>
      <c r="P1875" s="52" t="str">
        <f t="shared" si="238"/>
        <v/>
      </c>
      <c r="Q1875" s="53" t="str">
        <f t="shared" si="239"/>
        <v/>
      </c>
      <c r="R1875" s="54" t="str">
        <f t="shared" si="240"/>
        <v/>
      </c>
      <c r="S1875" s="53" t="str">
        <f t="shared" si="241"/>
        <v/>
      </c>
    </row>
    <row r="1876" spans="10:19" x14ac:dyDescent="0.15">
      <c r="J1876" s="38">
        <v>1867</v>
      </c>
      <c r="K1876" s="40"/>
      <c r="L1876" s="34">
        <f t="shared" si="235"/>
        <v>8.2191153436870145E-4</v>
      </c>
      <c r="M1876" s="35">
        <f t="shared" si="236"/>
        <v>-1.1437275429262715E-7</v>
      </c>
      <c r="N1876" s="44">
        <f t="shared" si="234"/>
        <v>-5.8164371938340459E-6</v>
      </c>
      <c r="O1876" s="45" t="e">
        <f t="shared" si="237"/>
        <v>#VALUE!</v>
      </c>
      <c r="P1876" s="52" t="str">
        <f t="shared" si="238"/>
        <v/>
      </c>
      <c r="Q1876" s="53" t="str">
        <f t="shared" si="239"/>
        <v/>
      </c>
      <c r="R1876" s="54" t="str">
        <f t="shared" si="240"/>
        <v/>
      </c>
      <c r="S1876" s="53" t="str">
        <f t="shared" si="241"/>
        <v/>
      </c>
    </row>
    <row r="1877" spans="10:19" x14ac:dyDescent="0.15">
      <c r="J1877" s="38">
        <v>1868</v>
      </c>
      <c r="K1877" s="40"/>
      <c r="L1877" s="34">
        <f t="shared" si="235"/>
        <v>8.217971215431631E-4</v>
      </c>
      <c r="M1877" s="35">
        <f t="shared" si="236"/>
        <v>-1.1445287689425753E-7</v>
      </c>
      <c r="N1877" s="44">
        <f t="shared" si="234"/>
        <v>-5.8202989398853464E-6</v>
      </c>
      <c r="O1877" s="45" t="e">
        <f t="shared" si="237"/>
        <v>#VALUE!</v>
      </c>
      <c r="P1877" s="52" t="str">
        <f t="shared" si="238"/>
        <v/>
      </c>
      <c r="Q1877" s="53" t="str">
        <f t="shared" si="239"/>
        <v/>
      </c>
      <c r="R1877" s="54" t="str">
        <f t="shared" si="240"/>
        <v/>
      </c>
      <c r="S1877" s="53" t="str">
        <f t="shared" si="241"/>
        <v/>
      </c>
    </row>
    <row r="1878" spans="10:19" x14ac:dyDescent="0.15">
      <c r="J1878" s="38">
        <v>1869</v>
      </c>
      <c r="K1878" s="40"/>
      <c r="L1878" s="34">
        <f t="shared" si="235"/>
        <v>8.2168262865465287E-4</v>
      </c>
      <c r="M1878" s="35">
        <f t="shared" si="236"/>
        <v>-1.145328802761379E-7</v>
      </c>
      <c r="N1878" s="44">
        <f t="shared" si="234"/>
        <v>-5.8241550090296773E-6</v>
      </c>
      <c r="O1878" s="45" t="e">
        <f t="shared" si="237"/>
        <v>#VALUE!</v>
      </c>
      <c r="P1878" s="52" t="str">
        <f t="shared" si="238"/>
        <v/>
      </c>
      <c r="Q1878" s="53" t="str">
        <f t="shared" si="239"/>
        <v/>
      </c>
      <c r="R1878" s="54" t="str">
        <f t="shared" si="240"/>
        <v/>
      </c>
      <c r="S1878" s="53" t="str">
        <f t="shared" si="241"/>
        <v/>
      </c>
    </row>
    <row r="1879" spans="10:19" x14ac:dyDescent="0.15">
      <c r="J1879" s="38">
        <v>1870</v>
      </c>
      <c r="K1879" s="40"/>
      <c r="L1879" s="34">
        <f t="shared" si="235"/>
        <v>8.2156805582227189E-4</v>
      </c>
      <c r="M1879" s="35">
        <f t="shared" si="236"/>
        <v>-1.1461276467467765E-7</v>
      </c>
      <c r="N1879" s="44">
        <f t="shared" si="234"/>
        <v>-5.8280054123885676E-6</v>
      </c>
      <c r="O1879" s="45" t="e">
        <f t="shared" si="237"/>
        <v>#VALUE!</v>
      </c>
      <c r="P1879" s="52" t="str">
        <f t="shared" si="238"/>
        <v/>
      </c>
      <c r="Q1879" s="53" t="str">
        <f t="shared" si="239"/>
        <v/>
      </c>
      <c r="R1879" s="54" t="str">
        <f t="shared" si="240"/>
        <v/>
      </c>
      <c r="S1879" s="53" t="str">
        <f t="shared" si="241"/>
        <v/>
      </c>
    </row>
    <row r="1880" spans="10:19" x14ac:dyDescent="0.15">
      <c r="J1880" s="38">
        <v>1871</v>
      </c>
      <c r="K1880" s="40"/>
      <c r="L1880" s="34">
        <f t="shared" si="235"/>
        <v>8.2145340316488601E-4</v>
      </c>
      <c r="M1880" s="35">
        <f t="shared" si="236"/>
        <v>-1.146925303257005E-7</v>
      </c>
      <c r="N1880" s="44">
        <f t="shared" si="234"/>
        <v>-5.8318501610576338E-6</v>
      </c>
      <c r="O1880" s="45" t="e">
        <f t="shared" si="237"/>
        <v>#VALUE!</v>
      </c>
      <c r="P1880" s="52" t="str">
        <f t="shared" si="238"/>
        <v/>
      </c>
      <c r="Q1880" s="53" t="str">
        <f t="shared" si="239"/>
        <v/>
      </c>
      <c r="R1880" s="54" t="str">
        <f t="shared" si="240"/>
        <v/>
      </c>
      <c r="S1880" s="53" t="str">
        <f t="shared" si="241"/>
        <v/>
      </c>
    </row>
    <row r="1881" spans="10:19" x14ac:dyDescent="0.15">
      <c r="J1881" s="38">
        <v>1872</v>
      </c>
      <c r="K1881" s="40"/>
      <c r="L1881" s="34">
        <f t="shared" si="235"/>
        <v>8.2133867080112473E-4</v>
      </c>
      <c r="M1881" s="35">
        <f t="shared" si="236"/>
        <v>-1.1477217746444608E-7</v>
      </c>
      <c r="N1881" s="44">
        <f t="shared" si="234"/>
        <v>-5.8356892661041949E-6</v>
      </c>
      <c r="O1881" s="45" t="e">
        <f t="shared" si="237"/>
        <v>#VALUE!</v>
      </c>
      <c r="P1881" s="52" t="str">
        <f t="shared" si="238"/>
        <v/>
      </c>
      <c r="Q1881" s="53" t="str">
        <f t="shared" si="239"/>
        <v/>
      </c>
      <c r="R1881" s="54" t="str">
        <f t="shared" si="240"/>
        <v/>
      </c>
      <c r="S1881" s="53" t="str">
        <f t="shared" si="241"/>
        <v/>
      </c>
    </row>
    <row r="1882" spans="10:19" x14ac:dyDescent="0.15">
      <c r="J1882" s="38">
        <v>1873</v>
      </c>
      <c r="K1882" s="40"/>
      <c r="L1882" s="34">
        <f t="shared" si="235"/>
        <v>8.2122385884938283E-4</v>
      </c>
      <c r="M1882" s="35">
        <f t="shared" si="236"/>
        <v>-1.1485170632557204E-7</v>
      </c>
      <c r="N1882" s="44">
        <f t="shared" si="234"/>
        <v>-5.8395227385690069E-6</v>
      </c>
      <c r="O1882" s="45" t="e">
        <f t="shared" si="237"/>
        <v>#VALUE!</v>
      </c>
      <c r="P1882" s="52" t="str">
        <f t="shared" si="238"/>
        <v/>
      </c>
      <c r="Q1882" s="53" t="str">
        <f t="shared" si="239"/>
        <v/>
      </c>
      <c r="R1882" s="54" t="str">
        <f t="shared" si="240"/>
        <v/>
      </c>
      <c r="S1882" s="53" t="str">
        <f t="shared" si="241"/>
        <v/>
      </c>
    </row>
    <row r="1883" spans="10:19" x14ac:dyDescent="0.15">
      <c r="J1883" s="38">
        <v>1874</v>
      </c>
      <c r="K1883" s="40"/>
      <c r="L1883" s="34">
        <f t="shared" si="235"/>
        <v>8.2110896742782153E-4</v>
      </c>
      <c r="M1883" s="35">
        <f t="shared" si="236"/>
        <v>-1.1493111714315532E-7</v>
      </c>
      <c r="N1883" s="44">
        <f t="shared" si="234"/>
        <v>-5.843350589466046E-6</v>
      </c>
      <c r="O1883" s="45" t="e">
        <f t="shared" si="237"/>
        <v>#VALUE!</v>
      </c>
      <c r="P1883" s="52" t="str">
        <f t="shared" si="238"/>
        <v/>
      </c>
      <c r="Q1883" s="53" t="str">
        <f t="shared" si="239"/>
        <v/>
      </c>
      <c r="R1883" s="54" t="str">
        <f t="shared" si="240"/>
        <v/>
      </c>
      <c r="S1883" s="53" t="str">
        <f t="shared" si="241"/>
        <v/>
      </c>
    </row>
    <row r="1884" spans="10:19" x14ac:dyDescent="0.15">
      <c r="J1884" s="38">
        <v>1875</v>
      </c>
      <c r="K1884" s="40"/>
      <c r="L1884" s="34">
        <f t="shared" si="235"/>
        <v>8.2099399665436668E-4</v>
      </c>
      <c r="M1884" s="35">
        <f t="shared" si="236"/>
        <v>-1.1501041015069419E-7</v>
      </c>
      <c r="N1884" s="44">
        <f t="shared" si="234"/>
        <v>-5.8471728297815329E-6</v>
      </c>
      <c r="O1884" s="45" t="e">
        <f t="shared" si="237"/>
        <v>#VALUE!</v>
      </c>
      <c r="P1884" s="52" t="str">
        <f t="shared" si="238"/>
        <v/>
      </c>
      <c r="Q1884" s="53" t="str">
        <f t="shared" si="239"/>
        <v/>
      </c>
      <c r="R1884" s="54" t="str">
        <f t="shared" si="240"/>
        <v/>
      </c>
      <c r="S1884" s="53" t="str">
        <f t="shared" si="241"/>
        <v/>
      </c>
    </row>
    <row r="1885" spans="10:19" x14ac:dyDescent="0.15">
      <c r="J1885" s="38">
        <v>1876</v>
      </c>
      <c r="K1885" s="40"/>
      <c r="L1885" s="34">
        <f t="shared" si="235"/>
        <v>8.2087894664671223E-4</v>
      </c>
      <c r="M1885" s="35">
        <f t="shared" si="236"/>
        <v>-1.1508958558110981E-7</v>
      </c>
      <c r="N1885" s="44">
        <f t="shared" si="234"/>
        <v>-5.8509894704755587E-6</v>
      </c>
      <c r="O1885" s="45" t="e">
        <f t="shared" si="237"/>
        <v>#VALUE!</v>
      </c>
      <c r="P1885" s="52" t="str">
        <f t="shared" si="238"/>
        <v/>
      </c>
      <c r="Q1885" s="53" t="str">
        <f t="shared" si="239"/>
        <v/>
      </c>
      <c r="R1885" s="54" t="str">
        <f t="shared" si="240"/>
        <v/>
      </c>
      <c r="S1885" s="53" t="str">
        <f t="shared" si="241"/>
        <v/>
      </c>
    </row>
    <row r="1886" spans="10:19" x14ac:dyDescent="0.15">
      <c r="J1886" s="38">
        <v>1877</v>
      </c>
      <c r="K1886" s="40"/>
      <c r="L1886" s="34">
        <f t="shared" si="235"/>
        <v>8.2076381752231933E-4</v>
      </c>
      <c r="M1886" s="35">
        <f t="shared" si="236"/>
        <v>-1.1516864366674807E-7</v>
      </c>
      <c r="N1886" s="44">
        <f t="shared" si="234"/>
        <v>-5.8548005224820857E-6</v>
      </c>
      <c r="O1886" s="45" t="e">
        <f t="shared" si="237"/>
        <v>#VALUE!</v>
      </c>
      <c r="P1886" s="52" t="str">
        <f t="shared" si="238"/>
        <v/>
      </c>
      <c r="Q1886" s="53" t="str">
        <f t="shared" si="239"/>
        <v/>
      </c>
      <c r="R1886" s="54" t="str">
        <f t="shared" si="240"/>
        <v/>
      </c>
      <c r="S1886" s="53" t="str">
        <f t="shared" si="241"/>
        <v/>
      </c>
    </row>
    <row r="1887" spans="10:19" x14ac:dyDescent="0.15">
      <c r="J1887" s="38">
        <v>1878</v>
      </c>
      <c r="K1887" s="40"/>
      <c r="L1887" s="34">
        <f t="shared" si="235"/>
        <v>8.2064860939841649E-4</v>
      </c>
      <c r="M1887" s="35">
        <f t="shared" si="236"/>
        <v>-1.1524758463938111E-7</v>
      </c>
      <c r="N1887" s="44">
        <f t="shared" si="234"/>
        <v>-5.8586059967065613E-6</v>
      </c>
      <c r="O1887" s="45" t="e">
        <f t="shared" si="237"/>
        <v>#VALUE!</v>
      </c>
      <c r="P1887" s="52" t="str">
        <f t="shared" si="238"/>
        <v/>
      </c>
      <c r="Q1887" s="53" t="str">
        <f t="shared" si="239"/>
        <v/>
      </c>
      <c r="R1887" s="54" t="str">
        <f t="shared" si="240"/>
        <v/>
      </c>
      <c r="S1887" s="53" t="str">
        <f t="shared" si="241"/>
        <v/>
      </c>
    </row>
    <row r="1888" spans="10:19" x14ac:dyDescent="0.15">
      <c r="J1888" s="38">
        <v>1879</v>
      </c>
      <c r="K1888" s="40"/>
      <c r="L1888" s="34">
        <f t="shared" si="235"/>
        <v>8.2053332239200125E-4</v>
      </c>
      <c r="M1888" s="35">
        <f t="shared" si="236"/>
        <v>-1.153264087302092E-7</v>
      </c>
      <c r="N1888" s="44">
        <f t="shared" si="234"/>
        <v>-5.8624059040299301E-6</v>
      </c>
      <c r="O1888" s="45" t="e">
        <f t="shared" si="237"/>
        <v>#VALUE!</v>
      </c>
      <c r="P1888" s="52" t="str">
        <f t="shared" si="238"/>
        <v/>
      </c>
      <c r="Q1888" s="53" t="str">
        <f t="shared" si="239"/>
        <v/>
      </c>
      <c r="R1888" s="54" t="str">
        <f t="shared" si="240"/>
        <v/>
      </c>
      <c r="S1888" s="53" t="str">
        <f t="shared" si="241"/>
        <v/>
      </c>
    </row>
    <row r="1889" spans="10:19" x14ac:dyDescent="0.15">
      <c r="J1889" s="38">
        <v>1880</v>
      </c>
      <c r="K1889" s="40"/>
      <c r="L1889" s="34">
        <f t="shared" si="235"/>
        <v>8.204179566198397E-4</v>
      </c>
      <c r="M1889" s="35">
        <f t="shared" si="236"/>
        <v>-1.1540511616986227E-7</v>
      </c>
      <c r="N1889" s="44">
        <f t="shared" si="234"/>
        <v>-5.8662002553045139E-6</v>
      </c>
      <c r="O1889" s="45" t="e">
        <f t="shared" si="237"/>
        <v>#VALUE!</v>
      </c>
      <c r="P1889" s="52" t="str">
        <f t="shared" si="238"/>
        <v/>
      </c>
      <c r="Q1889" s="53" t="str">
        <f t="shared" si="239"/>
        <v/>
      </c>
      <c r="R1889" s="54" t="str">
        <f t="shared" si="240"/>
        <v/>
      </c>
      <c r="S1889" s="53" t="str">
        <f t="shared" si="241"/>
        <v/>
      </c>
    </row>
    <row r="1890" spans="10:19" x14ac:dyDescent="0.15">
      <c r="J1890" s="38">
        <v>1881</v>
      </c>
      <c r="K1890" s="40"/>
      <c r="L1890" s="34">
        <f t="shared" si="235"/>
        <v>8.203025121984685E-4</v>
      </c>
      <c r="M1890" s="35">
        <f t="shared" si="236"/>
        <v>-1.1548370718840182E-7</v>
      </c>
      <c r="N1890" s="44">
        <f t="shared" si="234"/>
        <v>-5.869989061358348E-6</v>
      </c>
      <c r="O1890" s="45" t="e">
        <f t="shared" si="237"/>
        <v>#VALUE!</v>
      </c>
      <c r="P1890" s="52" t="str">
        <f t="shared" si="238"/>
        <v/>
      </c>
      <c r="Q1890" s="53" t="str">
        <f t="shared" si="239"/>
        <v/>
      </c>
      <c r="R1890" s="54" t="str">
        <f t="shared" si="240"/>
        <v/>
      </c>
      <c r="S1890" s="53" t="str">
        <f t="shared" si="241"/>
        <v/>
      </c>
    </row>
    <row r="1891" spans="10:19" x14ac:dyDescent="0.15">
      <c r="J1891" s="38">
        <v>1882</v>
      </c>
      <c r="K1891" s="40"/>
      <c r="L1891" s="34">
        <f t="shared" si="235"/>
        <v>8.2018698924419349E-4</v>
      </c>
      <c r="M1891" s="35">
        <f t="shared" si="236"/>
        <v>-1.1556218201532241E-7</v>
      </c>
      <c r="N1891" s="44">
        <f t="shared" si="234"/>
        <v>-5.8737723329916041E-6</v>
      </c>
      <c r="O1891" s="45" t="e">
        <f t="shared" si="237"/>
        <v>#VALUE!</v>
      </c>
      <c r="P1891" s="52" t="str">
        <f t="shared" si="238"/>
        <v/>
      </c>
      <c r="Q1891" s="53" t="str">
        <f t="shared" si="239"/>
        <v/>
      </c>
      <c r="R1891" s="54" t="str">
        <f t="shared" si="240"/>
        <v/>
      </c>
      <c r="S1891" s="53" t="str">
        <f t="shared" si="241"/>
        <v/>
      </c>
    </row>
    <row r="1892" spans="10:19" x14ac:dyDescent="0.15">
      <c r="J1892" s="38">
        <v>1883</v>
      </c>
      <c r="K1892" s="40"/>
      <c r="L1892" s="34">
        <f t="shared" si="235"/>
        <v>8.2007138787309206E-4</v>
      </c>
      <c r="M1892" s="35">
        <f t="shared" si="236"/>
        <v>-1.1564054087955326E-7</v>
      </c>
      <c r="N1892" s="44">
        <f t="shared" si="234"/>
        <v>-5.8775500809784328E-6</v>
      </c>
      <c r="O1892" s="45" t="e">
        <f t="shared" si="237"/>
        <v>#VALUE!</v>
      </c>
      <c r="P1892" s="52" t="str">
        <f t="shared" si="238"/>
        <v/>
      </c>
      <c r="Q1892" s="53" t="str">
        <f t="shared" si="239"/>
        <v/>
      </c>
      <c r="R1892" s="54" t="str">
        <f t="shared" si="240"/>
        <v/>
      </c>
      <c r="S1892" s="53" t="str">
        <f t="shared" si="241"/>
        <v/>
      </c>
    </row>
    <row r="1893" spans="10:19" x14ac:dyDescent="0.15">
      <c r="J1893" s="38">
        <v>1884</v>
      </c>
      <c r="K1893" s="40"/>
      <c r="L1893" s="34">
        <f t="shared" si="235"/>
        <v>8.1995570820101262E-4</v>
      </c>
      <c r="M1893" s="35">
        <f t="shared" si="236"/>
        <v>-1.1571878400946033E-7</v>
      </c>
      <c r="N1893" s="44">
        <f t="shared" si="234"/>
        <v>-5.8813223160673975E-6</v>
      </c>
      <c r="O1893" s="45" t="e">
        <f t="shared" si="237"/>
        <v>#VALUE!</v>
      </c>
      <c r="P1893" s="52" t="str">
        <f t="shared" si="238"/>
        <v/>
      </c>
      <c r="Q1893" s="53" t="str">
        <f t="shared" si="239"/>
        <v/>
      </c>
      <c r="R1893" s="54" t="str">
        <f t="shared" si="240"/>
        <v/>
      </c>
      <c r="S1893" s="53" t="str">
        <f t="shared" si="241"/>
        <v/>
      </c>
    </row>
    <row r="1894" spans="10:19" x14ac:dyDescent="0.15">
      <c r="J1894" s="38">
        <v>1885</v>
      </c>
      <c r="K1894" s="40"/>
      <c r="L1894" s="34">
        <f t="shared" si="235"/>
        <v>8.1983995034357526E-4</v>
      </c>
      <c r="M1894" s="35">
        <f t="shared" si="236"/>
        <v>-1.1579691163284739E-7</v>
      </c>
      <c r="N1894" s="44">
        <f t="shared" si="234"/>
        <v>-5.8850890489798484E-6</v>
      </c>
      <c r="O1894" s="45" t="e">
        <f t="shared" si="237"/>
        <v>#VALUE!</v>
      </c>
      <c r="P1894" s="52" t="str">
        <f t="shared" si="238"/>
        <v/>
      </c>
      <c r="Q1894" s="53" t="str">
        <f t="shared" si="239"/>
        <v/>
      </c>
      <c r="R1894" s="54" t="str">
        <f t="shared" si="240"/>
        <v/>
      </c>
      <c r="S1894" s="53" t="str">
        <f t="shared" si="241"/>
        <v/>
      </c>
    </row>
    <row r="1895" spans="10:19" x14ac:dyDescent="0.15">
      <c r="J1895" s="38">
        <v>1886</v>
      </c>
      <c r="K1895" s="40"/>
      <c r="L1895" s="34">
        <f t="shared" si="235"/>
        <v>8.1972411441617323E-4</v>
      </c>
      <c r="M1895" s="35">
        <f t="shared" si="236"/>
        <v>-1.1587492397695819E-7</v>
      </c>
      <c r="N1895" s="44">
        <f t="shared" si="234"/>
        <v>-5.8888502904125241E-6</v>
      </c>
      <c r="O1895" s="45" t="e">
        <f t="shared" si="237"/>
        <v>#VALUE!</v>
      </c>
      <c r="P1895" s="52" t="str">
        <f t="shared" si="238"/>
        <v/>
      </c>
      <c r="Q1895" s="53" t="str">
        <f t="shared" si="239"/>
        <v/>
      </c>
      <c r="R1895" s="54" t="str">
        <f t="shared" si="240"/>
        <v/>
      </c>
      <c r="S1895" s="53" t="str">
        <f t="shared" si="241"/>
        <v/>
      </c>
    </row>
    <row r="1896" spans="10:19" x14ac:dyDescent="0.15">
      <c r="J1896" s="38">
        <v>1887</v>
      </c>
      <c r="K1896" s="40"/>
      <c r="L1896" s="34">
        <f t="shared" si="235"/>
        <v>8.1960820053397223E-4</v>
      </c>
      <c r="M1896" s="35">
        <f t="shared" si="236"/>
        <v>-1.159528212684779E-7</v>
      </c>
      <c r="N1896" s="44">
        <f t="shared" si="234"/>
        <v>-5.892606051035058E-6</v>
      </c>
      <c r="O1896" s="45" t="e">
        <f t="shared" si="237"/>
        <v>#VALUE!</v>
      </c>
      <c r="P1896" s="52" t="str">
        <f t="shared" si="238"/>
        <v/>
      </c>
      <c r="Q1896" s="53" t="str">
        <f t="shared" si="239"/>
        <v/>
      </c>
      <c r="R1896" s="54" t="str">
        <f t="shared" si="240"/>
        <v/>
      </c>
      <c r="S1896" s="53" t="str">
        <f t="shared" si="241"/>
        <v/>
      </c>
    </row>
    <row r="1897" spans="10:19" x14ac:dyDescent="0.15">
      <c r="J1897" s="38">
        <v>1888</v>
      </c>
      <c r="K1897" s="40"/>
      <c r="L1897" s="34">
        <f t="shared" si="235"/>
        <v>8.1949220881191178E-4</v>
      </c>
      <c r="M1897" s="35">
        <f t="shared" si="236"/>
        <v>-1.1603060373353469E-7</v>
      </c>
      <c r="N1897" s="44">
        <f t="shared" si="234"/>
        <v>-5.8963563414912799E-6</v>
      </c>
      <c r="O1897" s="45" t="e">
        <f t="shared" si="237"/>
        <v>#VALUE!</v>
      </c>
      <c r="P1897" s="52" t="str">
        <f t="shared" si="238"/>
        <v/>
      </c>
      <c r="Q1897" s="53" t="str">
        <f t="shared" si="239"/>
        <v/>
      </c>
      <c r="R1897" s="54" t="str">
        <f t="shared" si="240"/>
        <v/>
      </c>
      <c r="S1897" s="53" t="str">
        <f t="shared" si="241"/>
        <v/>
      </c>
    </row>
    <row r="1898" spans="10:19" x14ac:dyDescent="0.15">
      <c r="J1898" s="38">
        <v>1889</v>
      </c>
      <c r="K1898" s="40"/>
      <c r="L1898" s="34">
        <f t="shared" si="235"/>
        <v>8.1937613936470556E-4</v>
      </c>
      <c r="M1898" s="35">
        <f t="shared" si="236"/>
        <v>-1.1610827159770157E-7</v>
      </c>
      <c r="N1898" s="44">
        <f t="shared" si="234"/>
        <v>-5.9001011723997573E-6</v>
      </c>
      <c r="O1898" s="45" t="e">
        <f t="shared" si="237"/>
        <v>#VALUE!</v>
      </c>
      <c r="P1898" s="52" t="str">
        <f t="shared" si="238"/>
        <v/>
      </c>
      <c r="Q1898" s="53" t="str">
        <f t="shared" si="239"/>
        <v/>
      </c>
      <c r="R1898" s="54" t="str">
        <f t="shared" si="240"/>
        <v/>
      </c>
      <c r="S1898" s="53" t="str">
        <f t="shared" si="241"/>
        <v/>
      </c>
    </row>
    <row r="1899" spans="10:19" x14ac:dyDescent="0.15">
      <c r="J1899" s="38">
        <v>1890</v>
      </c>
      <c r="K1899" s="40"/>
      <c r="L1899" s="34">
        <f t="shared" si="235"/>
        <v>8.1925999230684165E-4</v>
      </c>
      <c r="M1899" s="35">
        <f t="shared" si="236"/>
        <v>-1.1618582508599774E-7</v>
      </c>
      <c r="N1899" s="44">
        <f t="shared" si="234"/>
        <v>-5.9038405543526034E-6</v>
      </c>
      <c r="O1899" s="45" t="e">
        <f t="shared" si="237"/>
        <v>#VALUE!</v>
      </c>
      <c r="P1899" s="52" t="str">
        <f t="shared" si="238"/>
        <v/>
      </c>
      <c r="Q1899" s="53" t="str">
        <f t="shared" si="239"/>
        <v/>
      </c>
      <c r="R1899" s="54" t="str">
        <f t="shared" si="240"/>
        <v/>
      </c>
      <c r="S1899" s="53" t="str">
        <f t="shared" si="241"/>
        <v/>
      </c>
    </row>
    <row r="1900" spans="10:19" x14ac:dyDescent="0.15">
      <c r="J1900" s="38">
        <v>1891</v>
      </c>
      <c r="K1900" s="40"/>
      <c r="L1900" s="34">
        <f t="shared" si="235"/>
        <v>8.1914376775258388E-4</v>
      </c>
      <c r="M1900" s="35">
        <f t="shared" si="236"/>
        <v>-1.1626326442289056E-7</v>
      </c>
      <c r="N1900" s="44">
        <f t="shared" si="234"/>
        <v>-5.9075744979172114E-6</v>
      </c>
      <c r="O1900" s="45" t="e">
        <f t="shared" si="237"/>
        <v>#VALUE!</v>
      </c>
      <c r="P1900" s="52" t="str">
        <f t="shared" si="238"/>
        <v/>
      </c>
      <c r="Q1900" s="53" t="str">
        <f t="shared" si="239"/>
        <v/>
      </c>
      <c r="R1900" s="54" t="str">
        <f t="shared" si="240"/>
        <v/>
      </c>
      <c r="S1900" s="53" t="str">
        <f t="shared" si="241"/>
        <v/>
      </c>
    </row>
    <row r="1901" spans="10:19" x14ac:dyDescent="0.15">
      <c r="J1901" s="38">
        <v>1892</v>
      </c>
      <c r="K1901" s="40"/>
      <c r="L1901" s="34">
        <f t="shared" si="235"/>
        <v>8.1902746581597168E-4</v>
      </c>
      <c r="M1901" s="35">
        <f t="shared" si="236"/>
        <v>-1.1634058983229693E-7</v>
      </c>
      <c r="N1901" s="44">
        <f t="shared" si="234"/>
        <v>-5.9113030136340866E-6</v>
      </c>
      <c r="O1901" s="45" t="e">
        <f t="shared" si="237"/>
        <v>#VALUE!</v>
      </c>
      <c r="P1901" s="52" t="str">
        <f t="shared" si="238"/>
        <v/>
      </c>
      <c r="Q1901" s="53" t="str">
        <f t="shared" si="239"/>
        <v/>
      </c>
      <c r="R1901" s="54" t="str">
        <f t="shared" si="240"/>
        <v/>
      </c>
      <c r="S1901" s="53" t="str">
        <f t="shared" si="241"/>
        <v/>
      </c>
    </row>
    <row r="1902" spans="10:19" x14ac:dyDescent="0.15">
      <c r="J1902" s="38">
        <v>1893</v>
      </c>
      <c r="K1902" s="40"/>
      <c r="L1902" s="34">
        <f t="shared" si="235"/>
        <v>8.189110866108208E-4</v>
      </c>
      <c r="M1902" s="35">
        <f t="shared" si="236"/>
        <v>-1.1641780153758494E-7</v>
      </c>
      <c r="N1902" s="44">
        <f t="shared" si="234"/>
        <v>-5.9150261120195563E-6</v>
      </c>
      <c r="O1902" s="45" t="e">
        <f t="shared" si="237"/>
        <v>#VALUE!</v>
      </c>
      <c r="P1902" s="52" t="str">
        <f t="shared" si="238"/>
        <v/>
      </c>
      <c r="Q1902" s="53" t="str">
        <f t="shared" si="239"/>
        <v/>
      </c>
      <c r="R1902" s="54" t="str">
        <f t="shared" si="240"/>
        <v/>
      </c>
      <c r="S1902" s="53" t="str">
        <f t="shared" si="241"/>
        <v/>
      </c>
    </row>
    <row r="1903" spans="10:19" x14ac:dyDescent="0.15">
      <c r="J1903" s="38">
        <v>1894</v>
      </c>
      <c r="K1903" s="40"/>
      <c r="L1903" s="34">
        <f t="shared" si="235"/>
        <v>8.1879463025072365E-4</v>
      </c>
      <c r="M1903" s="35">
        <f t="shared" si="236"/>
        <v>-1.1649489976157561E-7</v>
      </c>
      <c r="N1903" s="44">
        <f t="shared" si="234"/>
        <v>-5.9187438035632764E-6</v>
      </c>
      <c r="O1903" s="45" t="e">
        <f t="shared" si="237"/>
        <v>#VALUE!</v>
      </c>
      <c r="P1903" s="52" t="str">
        <f t="shared" si="238"/>
        <v/>
      </c>
      <c r="Q1903" s="53" t="str">
        <f t="shared" si="239"/>
        <v/>
      </c>
      <c r="R1903" s="54" t="str">
        <f t="shared" si="240"/>
        <v/>
      </c>
      <c r="S1903" s="53" t="str">
        <f t="shared" si="241"/>
        <v/>
      </c>
    </row>
    <row r="1904" spans="10:19" x14ac:dyDescent="0.15">
      <c r="J1904" s="38">
        <v>1895</v>
      </c>
      <c r="K1904" s="40"/>
      <c r="L1904" s="34">
        <f t="shared" si="235"/>
        <v>8.1867809684905046E-4</v>
      </c>
      <c r="M1904" s="35">
        <f t="shared" si="236"/>
        <v>-1.1657188472654433E-7</v>
      </c>
      <c r="N1904" s="44">
        <f t="shared" si="234"/>
        <v>-5.9224560987302917E-6</v>
      </c>
      <c r="O1904" s="45" t="e">
        <f t="shared" si="237"/>
        <v>#VALUE!</v>
      </c>
      <c r="P1904" s="52" t="str">
        <f t="shared" si="238"/>
        <v/>
      </c>
      <c r="Q1904" s="53" t="str">
        <f t="shared" si="239"/>
        <v/>
      </c>
      <c r="R1904" s="54" t="str">
        <f t="shared" si="240"/>
        <v/>
      </c>
      <c r="S1904" s="53" t="str">
        <f t="shared" si="241"/>
        <v/>
      </c>
    </row>
    <row r="1905" spans="10:19" x14ac:dyDescent="0.15">
      <c r="J1905" s="38">
        <v>1896</v>
      </c>
      <c r="K1905" s="40"/>
      <c r="L1905" s="34">
        <f t="shared" si="235"/>
        <v>8.1856148651894957E-4</v>
      </c>
      <c r="M1905" s="35">
        <f t="shared" si="236"/>
        <v>-1.166487566542226E-7</v>
      </c>
      <c r="N1905" s="44">
        <f t="shared" si="234"/>
        <v>-5.9261630079603849E-6</v>
      </c>
      <c r="O1905" s="45" t="e">
        <f t="shared" si="237"/>
        <v>#VALUE!</v>
      </c>
      <c r="P1905" s="52" t="str">
        <f t="shared" si="238"/>
        <v/>
      </c>
      <c r="Q1905" s="53" t="str">
        <f t="shared" si="239"/>
        <v/>
      </c>
      <c r="R1905" s="54" t="str">
        <f t="shared" si="240"/>
        <v/>
      </c>
      <c r="S1905" s="53" t="str">
        <f t="shared" si="241"/>
        <v/>
      </c>
    </row>
    <row r="1906" spans="10:19" x14ac:dyDescent="0.15">
      <c r="J1906" s="38">
        <v>1897</v>
      </c>
      <c r="K1906" s="40"/>
      <c r="L1906" s="34">
        <f t="shared" si="235"/>
        <v>8.1844479937334756E-4</v>
      </c>
      <c r="M1906" s="35">
        <f t="shared" si="236"/>
        <v>-1.1672551576579956E-7</v>
      </c>
      <c r="N1906" s="44">
        <f t="shared" si="234"/>
        <v>-5.929864541667643E-6</v>
      </c>
      <c r="O1906" s="45" t="e">
        <f t="shared" si="237"/>
        <v>#VALUE!</v>
      </c>
      <c r="P1906" s="52" t="str">
        <f t="shared" si="238"/>
        <v/>
      </c>
      <c r="Q1906" s="53" t="str">
        <f t="shared" si="239"/>
        <v/>
      </c>
      <c r="R1906" s="54" t="str">
        <f t="shared" si="240"/>
        <v/>
      </c>
      <c r="S1906" s="53" t="str">
        <f t="shared" si="241"/>
        <v/>
      </c>
    </row>
    <row r="1907" spans="10:19" x14ac:dyDescent="0.15">
      <c r="J1907" s="38">
        <v>1898</v>
      </c>
      <c r="K1907" s="40"/>
      <c r="L1907" s="34">
        <f t="shared" si="235"/>
        <v>8.1832803552494985E-4</v>
      </c>
      <c r="M1907" s="35">
        <f t="shared" si="236"/>
        <v>-1.1680216228192357E-7</v>
      </c>
      <c r="N1907" s="44">
        <f t="shared" si="234"/>
        <v>-5.9335607102411082E-6</v>
      </c>
      <c r="O1907" s="45" t="e">
        <f t="shared" si="237"/>
        <v>#VALUE!</v>
      </c>
      <c r="P1907" s="52" t="str">
        <f t="shared" si="238"/>
        <v/>
      </c>
      <c r="Q1907" s="53" t="str">
        <f t="shared" si="239"/>
        <v/>
      </c>
      <c r="R1907" s="54" t="str">
        <f t="shared" si="240"/>
        <v/>
      </c>
      <c r="S1907" s="53" t="str">
        <f t="shared" si="241"/>
        <v/>
      </c>
    </row>
    <row r="1908" spans="10:19" x14ac:dyDescent="0.15">
      <c r="J1908" s="38">
        <v>1899</v>
      </c>
      <c r="K1908" s="40"/>
      <c r="L1908" s="34">
        <f t="shared" si="235"/>
        <v>8.1821119508624209E-4</v>
      </c>
      <c r="M1908" s="35">
        <f t="shared" si="236"/>
        <v>-1.1687869642270383E-7</v>
      </c>
      <c r="N1908" s="44">
        <f t="shared" si="234"/>
        <v>-5.9372515240449942E-6</v>
      </c>
      <c r="O1908" s="45" t="e">
        <f t="shared" si="237"/>
        <v>#VALUE!</v>
      </c>
      <c r="P1908" s="52" t="str">
        <f t="shared" si="238"/>
        <v/>
      </c>
      <c r="Q1908" s="53" t="str">
        <f t="shared" si="239"/>
        <v/>
      </c>
      <c r="R1908" s="54" t="str">
        <f t="shared" si="240"/>
        <v/>
      </c>
      <c r="S1908" s="53" t="str">
        <f t="shared" si="241"/>
        <v/>
      </c>
    </row>
    <row r="1909" spans="10:19" x14ac:dyDescent="0.15">
      <c r="J1909" s="38">
        <v>1900</v>
      </c>
      <c r="K1909" s="40"/>
      <c r="L1909" s="34">
        <f t="shared" si="235"/>
        <v>8.1809427816948973E-4</v>
      </c>
      <c r="M1909" s="35">
        <f t="shared" si="236"/>
        <v>-1.1695511840771193E-7</v>
      </c>
      <c r="N1909" s="44">
        <f t="shared" si="234"/>
        <v>-5.9409369934181446E-6</v>
      </c>
      <c r="O1909" s="45" t="e">
        <f t="shared" si="237"/>
        <v>#VALUE!</v>
      </c>
      <c r="P1909" s="52" t="str">
        <f t="shared" si="238"/>
        <v/>
      </c>
      <c r="Q1909" s="53" t="str">
        <f t="shared" si="239"/>
        <v/>
      </c>
      <c r="R1909" s="54" t="str">
        <f t="shared" si="240"/>
        <v/>
      </c>
      <c r="S1909" s="53" t="str">
        <f t="shared" si="241"/>
        <v/>
      </c>
    </row>
    <row r="1910" spans="10:19" x14ac:dyDescent="0.15">
      <c r="J1910" s="38">
        <v>1901</v>
      </c>
      <c r="K1910" s="40"/>
      <c r="L1910" s="34">
        <f t="shared" si="235"/>
        <v>8.1797728488673877E-4</v>
      </c>
      <c r="M1910" s="35">
        <f t="shared" si="236"/>
        <v>-1.1703142845598347E-7</v>
      </c>
      <c r="N1910" s="44">
        <f t="shared" si="234"/>
        <v>-5.944617128674683E-6</v>
      </c>
      <c r="O1910" s="45" t="e">
        <f t="shared" si="237"/>
        <v>#VALUE!</v>
      </c>
      <c r="P1910" s="52" t="str">
        <f t="shared" si="238"/>
        <v/>
      </c>
      <c r="Q1910" s="53" t="str">
        <f t="shared" si="239"/>
        <v/>
      </c>
      <c r="R1910" s="54" t="str">
        <f t="shared" si="240"/>
        <v/>
      </c>
      <c r="S1910" s="53" t="str">
        <f t="shared" si="241"/>
        <v/>
      </c>
    </row>
    <row r="1911" spans="10:19" x14ac:dyDescent="0.15">
      <c r="J1911" s="38">
        <v>1902</v>
      </c>
      <c r="K1911" s="40"/>
      <c r="L1911" s="34">
        <f t="shared" si="235"/>
        <v>8.1786021534981709E-4</v>
      </c>
      <c r="M1911" s="35">
        <f t="shared" si="236"/>
        <v>-1.1710762678601961E-7</v>
      </c>
      <c r="N1911" s="44">
        <f t="shared" si="234"/>
        <v>-5.9482919401041218E-6</v>
      </c>
      <c r="O1911" s="45" t="e">
        <f t="shared" si="237"/>
        <v>#VALUE!</v>
      </c>
      <c r="P1911" s="52" t="str">
        <f t="shared" si="238"/>
        <v/>
      </c>
      <c r="Q1911" s="53" t="str">
        <f t="shared" si="239"/>
        <v/>
      </c>
      <c r="R1911" s="54" t="str">
        <f t="shared" si="240"/>
        <v/>
      </c>
      <c r="S1911" s="53" t="str">
        <f t="shared" si="241"/>
        <v/>
      </c>
    </row>
    <row r="1912" spans="10:19" x14ac:dyDescent="0.15">
      <c r="J1912" s="38">
        <v>1903</v>
      </c>
      <c r="K1912" s="40"/>
      <c r="L1912" s="34">
        <f t="shared" si="235"/>
        <v>8.1774306967033364E-4</v>
      </c>
      <c r="M1912" s="35">
        <f t="shared" si="236"/>
        <v>-1.1718371361578858E-7</v>
      </c>
      <c r="N1912" s="44">
        <f t="shared" si="234"/>
        <v>-5.9519614379708197E-6</v>
      </c>
      <c r="O1912" s="45" t="e">
        <f t="shared" si="237"/>
        <v>#VALUE!</v>
      </c>
      <c r="P1912" s="52" t="str">
        <f t="shared" si="238"/>
        <v/>
      </c>
      <c r="Q1912" s="53" t="str">
        <f t="shared" si="239"/>
        <v/>
      </c>
      <c r="R1912" s="54" t="str">
        <f t="shared" si="240"/>
        <v/>
      </c>
      <c r="S1912" s="53" t="str">
        <f t="shared" si="241"/>
        <v/>
      </c>
    </row>
    <row r="1913" spans="10:19" x14ac:dyDescent="0.15">
      <c r="J1913" s="38">
        <v>1904</v>
      </c>
      <c r="K1913" s="40"/>
      <c r="L1913" s="34">
        <f t="shared" si="235"/>
        <v>8.1762584795967979E-4</v>
      </c>
      <c r="M1913" s="35">
        <f t="shared" si="236"/>
        <v>-1.1725968916272733E-7</v>
      </c>
      <c r="N1913" s="44">
        <f t="shared" si="234"/>
        <v>-5.9556256325137653E-6</v>
      </c>
      <c r="O1913" s="45" t="e">
        <f t="shared" si="237"/>
        <v>#VALUE!</v>
      </c>
      <c r="P1913" s="52" t="str">
        <f t="shared" si="238"/>
        <v/>
      </c>
      <c r="Q1913" s="53" t="str">
        <f t="shared" si="239"/>
        <v/>
      </c>
      <c r="R1913" s="54" t="str">
        <f t="shared" si="240"/>
        <v/>
      </c>
      <c r="S1913" s="53" t="str">
        <f t="shared" si="241"/>
        <v/>
      </c>
    </row>
    <row r="1914" spans="10:19" x14ac:dyDescent="0.15">
      <c r="J1914" s="38">
        <v>1905</v>
      </c>
      <c r="K1914" s="40"/>
      <c r="L1914" s="34">
        <f t="shared" si="235"/>
        <v>8.1750855032903017E-4</v>
      </c>
      <c r="M1914" s="35">
        <f t="shared" si="236"/>
        <v>-1.1733555364374302E-7</v>
      </c>
      <c r="N1914" s="44">
        <f t="shared" si="234"/>
        <v>-5.9592845339491787E-6</v>
      </c>
      <c r="O1914" s="45" t="e">
        <f t="shared" si="237"/>
        <v>#VALUE!</v>
      </c>
      <c r="P1914" s="52" t="str">
        <f t="shared" si="238"/>
        <v/>
      </c>
      <c r="Q1914" s="53" t="str">
        <f t="shared" si="239"/>
        <v/>
      </c>
      <c r="R1914" s="54" t="str">
        <f t="shared" si="240"/>
        <v/>
      </c>
      <c r="S1914" s="53" t="str">
        <f t="shared" si="241"/>
        <v/>
      </c>
    </row>
    <row r="1915" spans="10:19" x14ac:dyDescent="0.15">
      <c r="J1915" s="38">
        <v>1906</v>
      </c>
      <c r="K1915" s="40"/>
      <c r="L1915" s="34">
        <f t="shared" si="235"/>
        <v>8.1739117688934204E-4</v>
      </c>
      <c r="M1915" s="35">
        <f t="shared" si="236"/>
        <v>-1.1741130727521459E-7</v>
      </c>
      <c r="N1915" s="44">
        <f t="shared" si="234"/>
        <v>-5.962938152466392E-6</v>
      </c>
      <c r="O1915" s="45" t="e">
        <f t="shared" si="237"/>
        <v>#VALUE!</v>
      </c>
      <c r="P1915" s="52" t="str">
        <f t="shared" si="238"/>
        <v/>
      </c>
      <c r="Q1915" s="53" t="str">
        <f t="shared" si="239"/>
        <v/>
      </c>
      <c r="R1915" s="54" t="str">
        <f t="shared" si="240"/>
        <v/>
      </c>
      <c r="S1915" s="53" t="str">
        <f t="shared" si="241"/>
        <v/>
      </c>
    </row>
    <row r="1916" spans="10:19" x14ac:dyDescent="0.15">
      <c r="J1916" s="38">
        <v>1907</v>
      </c>
      <c r="K1916" s="40"/>
      <c r="L1916" s="34">
        <f t="shared" si="235"/>
        <v>8.1727372775135775E-4</v>
      </c>
      <c r="M1916" s="35">
        <f t="shared" si="236"/>
        <v>-1.1748695027299426E-7</v>
      </c>
      <c r="N1916" s="44">
        <f t="shared" si="234"/>
        <v>-5.9665864982324027E-6</v>
      </c>
      <c r="O1916" s="45" t="e">
        <f t="shared" si="237"/>
        <v>#VALUE!</v>
      </c>
      <c r="P1916" s="52" t="str">
        <f t="shared" si="238"/>
        <v/>
      </c>
      <c r="Q1916" s="53" t="str">
        <f t="shared" si="239"/>
        <v/>
      </c>
      <c r="R1916" s="54" t="str">
        <f t="shared" si="240"/>
        <v/>
      </c>
      <c r="S1916" s="53" t="str">
        <f t="shared" si="241"/>
        <v/>
      </c>
    </row>
    <row r="1917" spans="10:19" x14ac:dyDescent="0.15">
      <c r="J1917" s="38">
        <v>1908</v>
      </c>
      <c r="K1917" s="40"/>
      <c r="L1917" s="34">
        <f t="shared" si="235"/>
        <v>8.1715620302560228E-4</v>
      </c>
      <c r="M1917" s="35">
        <f t="shared" si="236"/>
        <v>-1.1756248285240914E-7</v>
      </c>
      <c r="N1917" s="44">
        <f t="shared" si="234"/>
        <v>-5.9702295813875367E-6</v>
      </c>
      <c r="O1917" s="45" t="e">
        <f t="shared" si="237"/>
        <v>#VALUE!</v>
      </c>
      <c r="P1917" s="52" t="str">
        <f t="shared" si="238"/>
        <v/>
      </c>
      <c r="Q1917" s="53" t="str">
        <f t="shared" si="239"/>
        <v/>
      </c>
      <c r="R1917" s="54" t="str">
        <f t="shared" si="240"/>
        <v/>
      </c>
      <c r="S1917" s="53" t="str">
        <f t="shared" si="241"/>
        <v/>
      </c>
    </row>
    <row r="1918" spans="10:19" x14ac:dyDescent="0.15">
      <c r="J1918" s="38">
        <v>1909</v>
      </c>
      <c r="K1918" s="40"/>
      <c r="L1918" s="34">
        <f t="shared" si="235"/>
        <v>8.1703860282238713E-4</v>
      </c>
      <c r="M1918" s="35">
        <f t="shared" si="236"/>
        <v>-1.1763790522826276E-7</v>
      </c>
      <c r="N1918" s="44">
        <f t="shared" si="234"/>
        <v>-5.9738674120497857E-6</v>
      </c>
      <c r="O1918" s="45" t="e">
        <f t="shared" si="237"/>
        <v>#VALUE!</v>
      </c>
      <c r="P1918" s="52" t="str">
        <f t="shared" si="238"/>
        <v/>
      </c>
      <c r="Q1918" s="53" t="str">
        <f t="shared" si="239"/>
        <v/>
      </c>
      <c r="R1918" s="54" t="str">
        <f t="shared" si="240"/>
        <v/>
      </c>
      <c r="S1918" s="53" t="str">
        <f t="shared" si="241"/>
        <v/>
      </c>
    </row>
    <row r="1919" spans="10:19" x14ac:dyDescent="0.15">
      <c r="J1919" s="38">
        <v>1910</v>
      </c>
      <c r="K1919" s="40"/>
      <c r="L1919" s="34">
        <f t="shared" si="235"/>
        <v>8.1692092725180881E-4</v>
      </c>
      <c r="M1919" s="35">
        <f t="shared" si="236"/>
        <v>-1.1771321761483657E-7</v>
      </c>
      <c r="N1919" s="44">
        <f t="shared" si="234"/>
        <v>-5.9775000003119876E-6</v>
      </c>
      <c r="O1919" s="45" t="e">
        <f t="shared" si="237"/>
        <v>#VALUE!</v>
      </c>
      <c r="P1919" s="52" t="str">
        <f t="shared" si="238"/>
        <v/>
      </c>
      <c r="Q1919" s="53" t="str">
        <f t="shared" si="239"/>
        <v/>
      </c>
      <c r="R1919" s="54" t="str">
        <f t="shared" si="240"/>
        <v/>
      </c>
      <c r="S1919" s="53" t="str">
        <f t="shared" si="241"/>
        <v/>
      </c>
    </row>
    <row r="1920" spans="10:19" x14ac:dyDescent="0.15">
      <c r="J1920" s="38">
        <v>1911</v>
      </c>
      <c r="K1920" s="40"/>
      <c r="L1920" s="34">
        <f t="shared" si="235"/>
        <v>8.1680317642374948E-4</v>
      </c>
      <c r="M1920" s="35">
        <f t="shared" si="236"/>
        <v>-1.1778842022589135E-7</v>
      </c>
      <c r="N1920" s="44">
        <f t="shared" si="234"/>
        <v>-5.9811273562423691E-6</v>
      </c>
      <c r="O1920" s="45" t="e">
        <f t="shared" si="237"/>
        <v>#VALUE!</v>
      </c>
      <c r="P1920" s="52" t="str">
        <f t="shared" si="238"/>
        <v/>
      </c>
      <c r="Q1920" s="53" t="str">
        <f t="shared" si="239"/>
        <v/>
      </c>
      <c r="R1920" s="54" t="str">
        <f t="shared" si="240"/>
        <v/>
      </c>
      <c r="S1920" s="53" t="str">
        <f t="shared" si="241"/>
        <v/>
      </c>
    </row>
    <row r="1921" spans="10:19" x14ac:dyDescent="0.15">
      <c r="J1921" s="38">
        <v>1912</v>
      </c>
      <c r="K1921" s="40"/>
      <c r="L1921" s="34">
        <f t="shared" si="235"/>
        <v>8.1668535044787779E-4</v>
      </c>
      <c r="M1921" s="35">
        <f t="shared" si="236"/>
        <v>-1.1786351327466891E-7</v>
      </c>
      <c r="N1921" s="44">
        <f t="shared" si="234"/>
        <v>-5.9847494898854128E-6</v>
      </c>
      <c r="O1921" s="45" t="e">
        <f t="shared" si="237"/>
        <v>#VALUE!</v>
      </c>
      <c r="P1921" s="52" t="str">
        <f t="shared" si="238"/>
        <v/>
      </c>
      <c r="Q1921" s="53" t="str">
        <f t="shared" si="239"/>
        <v/>
      </c>
      <c r="R1921" s="54" t="str">
        <f t="shared" si="240"/>
        <v/>
      </c>
      <c r="S1921" s="53" t="str">
        <f t="shared" si="241"/>
        <v/>
      </c>
    </row>
    <row r="1922" spans="10:19" x14ac:dyDescent="0.15">
      <c r="J1922" s="38">
        <v>1913</v>
      </c>
      <c r="K1922" s="40"/>
      <c r="L1922" s="34">
        <f t="shared" si="235"/>
        <v>8.1656744943364994E-4</v>
      </c>
      <c r="M1922" s="35">
        <f t="shared" si="236"/>
        <v>-1.1793849697389359E-7</v>
      </c>
      <c r="N1922" s="44">
        <f t="shared" si="234"/>
        <v>-5.9883664112615319E-6</v>
      </c>
      <c r="O1922" s="45" t="e">
        <f t="shared" si="237"/>
        <v>#VALUE!</v>
      </c>
      <c r="P1922" s="52" t="str">
        <f t="shared" si="238"/>
        <v/>
      </c>
      <c r="Q1922" s="53" t="str">
        <f t="shared" si="239"/>
        <v/>
      </c>
      <c r="R1922" s="54" t="str">
        <f t="shared" si="240"/>
        <v/>
      </c>
      <c r="S1922" s="53" t="str">
        <f t="shared" si="241"/>
        <v/>
      </c>
    </row>
    <row r="1923" spans="10:19" x14ac:dyDescent="0.15">
      <c r="J1923" s="38">
        <v>1914</v>
      </c>
      <c r="K1923" s="40"/>
      <c r="L1923" s="34">
        <f t="shared" si="235"/>
        <v>8.1644947349030915E-4</v>
      </c>
      <c r="M1923" s="35">
        <f t="shared" si="236"/>
        <v>-1.1801337153577357E-7</v>
      </c>
      <c r="N1923" s="44">
        <f t="shared" si="234"/>
        <v>-5.9919781303670707E-6</v>
      </c>
      <c r="O1923" s="45" t="e">
        <f t="shared" si="237"/>
        <v>#VALUE!</v>
      </c>
      <c r="P1923" s="52" t="str">
        <f t="shared" si="238"/>
        <v/>
      </c>
      <c r="Q1923" s="53" t="str">
        <f t="shared" si="239"/>
        <v/>
      </c>
      <c r="R1923" s="54" t="str">
        <f t="shared" si="240"/>
        <v/>
      </c>
      <c r="S1923" s="53" t="str">
        <f t="shared" si="241"/>
        <v/>
      </c>
    </row>
    <row r="1924" spans="10:19" x14ac:dyDescent="0.15">
      <c r="J1924" s="38">
        <v>1915</v>
      </c>
      <c r="K1924" s="40"/>
      <c r="L1924" s="34">
        <f t="shared" si="235"/>
        <v>8.1633142272688681E-4</v>
      </c>
      <c r="M1924" s="35">
        <f t="shared" si="236"/>
        <v>-1.1808813717200267E-7</v>
      </c>
      <c r="N1924" s="44">
        <f t="shared" si="234"/>
        <v>-5.9955846571741953E-6</v>
      </c>
      <c r="O1924" s="45" t="e">
        <f t="shared" si="237"/>
        <v>#VALUE!</v>
      </c>
      <c r="P1924" s="52" t="str">
        <f t="shared" si="238"/>
        <v/>
      </c>
      <c r="Q1924" s="53" t="str">
        <f t="shared" si="239"/>
        <v/>
      </c>
      <c r="R1924" s="54" t="str">
        <f t="shared" si="240"/>
        <v/>
      </c>
      <c r="S1924" s="53" t="str">
        <f t="shared" si="241"/>
        <v/>
      </c>
    </row>
    <row r="1925" spans="10:19" x14ac:dyDescent="0.15">
      <c r="J1925" s="38">
        <v>1916</v>
      </c>
      <c r="K1925" s="40"/>
      <c r="L1925" s="34">
        <f t="shared" si="235"/>
        <v>8.162132972522032E-4</v>
      </c>
      <c r="M1925" s="35">
        <f t="shared" si="236"/>
        <v>-1.1816279409376143E-7</v>
      </c>
      <c r="N1925" s="44">
        <f t="shared" si="234"/>
        <v>-5.9991860016316532E-6</v>
      </c>
      <c r="O1925" s="45" t="e">
        <f t="shared" si="237"/>
        <v>#VALUE!</v>
      </c>
      <c r="P1925" s="52" t="str">
        <f t="shared" si="238"/>
        <v/>
      </c>
      <c r="Q1925" s="53" t="str">
        <f t="shared" si="239"/>
        <v/>
      </c>
      <c r="R1925" s="54" t="str">
        <f t="shared" si="240"/>
        <v/>
      </c>
      <c r="S1925" s="53" t="str">
        <f t="shared" si="241"/>
        <v/>
      </c>
    </row>
    <row r="1926" spans="10:19" x14ac:dyDescent="0.15">
      <c r="J1926" s="38">
        <v>1917</v>
      </c>
      <c r="K1926" s="40"/>
      <c r="L1926" s="34">
        <f t="shared" si="235"/>
        <v>8.1609509717486741E-4</v>
      </c>
      <c r="M1926" s="35">
        <f t="shared" si="236"/>
        <v>-1.1823734251171918E-7</v>
      </c>
      <c r="N1926" s="44">
        <f t="shared" si="234"/>
        <v>-6.0027821736643398E-6</v>
      </c>
      <c r="O1926" s="45" t="e">
        <f t="shared" si="237"/>
        <v>#VALUE!</v>
      </c>
      <c r="P1926" s="52" t="str">
        <f t="shared" si="238"/>
        <v/>
      </c>
      <c r="Q1926" s="53" t="str">
        <f t="shared" si="239"/>
        <v/>
      </c>
      <c r="R1926" s="54" t="str">
        <f t="shared" si="240"/>
        <v/>
      </c>
      <c r="S1926" s="53" t="str">
        <f t="shared" si="241"/>
        <v/>
      </c>
    </row>
    <row r="1927" spans="10:19" x14ac:dyDescent="0.15">
      <c r="J1927" s="38">
        <v>1918</v>
      </c>
      <c r="K1927" s="40"/>
      <c r="L1927" s="34">
        <f t="shared" si="235"/>
        <v>8.1597682260327775E-4</v>
      </c>
      <c r="M1927" s="35">
        <f t="shared" si="236"/>
        <v>-1.1831178263603489E-7</v>
      </c>
      <c r="N1927" s="44">
        <f t="shared" si="234"/>
        <v>-6.0063731831724301E-6</v>
      </c>
      <c r="O1927" s="45" t="e">
        <f t="shared" si="237"/>
        <v>#VALUE!</v>
      </c>
      <c r="P1927" s="52" t="str">
        <f t="shared" si="238"/>
        <v/>
      </c>
      <c r="Q1927" s="53" t="str">
        <f t="shared" si="239"/>
        <v/>
      </c>
      <c r="R1927" s="54" t="str">
        <f t="shared" si="240"/>
        <v/>
      </c>
      <c r="S1927" s="53" t="str">
        <f t="shared" si="241"/>
        <v/>
      </c>
    </row>
    <row r="1928" spans="10:19" x14ac:dyDescent="0.15">
      <c r="J1928" s="38">
        <v>1919</v>
      </c>
      <c r="K1928" s="40"/>
      <c r="L1928" s="34">
        <f t="shared" si="235"/>
        <v>8.1585847364562319E-4</v>
      </c>
      <c r="M1928" s="35">
        <f t="shared" si="236"/>
        <v>-1.1838611467635915E-7</v>
      </c>
      <c r="N1928" s="44">
        <f t="shared" si="234"/>
        <v>-6.0099590400336566E-6</v>
      </c>
      <c r="O1928" s="45" t="e">
        <f t="shared" si="237"/>
        <v>#VALUE!</v>
      </c>
      <c r="P1928" s="52" t="str">
        <f t="shared" si="238"/>
        <v/>
      </c>
      <c r="Q1928" s="53" t="str">
        <f t="shared" si="239"/>
        <v/>
      </c>
      <c r="R1928" s="54" t="str">
        <f t="shared" si="240"/>
        <v/>
      </c>
      <c r="S1928" s="53" t="str">
        <f t="shared" si="241"/>
        <v/>
      </c>
    </row>
    <row r="1929" spans="10:19" x14ac:dyDescent="0.15">
      <c r="J1929" s="38">
        <v>1920</v>
      </c>
      <c r="K1929" s="40"/>
      <c r="L1929" s="34">
        <f t="shared" si="235"/>
        <v>8.1574005040988332E-4</v>
      </c>
      <c r="M1929" s="35">
        <f t="shared" si="236"/>
        <v>-1.1846033884183541E-7</v>
      </c>
      <c r="N1929" s="44">
        <f t="shared" ref="N1929:N1958" si="242">(L1979-L1929)</f>
        <v>-6.0135397541017906E-6</v>
      </c>
      <c r="O1929" s="45" t="e">
        <f t="shared" si="237"/>
        <v>#VALUE!</v>
      </c>
      <c r="P1929" s="52" t="str">
        <f t="shared" si="238"/>
        <v/>
      </c>
      <c r="Q1929" s="53" t="str">
        <f t="shared" si="239"/>
        <v/>
      </c>
      <c r="R1929" s="54" t="str">
        <f t="shared" si="240"/>
        <v/>
      </c>
      <c r="S1929" s="53" t="str">
        <f t="shared" si="241"/>
        <v/>
      </c>
    </row>
    <row r="1930" spans="10:19" x14ac:dyDescent="0.15">
      <c r="J1930" s="38">
        <v>1921</v>
      </c>
      <c r="K1930" s="40"/>
      <c r="L1930" s="34">
        <f t="shared" ref="L1930:L1993" si="243">$F$39*((1-$F$40*J1930)/(1+$F$41*J1930))*(J1930-$F$42)</f>
        <v>8.1562155300382837E-4</v>
      </c>
      <c r="M1930" s="35">
        <f t="shared" ref="M1930:M1993" si="244">$F$39*((1-2*$F$40*J1930-$F$40*$F$41*(J1930^2)+($F$41+$F$40)*$F$42)/(1+$F$41*J1930)^2)</f>
        <v>-1.185344553411014E-7</v>
      </c>
      <c r="N1930" s="44">
        <f t="shared" si="242"/>
        <v>-6.0171153352064259E-6</v>
      </c>
      <c r="O1930" s="45" t="e">
        <f t="shared" ref="O1930:O1958" si="245">IF(N1930&lt;=$B$49,1+O1929,0)</f>
        <v>#VALUE!</v>
      </c>
      <c r="P1930" s="52" t="str">
        <f t="shared" ref="P1930:P1959" si="246">IF(J1930&lt;=$F$42,J1930,"")</f>
        <v/>
      </c>
      <c r="Q1930" s="53" t="str">
        <f t="shared" ref="Q1930:Q1959" si="247">IF(J1930&lt;=$F$42,L1930,"")</f>
        <v/>
      </c>
      <c r="R1930" s="54" t="str">
        <f t="shared" ref="R1930:R1959" si="248">IF(AND(J1930&gt;=$F$42,J1930&lt;=200),J1930,"")</f>
        <v/>
      </c>
      <c r="S1930" s="53" t="str">
        <f t="shared" ref="S1930:S1959" si="249">IF(AND(J1930&gt;=$F$42,J1930&lt;=200),L1930,"")</f>
        <v/>
      </c>
    </row>
    <row r="1931" spans="10:19" x14ac:dyDescent="0.15">
      <c r="J1931" s="38">
        <v>1922</v>
      </c>
      <c r="K1931" s="40"/>
      <c r="L1931" s="34">
        <f t="shared" si="243"/>
        <v>8.1550298153502054E-4</v>
      </c>
      <c r="M1931" s="35">
        <f t="shared" si="244"/>
        <v>-1.1860846438229093E-7</v>
      </c>
      <c r="N1931" s="44">
        <f t="shared" si="242"/>
        <v>-6.0206857931546049E-6</v>
      </c>
      <c r="O1931" s="45" t="e">
        <f t="shared" si="245"/>
        <v>#VALUE!</v>
      </c>
      <c r="P1931" s="52" t="str">
        <f t="shared" si="246"/>
        <v/>
      </c>
      <c r="Q1931" s="53" t="str">
        <f t="shared" si="247"/>
        <v/>
      </c>
      <c r="R1931" s="54" t="str">
        <f t="shared" si="248"/>
        <v/>
      </c>
      <c r="S1931" s="53" t="str">
        <f t="shared" si="249"/>
        <v/>
      </c>
    </row>
    <row r="1932" spans="10:19" x14ac:dyDescent="0.15">
      <c r="J1932" s="38">
        <v>1923</v>
      </c>
      <c r="K1932" s="40"/>
      <c r="L1932" s="34">
        <f t="shared" si="243"/>
        <v>8.1538433611081382E-4</v>
      </c>
      <c r="M1932" s="35">
        <f t="shared" si="244"/>
        <v>-1.1868236617303486E-7</v>
      </c>
      <c r="N1932" s="44">
        <f t="shared" si="242"/>
        <v>-6.0242511377288669E-6</v>
      </c>
      <c r="O1932" s="45" t="e">
        <f t="shared" si="245"/>
        <v>#VALUE!</v>
      </c>
      <c r="P1932" s="52" t="str">
        <f t="shared" si="246"/>
        <v/>
      </c>
      <c r="Q1932" s="53" t="str">
        <f t="shared" si="247"/>
        <v/>
      </c>
      <c r="R1932" s="54" t="str">
        <f t="shared" si="248"/>
        <v/>
      </c>
      <c r="S1932" s="53" t="str">
        <f t="shared" si="249"/>
        <v/>
      </c>
    </row>
    <row r="1933" spans="10:19" x14ac:dyDescent="0.15">
      <c r="J1933" s="38">
        <v>1924</v>
      </c>
      <c r="K1933" s="40"/>
      <c r="L1933" s="34">
        <f t="shared" si="243"/>
        <v>8.1526561683835548E-4</v>
      </c>
      <c r="M1933" s="35">
        <f t="shared" si="244"/>
        <v>-1.1875616092046291E-7</v>
      </c>
      <c r="N1933" s="44">
        <f t="shared" si="242"/>
        <v>-6.0278113786900673E-6</v>
      </c>
      <c r="O1933" s="45" t="e">
        <f t="shared" si="245"/>
        <v>#VALUE!</v>
      </c>
      <c r="P1933" s="52" t="str">
        <f t="shared" si="246"/>
        <v/>
      </c>
      <c r="Q1933" s="53" t="str">
        <f t="shared" si="247"/>
        <v/>
      </c>
      <c r="R1933" s="54" t="str">
        <f t="shared" si="248"/>
        <v/>
      </c>
      <c r="S1933" s="53" t="str">
        <f t="shared" si="249"/>
        <v/>
      </c>
    </row>
    <row r="1934" spans="10:19" x14ac:dyDescent="0.15">
      <c r="J1934" s="38">
        <v>1925</v>
      </c>
      <c r="K1934" s="40"/>
      <c r="L1934" s="34">
        <f t="shared" si="243"/>
        <v>8.1514682382458515E-4</v>
      </c>
      <c r="M1934" s="35">
        <f t="shared" si="244"/>
        <v>-1.1882984883120511E-7</v>
      </c>
      <c r="N1934" s="44">
        <f t="shared" si="242"/>
        <v>-6.0313665257739077E-6</v>
      </c>
      <c r="O1934" s="45" t="e">
        <f t="shared" si="245"/>
        <v>#VALUE!</v>
      </c>
      <c r="P1934" s="52" t="str">
        <f t="shared" si="246"/>
        <v/>
      </c>
      <c r="Q1934" s="53" t="str">
        <f t="shared" si="247"/>
        <v/>
      </c>
      <c r="R1934" s="54" t="str">
        <f t="shared" si="248"/>
        <v/>
      </c>
      <c r="S1934" s="53" t="str">
        <f t="shared" si="249"/>
        <v/>
      </c>
    </row>
    <row r="1935" spans="10:19" x14ac:dyDescent="0.15">
      <c r="J1935" s="38">
        <v>1926</v>
      </c>
      <c r="K1935" s="40"/>
      <c r="L1935" s="34">
        <f t="shared" si="243"/>
        <v>8.1502795717623667E-4</v>
      </c>
      <c r="M1935" s="35">
        <f t="shared" si="244"/>
        <v>-1.1890343011139288E-7</v>
      </c>
      <c r="N1935" s="44">
        <f t="shared" si="242"/>
        <v>-6.0349165886942977E-6</v>
      </c>
      <c r="O1935" s="45" t="e">
        <f t="shared" si="245"/>
        <v>#VALUE!</v>
      </c>
      <c r="P1935" s="52" t="str">
        <f t="shared" si="246"/>
        <v/>
      </c>
      <c r="Q1935" s="53" t="str">
        <f t="shared" si="247"/>
        <v/>
      </c>
      <c r="R1935" s="54" t="str">
        <f t="shared" si="248"/>
        <v/>
      </c>
      <c r="S1935" s="53" t="str">
        <f t="shared" si="249"/>
        <v/>
      </c>
    </row>
    <row r="1936" spans="10:19" x14ac:dyDescent="0.15">
      <c r="J1936" s="38">
        <v>1927</v>
      </c>
      <c r="K1936" s="40"/>
      <c r="L1936" s="34">
        <f t="shared" si="243"/>
        <v>8.1490901699983725E-4</v>
      </c>
      <c r="M1936" s="35">
        <f t="shared" si="244"/>
        <v>-1.1897690496666108E-7</v>
      </c>
      <c r="N1936" s="44">
        <f t="shared" si="242"/>
        <v>-6.0384615771410773E-6</v>
      </c>
      <c r="O1936" s="45" t="e">
        <f t="shared" si="245"/>
        <v>#VALUE!</v>
      </c>
      <c r="P1936" s="52" t="str">
        <f t="shared" si="246"/>
        <v/>
      </c>
      <c r="Q1936" s="53" t="str">
        <f t="shared" si="247"/>
        <v/>
      </c>
      <c r="R1936" s="54" t="str">
        <f t="shared" si="248"/>
        <v/>
      </c>
      <c r="S1936" s="53" t="str">
        <f t="shared" si="249"/>
        <v/>
      </c>
    </row>
    <row r="1937" spans="10:19" x14ac:dyDescent="0.15">
      <c r="J1937" s="38">
        <v>1928</v>
      </c>
      <c r="K1937" s="40"/>
      <c r="L1937" s="34">
        <f t="shared" si="243"/>
        <v>8.1479000340170993E-4</v>
      </c>
      <c r="M1937" s="35">
        <f t="shared" si="244"/>
        <v>-1.1905027360214885E-7</v>
      </c>
      <c r="N1937" s="44">
        <f t="shared" si="242"/>
        <v>-6.0420015007818604E-6</v>
      </c>
      <c r="O1937" s="45" t="e">
        <f t="shared" si="245"/>
        <v>#VALUE!</v>
      </c>
      <c r="P1937" s="52" t="str">
        <f t="shared" si="246"/>
        <v/>
      </c>
      <c r="Q1937" s="53" t="str">
        <f t="shared" si="247"/>
        <v/>
      </c>
      <c r="R1937" s="54" t="str">
        <f t="shared" si="248"/>
        <v/>
      </c>
      <c r="S1937" s="53" t="str">
        <f t="shared" si="249"/>
        <v/>
      </c>
    </row>
    <row r="1938" spans="10:19" x14ac:dyDescent="0.15">
      <c r="J1938" s="38">
        <v>1929</v>
      </c>
      <c r="K1938" s="40"/>
      <c r="L1938" s="34">
        <f t="shared" si="243"/>
        <v>8.1467091648797132E-4</v>
      </c>
      <c r="M1938" s="35">
        <f t="shared" si="244"/>
        <v>-1.1912353622250142E-7</v>
      </c>
      <c r="N1938" s="44">
        <f t="shared" si="242"/>
        <v>-6.0455363692598664E-6</v>
      </c>
      <c r="O1938" s="45" t="e">
        <f t="shared" si="245"/>
        <v>#VALUE!</v>
      </c>
      <c r="P1938" s="52" t="str">
        <f t="shared" si="246"/>
        <v/>
      </c>
      <c r="Q1938" s="53" t="str">
        <f t="shared" si="247"/>
        <v/>
      </c>
      <c r="R1938" s="54" t="str">
        <f t="shared" si="248"/>
        <v/>
      </c>
      <c r="S1938" s="53" t="str">
        <f t="shared" si="249"/>
        <v/>
      </c>
    </row>
    <row r="1939" spans="10:19" x14ac:dyDescent="0.15">
      <c r="J1939" s="38">
        <v>1930</v>
      </c>
      <c r="K1939" s="40"/>
      <c r="L1939" s="34">
        <f t="shared" si="243"/>
        <v>8.1455175636453519E-4</v>
      </c>
      <c r="M1939" s="35">
        <f t="shared" si="244"/>
        <v>-1.1919669303187139E-7</v>
      </c>
      <c r="N1939" s="44">
        <f t="shared" si="242"/>
        <v>-6.049066192197498E-6</v>
      </c>
      <c r="O1939" s="45" t="e">
        <f t="shared" si="245"/>
        <v>#VALUE!</v>
      </c>
      <c r="P1939" s="52" t="str">
        <f t="shared" si="246"/>
        <v/>
      </c>
      <c r="Q1939" s="53" t="str">
        <f t="shared" si="247"/>
        <v/>
      </c>
      <c r="R1939" s="54" t="str">
        <f t="shared" si="248"/>
        <v/>
      </c>
      <c r="S1939" s="53" t="str">
        <f t="shared" si="249"/>
        <v/>
      </c>
    </row>
    <row r="1940" spans="10:19" x14ac:dyDescent="0.15">
      <c r="J1940" s="38">
        <v>1931</v>
      </c>
      <c r="K1940" s="40"/>
      <c r="L1940" s="34">
        <f t="shared" si="243"/>
        <v>8.1443252313711015E-4</v>
      </c>
      <c r="M1940" s="35">
        <f t="shared" si="244"/>
        <v>-1.1926974423392012E-7</v>
      </c>
      <c r="N1940" s="44">
        <f t="shared" si="242"/>
        <v>-6.0525909791923297E-6</v>
      </c>
      <c r="O1940" s="45" t="e">
        <f t="shared" si="245"/>
        <v>#VALUE!</v>
      </c>
      <c r="P1940" s="52" t="str">
        <f t="shared" si="246"/>
        <v/>
      </c>
      <c r="Q1940" s="53" t="str">
        <f t="shared" si="247"/>
        <v/>
      </c>
      <c r="R1940" s="54" t="str">
        <f t="shared" si="248"/>
        <v/>
      </c>
      <c r="S1940" s="53" t="str">
        <f t="shared" si="249"/>
        <v/>
      </c>
    </row>
    <row r="1941" spans="10:19" x14ac:dyDescent="0.15">
      <c r="J1941" s="38">
        <v>1932</v>
      </c>
      <c r="K1941" s="40"/>
      <c r="L1941" s="34">
        <f t="shared" si="243"/>
        <v>8.1431321691120189E-4</v>
      </c>
      <c r="M1941" s="35">
        <f t="shared" si="244"/>
        <v>-1.1934269003181929E-7</v>
      </c>
      <c r="N1941" s="44">
        <f t="shared" si="242"/>
        <v>-6.0561107398197098E-6</v>
      </c>
      <c r="O1941" s="45" t="e">
        <f t="shared" si="245"/>
        <v>#VALUE!</v>
      </c>
      <c r="P1941" s="52" t="str">
        <f t="shared" si="246"/>
        <v/>
      </c>
      <c r="Q1941" s="53" t="str">
        <f t="shared" si="247"/>
        <v/>
      </c>
      <c r="R1941" s="54" t="str">
        <f t="shared" si="248"/>
        <v/>
      </c>
      <c r="S1941" s="53" t="str">
        <f t="shared" si="249"/>
        <v/>
      </c>
    </row>
    <row r="1942" spans="10:19" x14ac:dyDescent="0.15">
      <c r="J1942" s="38">
        <v>1933</v>
      </c>
      <c r="K1942" s="40"/>
      <c r="L1942" s="34">
        <f t="shared" si="243"/>
        <v>8.1419383779211363E-4</v>
      </c>
      <c r="M1942" s="35">
        <f t="shared" si="244"/>
        <v>-1.1941553062825223E-7</v>
      </c>
      <c r="N1942" s="44">
        <f t="shared" si="242"/>
        <v>-6.0596254836331942E-6</v>
      </c>
      <c r="O1942" s="45" t="e">
        <f t="shared" si="245"/>
        <v>#VALUE!</v>
      </c>
      <c r="P1942" s="52" t="str">
        <f t="shared" si="246"/>
        <v/>
      </c>
      <c r="Q1942" s="53" t="str">
        <f t="shared" si="247"/>
        <v/>
      </c>
      <c r="R1942" s="54" t="str">
        <f t="shared" si="248"/>
        <v/>
      </c>
      <c r="S1942" s="53" t="str">
        <f t="shared" si="249"/>
        <v/>
      </c>
    </row>
    <row r="1943" spans="10:19" x14ac:dyDescent="0.15">
      <c r="J1943" s="38">
        <v>1934</v>
      </c>
      <c r="K1943" s="40"/>
      <c r="L1943" s="34">
        <f t="shared" si="243"/>
        <v>8.1407438588494523E-4</v>
      </c>
      <c r="M1943" s="35">
        <f t="shared" si="244"/>
        <v>-1.1948826622541522E-7</v>
      </c>
      <c r="N1943" s="44">
        <f t="shared" si="242"/>
        <v>-6.0631352201619441E-6</v>
      </c>
      <c r="O1943" s="45" t="e">
        <f t="shared" si="245"/>
        <v>#VALUE!</v>
      </c>
      <c r="P1943" s="52" t="str">
        <f t="shared" si="246"/>
        <v/>
      </c>
      <c r="Q1943" s="53" t="str">
        <f t="shared" si="247"/>
        <v/>
      </c>
      <c r="R1943" s="54" t="str">
        <f t="shared" si="248"/>
        <v/>
      </c>
      <c r="S1943" s="53" t="str">
        <f t="shared" si="249"/>
        <v/>
      </c>
    </row>
    <row r="1944" spans="10:19" x14ac:dyDescent="0.15">
      <c r="J1944" s="38">
        <v>1935</v>
      </c>
      <c r="K1944" s="40"/>
      <c r="L1944" s="34">
        <f t="shared" si="243"/>
        <v>8.1395486129459541E-4</v>
      </c>
      <c r="M1944" s="35">
        <f t="shared" si="244"/>
        <v>-1.1956089702501907E-7</v>
      </c>
      <c r="N1944" s="44">
        <f t="shared" si="242"/>
        <v>-6.066639958913979E-6</v>
      </c>
      <c r="O1944" s="45" t="e">
        <f t="shared" si="245"/>
        <v>#VALUE!</v>
      </c>
      <c r="P1944" s="52" t="str">
        <f t="shared" si="246"/>
        <v/>
      </c>
      <c r="Q1944" s="53" t="str">
        <f t="shared" si="247"/>
        <v/>
      </c>
      <c r="R1944" s="54" t="str">
        <f t="shared" si="248"/>
        <v/>
      </c>
      <c r="S1944" s="53" t="str">
        <f t="shared" si="249"/>
        <v/>
      </c>
    </row>
    <row r="1945" spans="10:19" x14ac:dyDescent="0.15">
      <c r="J1945" s="38">
        <v>1936</v>
      </c>
      <c r="K1945" s="40"/>
      <c r="L1945" s="34">
        <f t="shared" si="243"/>
        <v>8.1383526412576071E-4</v>
      </c>
      <c r="M1945" s="35">
        <f t="shared" si="244"/>
        <v>-1.1963342322829052E-7</v>
      </c>
      <c r="N1945" s="44">
        <f t="shared" si="242"/>
        <v>-6.070139709373791E-6</v>
      </c>
      <c r="O1945" s="45" t="e">
        <f t="shared" si="245"/>
        <v>#VALUE!</v>
      </c>
      <c r="P1945" s="52" t="str">
        <f t="shared" si="246"/>
        <v/>
      </c>
      <c r="Q1945" s="53" t="str">
        <f t="shared" si="247"/>
        <v/>
      </c>
      <c r="R1945" s="54" t="str">
        <f t="shared" si="248"/>
        <v/>
      </c>
      <c r="S1945" s="53" t="str">
        <f t="shared" si="249"/>
        <v/>
      </c>
    </row>
    <row r="1946" spans="10:19" x14ac:dyDescent="0.15">
      <c r="J1946" s="38">
        <v>1937</v>
      </c>
      <c r="K1946" s="40"/>
      <c r="L1946" s="34">
        <f t="shared" si="243"/>
        <v>8.1371559448293717E-4</v>
      </c>
      <c r="M1946" s="35">
        <f t="shared" si="244"/>
        <v>-1.197058450359734E-7</v>
      </c>
      <c r="N1946" s="44">
        <f t="shared" si="242"/>
        <v>-6.0736344810038631E-6</v>
      </c>
      <c r="O1946" s="45" t="e">
        <f t="shared" si="245"/>
        <v>#VALUE!</v>
      </c>
      <c r="P1946" s="52" t="str">
        <f t="shared" si="246"/>
        <v/>
      </c>
      <c r="Q1946" s="53" t="str">
        <f t="shared" si="247"/>
        <v/>
      </c>
      <c r="R1946" s="54" t="str">
        <f t="shared" si="248"/>
        <v/>
      </c>
      <c r="S1946" s="53" t="str">
        <f t="shared" si="249"/>
        <v/>
      </c>
    </row>
    <row r="1947" spans="10:19" x14ac:dyDescent="0.15">
      <c r="J1947" s="38">
        <v>1938</v>
      </c>
      <c r="K1947" s="40"/>
      <c r="L1947" s="34">
        <f t="shared" si="243"/>
        <v>8.135958524704205E-4</v>
      </c>
      <c r="M1947" s="35">
        <f t="shared" si="244"/>
        <v>-1.1977816264833033E-7</v>
      </c>
      <c r="N1947" s="44">
        <f t="shared" si="242"/>
        <v>-6.0771242832446688E-6</v>
      </c>
      <c r="O1947" s="45" t="e">
        <f t="shared" si="245"/>
        <v>#VALUE!</v>
      </c>
      <c r="P1947" s="52" t="str">
        <f t="shared" si="246"/>
        <v/>
      </c>
      <c r="Q1947" s="53" t="str">
        <f t="shared" si="247"/>
        <v/>
      </c>
      <c r="R1947" s="54" t="str">
        <f t="shared" si="248"/>
        <v/>
      </c>
      <c r="S1947" s="53" t="str">
        <f t="shared" si="249"/>
        <v/>
      </c>
    </row>
    <row r="1948" spans="10:19" x14ac:dyDescent="0.15">
      <c r="J1948" s="38">
        <v>1939</v>
      </c>
      <c r="K1948" s="40"/>
      <c r="L1948" s="34">
        <f t="shared" si="243"/>
        <v>8.1347603819230581E-4</v>
      </c>
      <c r="M1948" s="35">
        <f t="shared" si="244"/>
        <v>-1.1985037626514383E-7</v>
      </c>
      <c r="N1948" s="44">
        <f t="shared" si="242"/>
        <v>-6.0806091255131544E-6</v>
      </c>
      <c r="O1948" s="45" t="e">
        <f t="shared" si="245"/>
        <v>#VALUE!</v>
      </c>
      <c r="P1948" s="52" t="str">
        <f t="shared" si="246"/>
        <v/>
      </c>
      <c r="Q1948" s="53" t="str">
        <f t="shared" si="247"/>
        <v/>
      </c>
      <c r="R1948" s="54" t="str">
        <f t="shared" si="248"/>
        <v/>
      </c>
      <c r="S1948" s="53" t="str">
        <f t="shared" si="249"/>
        <v/>
      </c>
    </row>
    <row r="1949" spans="10:19" x14ac:dyDescent="0.15">
      <c r="J1949" s="38">
        <v>1940</v>
      </c>
      <c r="K1949" s="40"/>
      <c r="L1949" s="34">
        <f t="shared" si="243"/>
        <v>8.1335615175248904E-4</v>
      </c>
      <c r="M1949" s="35">
        <f t="shared" si="244"/>
        <v>-1.1992248608571793E-7</v>
      </c>
      <c r="N1949" s="44">
        <f t="shared" si="242"/>
        <v>-6.0840890172051245E-6</v>
      </c>
      <c r="O1949" s="45" t="e">
        <f t="shared" si="245"/>
        <v>#VALUE!</v>
      </c>
      <c r="P1949" s="52" t="str">
        <f t="shared" si="246"/>
        <v/>
      </c>
      <c r="Q1949" s="53" t="str">
        <f t="shared" si="247"/>
        <v/>
      </c>
      <c r="R1949" s="54" t="str">
        <f t="shared" si="248"/>
        <v/>
      </c>
      <c r="S1949" s="53" t="str">
        <f t="shared" si="249"/>
        <v/>
      </c>
    </row>
    <row r="1950" spans="10:19" x14ac:dyDescent="0.15">
      <c r="J1950" s="38">
        <v>1941</v>
      </c>
      <c r="K1950" s="40"/>
      <c r="L1950" s="34">
        <f t="shared" si="243"/>
        <v>8.1323619325466667E-4</v>
      </c>
      <c r="M1950" s="35">
        <f t="shared" si="244"/>
        <v>-1.1999449230887937E-7</v>
      </c>
      <c r="N1950" s="44">
        <f t="shared" si="242"/>
        <v>-6.0875639676930731E-6</v>
      </c>
      <c r="O1950" s="45" t="e">
        <f t="shared" si="245"/>
        <v>#VALUE!</v>
      </c>
      <c r="P1950" s="52" t="str">
        <f t="shared" si="246"/>
        <v/>
      </c>
      <c r="Q1950" s="53" t="str">
        <f t="shared" si="247"/>
        <v/>
      </c>
      <c r="R1950" s="54" t="str">
        <f t="shared" si="248"/>
        <v/>
      </c>
      <c r="S1950" s="53" t="str">
        <f t="shared" si="249"/>
        <v/>
      </c>
    </row>
    <row r="1951" spans="10:19" x14ac:dyDescent="0.15">
      <c r="J1951" s="38">
        <v>1942</v>
      </c>
      <c r="K1951" s="40"/>
      <c r="L1951" s="34">
        <f t="shared" si="243"/>
        <v>8.131161628023376E-4</v>
      </c>
      <c r="M1951" s="35">
        <f t="shared" si="244"/>
        <v>-1.2006639513297905E-7</v>
      </c>
      <c r="N1951" s="44">
        <f t="shared" si="242"/>
        <v>-6.0910339863285692E-6</v>
      </c>
      <c r="O1951" s="45" t="e">
        <f t="shared" si="245"/>
        <v>#VALUE!</v>
      </c>
      <c r="P1951" s="52" t="str">
        <f t="shared" si="246"/>
        <v/>
      </c>
      <c r="Q1951" s="53" t="str">
        <f t="shared" si="247"/>
        <v/>
      </c>
      <c r="R1951" s="54" t="str">
        <f t="shared" si="248"/>
        <v/>
      </c>
      <c r="S1951" s="53" t="str">
        <f t="shared" si="249"/>
        <v/>
      </c>
    </row>
    <row r="1952" spans="10:19" x14ac:dyDescent="0.15">
      <c r="J1952" s="38">
        <v>1943</v>
      </c>
      <c r="K1952" s="40"/>
      <c r="L1952" s="34">
        <f t="shared" si="243"/>
        <v>8.1299606049880125E-4</v>
      </c>
      <c r="M1952" s="35">
        <f t="shared" si="244"/>
        <v>-1.2013819475589342E-7</v>
      </c>
      <c r="N1952" s="44">
        <f t="shared" si="242"/>
        <v>-6.0944990824401968E-6</v>
      </c>
      <c r="O1952" s="45" t="e">
        <f t="shared" si="245"/>
        <v>#VALUE!</v>
      </c>
      <c r="P1952" s="52" t="str">
        <f t="shared" si="246"/>
        <v/>
      </c>
      <c r="Q1952" s="53" t="str">
        <f t="shared" si="247"/>
        <v/>
      </c>
      <c r="R1952" s="54" t="str">
        <f t="shared" si="248"/>
        <v/>
      </c>
      <c r="S1952" s="53" t="str">
        <f t="shared" si="249"/>
        <v/>
      </c>
    </row>
    <row r="1953" spans="10:19" x14ac:dyDescent="0.15">
      <c r="J1953" s="38">
        <v>1944</v>
      </c>
      <c r="K1953" s="40"/>
      <c r="L1953" s="34">
        <f t="shared" si="243"/>
        <v>8.1287588644716037E-4</v>
      </c>
      <c r="M1953" s="35">
        <f t="shared" si="244"/>
        <v>-1.2020989137502579E-7</v>
      </c>
      <c r="N1953" s="44">
        <f t="shared" si="242"/>
        <v>-6.0979592653340967E-6</v>
      </c>
      <c r="O1953" s="45" t="e">
        <f t="shared" si="245"/>
        <v>#VALUE!</v>
      </c>
      <c r="P1953" s="52" t="str">
        <f t="shared" si="246"/>
        <v/>
      </c>
      <c r="Q1953" s="53" t="str">
        <f t="shared" si="247"/>
        <v/>
      </c>
      <c r="R1953" s="54" t="str">
        <f t="shared" si="248"/>
        <v/>
      </c>
      <c r="S1953" s="53" t="str">
        <f t="shared" si="249"/>
        <v/>
      </c>
    </row>
    <row r="1954" spans="10:19" x14ac:dyDescent="0.15">
      <c r="J1954" s="38">
        <v>1945</v>
      </c>
      <c r="K1954" s="40"/>
      <c r="L1954" s="34">
        <f t="shared" si="243"/>
        <v>8.1275564075032017E-4</v>
      </c>
      <c r="M1954" s="35">
        <f t="shared" si="244"/>
        <v>-1.2028148518730771E-7</v>
      </c>
      <c r="N1954" s="44">
        <f t="shared" si="242"/>
        <v>-6.101414544296027E-6</v>
      </c>
      <c r="O1954" s="45" t="e">
        <f t="shared" si="245"/>
        <v>#VALUE!</v>
      </c>
      <c r="P1954" s="52" t="str">
        <f t="shared" si="246"/>
        <v/>
      </c>
      <c r="Q1954" s="53" t="str">
        <f t="shared" si="247"/>
        <v/>
      </c>
      <c r="R1954" s="54" t="str">
        <f t="shared" si="248"/>
        <v/>
      </c>
      <c r="S1954" s="53" t="str">
        <f t="shared" si="249"/>
        <v/>
      </c>
    </row>
    <row r="1955" spans="10:19" x14ac:dyDescent="0.15">
      <c r="J1955" s="38">
        <v>1946</v>
      </c>
      <c r="K1955" s="40"/>
      <c r="L1955" s="34">
        <f t="shared" si="243"/>
        <v>8.1263532351098918E-4</v>
      </c>
      <c r="M1955" s="35">
        <f t="shared" si="244"/>
        <v>-1.2035297638920027E-7</v>
      </c>
      <c r="N1955" s="44">
        <f t="shared" si="242"/>
        <v>-6.1048649285876761E-6</v>
      </c>
      <c r="O1955" s="45" t="e">
        <f t="shared" si="245"/>
        <v>#VALUE!</v>
      </c>
      <c r="P1955" s="52" t="str">
        <f t="shared" si="246"/>
        <v/>
      </c>
      <c r="Q1955" s="53" t="str">
        <f t="shared" si="247"/>
        <v/>
      </c>
      <c r="R1955" s="54" t="str">
        <f t="shared" si="248"/>
        <v/>
      </c>
      <c r="S1955" s="53" t="str">
        <f t="shared" si="249"/>
        <v/>
      </c>
    </row>
    <row r="1956" spans="10:19" x14ac:dyDescent="0.15">
      <c r="J1956" s="38">
        <v>1947</v>
      </c>
      <c r="K1956" s="40"/>
      <c r="L1956" s="34">
        <f t="shared" si="243"/>
        <v>8.1251493483167991E-4</v>
      </c>
      <c r="M1956" s="35">
        <f t="shared" si="244"/>
        <v>-1.2042436517669549E-7</v>
      </c>
      <c r="N1956" s="44">
        <f t="shared" si="242"/>
        <v>-6.1083104274512173E-6</v>
      </c>
      <c r="O1956" s="45" t="e">
        <f t="shared" si="245"/>
        <v>#VALUE!</v>
      </c>
      <c r="P1956" s="52" t="str">
        <f t="shared" si="246"/>
        <v/>
      </c>
      <c r="Q1956" s="53" t="str">
        <f t="shared" si="247"/>
        <v/>
      </c>
      <c r="R1956" s="54" t="str">
        <f t="shared" si="248"/>
        <v/>
      </c>
      <c r="S1956" s="53" t="str">
        <f t="shared" si="249"/>
        <v/>
      </c>
    </row>
    <row r="1957" spans="10:19" x14ac:dyDescent="0.15">
      <c r="J1957" s="38">
        <v>1948</v>
      </c>
      <c r="K1957" s="40"/>
      <c r="L1957" s="34">
        <f t="shared" si="243"/>
        <v>8.1239447481470874E-4</v>
      </c>
      <c r="M1957" s="35">
        <f t="shared" si="244"/>
        <v>-1.2049565174531787E-7</v>
      </c>
      <c r="N1957" s="44">
        <f t="shared" si="242"/>
        <v>-6.1117510501048624E-6</v>
      </c>
      <c r="O1957" s="45" t="e">
        <f t="shared" si="245"/>
        <v>#VALUE!</v>
      </c>
      <c r="P1957" s="52" t="str">
        <f t="shared" si="246"/>
        <v/>
      </c>
      <c r="Q1957" s="53" t="str">
        <f t="shared" si="247"/>
        <v/>
      </c>
      <c r="R1957" s="54" t="str">
        <f t="shared" si="248"/>
        <v/>
      </c>
      <c r="S1957" s="53" t="str">
        <f t="shared" si="249"/>
        <v/>
      </c>
    </row>
    <row r="1958" spans="10:19" x14ac:dyDescent="0.15">
      <c r="J1958" s="38">
        <v>1949</v>
      </c>
      <c r="K1958" s="40"/>
      <c r="L1958" s="34">
        <f t="shared" si="243"/>
        <v>8.1227394356219709E-4</v>
      </c>
      <c r="M1958" s="35">
        <f t="shared" si="244"/>
        <v>-1.2056683629012523E-7</v>
      </c>
      <c r="N1958" s="44">
        <f t="shared" si="242"/>
        <v>-6.1151868057463324E-6</v>
      </c>
      <c r="O1958" s="45" t="e">
        <f t="shared" si="245"/>
        <v>#VALUE!</v>
      </c>
      <c r="P1958" s="52" t="str">
        <f t="shared" si="246"/>
        <v/>
      </c>
      <c r="Q1958" s="53" t="str">
        <f t="shared" si="247"/>
        <v/>
      </c>
      <c r="R1958" s="54" t="str">
        <f t="shared" si="248"/>
        <v/>
      </c>
      <c r="S1958" s="53" t="str">
        <f t="shared" si="249"/>
        <v/>
      </c>
    </row>
    <row r="1959" spans="10:19" x14ac:dyDescent="0.15">
      <c r="J1959" s="38">
        <v>1950</v>
      </c>
      <c r="K1959" s="40"/>
      <c r="L1959" s="34">
        <f t="shared" si="243"/>
        <v>8.1215334117607158E-4</v>
      </c>
      <c r="M1959" s="35">
        <f t="shared" si="244"/>
        <v>-1.2063791900571048E-7</v>
      </c>
      <c r="N1959" s="44">
        <f>(L2009-L1959)</f>
        <v>-6.1186177035518806E-6</v>
      </c>
      <c r="O1959" s="45" t="e">
        <f>IF(N1959&lt;=$B$49,1+O1958,0)</f>
        <v>#VALUE!</v>
      </c>
      <c r="P1959" s="52" t="str">
        <f t="shared" si="246"/>
        <v/>
      </c>
      <c r="Q1959" s="53" t="str">
        <f t="shared" si="247"/>
        <v/>
      </c>
      <c r="R1959" s="54" t="str">
        <f t="shared" si="248"/>
        <v/>
      </c>
      <c r="S1959" s="53" t="str">
        <f t="shared" si="249"/>
        <v/>
      </c>
    </row>
    <row r="1960" spans="10:19" x14ac:dyDescent="0.15">
      <c r="J1960" s="38">
        <v>1951</v>
      </c>
      <c r="K1960" s="40"/>
      <c r="L1960" s="34">
        <f t="shared" si="243"/>
        <v>8.1203266775806409E-4</v>
      </c>
      <c r="M1960" s="35">
        <f t="shared" si="244"/>
        <v>-1.2070890008620284E-7</v>
      </c>
      <c r="N1960" s="44"/>
      <c r="O1960" s="45"/>
      <c r="P1960" s="55"/>
      <c r="Q1960" s="55"/>
      <c r="R1960" s="55"/>
      <c r="S1960" s="55"/>
    </row>
    <row r="1961" spans="10:19" x14ac:dyDescent="0.15">
      <c r="J1961" s="38">
        <v>1952</v>
      </c>
      <c r="K1961" s="40"/>
      <c r="L1961" s="34">
        <f t="shared" si="243"/>
        <v>8.1191192340971296E-4</v>
      </c>
      <c r="M1961" s="35">
        <f t="shared" si="244"/>
        <v>-1.2077977972526907E-7</v>
      </c>
      <c r="N1961" s="44"/>
      <c r="O1961" s="45"/>
      <c r="P1961" s="55"/>
      <c r="Q1961" s="55"/>
      <c r="R1961" s="55"/>
      <c r="S1961" s="55"/>
    </row>
    <row r="1962" spans="10:19" x14ac:dyDescent="0.15">
      <c r="J1962" s="38">
        <v>1953</v>
      </c>
      <c r="K1962" s="40"/>
      <c r="L1962" s="34">
        <f t="shared" si="243"/>
        <v>8.1179110823236282E-4</v>
      </c>
      <c r="M1962" s="35">
        <f t="shared" si="244"/>
        <v>-1.2085055811611497E-7</v>
      </c>
      <c r="N1962" s="44"/>
      <c r="O1962" s="45"/>
      <c r="P1962" s="55"/>
      <c r="Q1962" s="55"/>
      <c r="R1962" s="55"/>
      <c r="S1962" s="55"/>
    </row>
    <row r="1963" spans="10:19" x14ac:dyDescent="0.15">
      <c r="J1963" s="38">
        <v>1954</v>
      </c>
      <c r="K1963" s="40"/>
      <c r="L1963" s="34">
        <f t="shared" si="243"/>
        <v>8.1167022232716602E-4</v>
      </c>
      <c r="M1963" s="35">
        <f t="shared" si="244"/>
        <v>-1.2092123545148636E-7</v>
      </c>
      <c r="N1963" s="44"/>
      <c r="O1963" s="45"/>
      <c r="P1963" s="55"/>
      <c r="Q1963" s="55"/>
      <c r="R1963" s="55"/>
      <c r="S1963" s="55"/>
    </row>
    <row r="1964" spans="10:19" x14ac:dyDescent="0.15">
      <c r="J1964" s="38">
        <v>1955</v>
      </c>
      <c r="K1964" s="40"/>
      <c r="L1964" s="34">
        <f t="shared" si="243"/>
        <v>8.1154926579508099E-4</v>
      </c>
      <c r="M1964" s="35">
        <f t="shared" si="244"/>
        <v>-1.2099181192367088E-7</v>
      </c>
      <c r="N1964" s="44"/>
      <c r="O1964" s="45"/>
      <c r="P1964" s="55"/>
      <c r="Q1964" s="55"/>
      <c r="R1964" s="55"/>
      <c r="S1964" s="55"/>
    </row>
    <row r="1965" spans="10:19" x14ac:dyDescent="0.15">
      <c r="J1965" s="38">
        <v>1956</v>
      </c>
      <c r="K1965" s="40"/>
      <c r="L1965" s="34">
        <f t="shared" si="243"/>
        <v>8.1142823873687564E-4</v>
      </c>
      <c r="M1965" s="35">
        <f t="shared" si="244"/>
        <v>-1.2106228772449892E-7</v>
      </c>
      <c r="N1965" s="44"/>
      <c r="O1965" s="45"/>
      <c r="P1965" s="55"/>
      <c r="Q1965" s="55"/>
      <c r="R1965" s="55"/>
      <c r="S1965" s="55"/>
    </row>
    <row r="1966" spans="10:19" x14ac:dyDescent="0.15">
      <c r="J1966" s="38">
        <v>1957</v>
      </c>
      <c r="K1966" s="40"/>
      <c r="L1966" s="34">
        <f t="shared" si="243"/>
        <v>8.1130714125312534E-4</v>
      </c>
      <c r="M1966" s="35">
        <f t="shared" si="244"/>
        <v>-1.211326630453449E-7</v>
      </c>
      <c r="N1966" s="44"/>
      <c r="O1966" s="45"/>
      <c r="P1966" s="55"/>
      <c r="Q1966" s="55"/>
      <c r="R1966" s="55"/>
      <c r="S1966" s="55"/>
    </row>
    <row r="1967" spans="10:19" x14ac:dyDescent="0.15">
      <c r="J1967" s="38">
        <v>1958</v>
      </c>
      <c r="K1967" s="40"/>
      <c r="L1967" s="34">
        <f t="shared" si="243"/>
        <v>8.1118597344421474E-4</v>
      </c>
      <c r="M1967" s="35">
        <f t="shared" si="244"/>
        <v>-1.2120293807712893E-7</v>
      </c>
      <c r="N1967" s="44"/>
      <c r="O1967" s="45"/>
      <c r="P1967" s="55"/>
      <c r="Q1967" s="55"/>
      <c r="R1967" s="55"/>
      <c r="S1967" s="55"/>
    </row>
    <row r="1968" spans="10:19" x14ac:dyDescent="0.15">
      <c r="J1968" s="38">
        <v>1959</v>
      </c>
      <c r="K1968" s="40"/>
      <c r="L1968" s="34">
        <f t="shared" si="243"/>
        <v>8.1106473541033735E-4</v>
      </c>
      <c r="M1968" s="35">
        <f t="shared" si="244"/>
        <v>-1.212731130103178E-7</v>
      </c>
      <c r="N1968" s="44"/>
      <c r="O1968" s="45"/>
      <c r="P1968" s="55"/>
      <c r="Q1968" s="55"/>
      <c r="R1968" s="55"/>
      <c r="S1968" s="55"/>
    </row>
    <row r="1969" spans="10:19" x14ac:dyDescent="0.15">
      <c r="J1969" s="38">
        <v>1960</v>
      </c>
      <c r="K1969" s="40"/>
      <c r="L1969" s="34">
        <f t="shared" si="243"/>
        <v>8.1094342725149683E-4</v>
      </c>
      <c r="M1969" s="35">
        <f t="shared" si="244"/>
        <v>-1.2134318803492629E-7</v>
      </c>
      <c r="N1969" s="44"/>
      <c r="O1969" s="45"/>
      <c r="P1969" s="55"/>
      <c r="Q1969" s="55"/>
      <c r="R1969" s="55"/>
      <c r="S1969" s="55"/>
    </row>
    <row r="1970" spans="10:19" x14ac:dyDescent="0.15">
      <c r="J1970" s="38">
        <v>1961</v>
      </c>
      <c r="K1970" s="40"/>
      <c r="L1970" s="34">
        <f t="shared" si="243"/>
        <v>8.1082204906750711E-4</v>
      </c>
      <c r="M1970" s="35">
        <f t="shared" si="244"/>
        <v>-1.2141316334051856E-7</v>
      </c>
      <c r="N1970" s="44"/>
      <c r="O1970" s="45"/>
      <c r="P1970" s="55"/>
      <c r="Q1970" s="55"/>
      <c r="R1970" s="55"/>
      <c r="S1970" s="55"/>
    </row>
    <row r="1971" spans="10:19" x14ac:dyDescent="0.15">
      <c r="J1971" s="38">
        <v>1962</v>
      </c>
      <c r="K1971" s="40"/>
      <c r="L1971" s="34">
        <f t="shared" si="243"/>
        <v>8.1070060095799238E-4</v>
      </c>
      <c r="M1971" s="35">
        <f t="shared" si="244"/>
        <v>-1.2148303911620944E-7</v>
      </c>
      <c r="N1971" s="44"/>
      <c r="O1971" s="45"/>
      <c r="P1971" s="55"/>
      <c r="Q1971" s="55"/>
      <c r="R1971" s="55"/>
      <c r="S1971" s="55"/>
    </row>
    <row r="1972" spans="10:19" x14ac:dyDescent="0.15">
      <c r="J1972" s="38">
        <v>1963</v>
      </c>
      <c r="K1972" s="40"/>
      <c r="L1972" s="34">
        <f t="shared" si="243"/>
        <v>8.1057908302238841E-4</v>
      </c>
      <c r="M1972" s="35">
        <f t="shared" si="244"/>
        <v>-1.2155281555066562E-7</v>
      </c>
      <c r="N1972" s="44"/>
      <c r="O1972" s="45"/>
      <c r="P1972" s="55"/>
      <c r="Q1972" s="55"/>
      <c r="R1972" s="55"/>
      <c r="S1972" s="55"/>
    </row>
    <row r="1973" spans="10:19" x14ac:dyDescent="0.15">
      <c r="J1973" s="38">
        <v>1964</v>
      </c>
      <c r="K1973" s="40"/>
      <c r="L1973" s="34">
        <f t="shared" si="243"/>
        <v>8.1045749535994208E-4</v>
      </c>
      <c r="M1973" s="35">
        <f t="shared" si="244"/>
        <v>-1.2162249283210686E-7</v>
      </c>
      <c r="N1973" s="44"/>
      <c r="O1973" s="45"/>
      <c r="P1973" s="55"/>
      <c r="Q1973" s="55"/>
      <c r="R1973" s="55"/>
      <c r="S1973" s="55"/>
    </row>
    <row r="1974" spans="10:19" x14ac:dyDescent="0.15">
      <c r="J1974" s="38">
        <v>1965</v>
      </c>
      <c r="K1974" s="40"/>
      <c r="L1974" s="34">
        <f t="shared" si="243"/>
        <v>8.1033583806971261E-4</v>
      </c>
      <c r="M1974" s="35">
        <f t="shared" si="244"/>
        <v>-1.2169207114830755E-7</v>
      </c>
      <c r="N1974" s="44"/>
      <c r="O1974" s="45"/>
      <c r="P1974" s="55"/>
      <c r="Q1974" s="55"/>
      <c r="R1974" s="55"/>
      <c r="S1974" s="55"/>
    </row>
    <row r="1975" spans="10:19" x14ac:dyDescent="0.15">
      <c r="J1975" s="38">
        <v>1966</v>
      </c>
      <c r="K1975" s="40"/>
      <c r="L1975" s="34">
        <f t="shared" si="243"/>
        <v>8.1021411125057155E-4</v>
      </c>
      <c r="M1975" s="35">
        <f t="shared" si="244"/>
        <v>-1.2176155068659764E-7</v>
      </c>
      <c r="N1975" s="44"/>
      <c r="O1975" s="45"/>
      <c r="P1975" s="55"/>
      <c r="Q1975" s="55"/>
      <c r="R1975" s="55"/>
      <c r="S1975" s="55"/>
    </row>
    <row r="1976" spans="10:19" x14ac:dyDescent="0.15">
      <c r="J1976" s="38">
        <v>1967</v>
      </c>
      <c r="K1976" s="40"/>
      <c r="L1976" s="34">
        <f t="shared" si="243"/>
        <v>8.1009231500120307E-4</v>
      </c>
      <c r="M1976" s="35">
        <f t="shared" si="244"/>
        <v>-1.2183093163386412E-7</v>
      </c>
      <c r="N1976" s="44"/>
      <c r="O1976" s="45"/>
      <c r="P1976" s="55"/>
      <c r="Q1976" s="55"/>
      <c r="R1976" s="55"/>
      <c r="S1976" s="55"/>
    </row>
    <row r="1977" spans="10:19" x14ac:dyDescent="0.15">
      <c r="J1977" s="38">
        <v>1968</v>
      </c>
      <c r="K1977" s="40"/>
      <c r="L1977" s="34">
        <f t="shared" si="243"/>
        <v>8.0997044942010532E-4</v>
      </c>
      <c r="M1977" s="35">
        <f t="shared" si="244"/>
        <v>-1.2190021417655219E-7</v>
      </c>
      <c r="N1977" s="44"/>
      <c r="O1977" s="45"/>
      <c r="P1977" s="55"/>
      <c r="Q1977" s="55"/>
      <c r="R1977" s="55"/>
      <c r="S1977" s="55"/>
    </row>
    <row r="1978" spans="10:19" x14ac:dyDescent="0.15">
      <c r="J1978" s="38">
        <v>1969</v>
      </c>
      <c r="K1978" s="40"/>
      <c r="L1978" s="34">
        <f t="shared" si="243"/>
        <v>8.0984851460558953E-4</v>
      </c>
      <c r="M1978" s="35">
        <f t="shared" si="244"/>
        <v>-1.219693985006665E-7</v>
      </c>
      <c r="N1978" s="44"/>
      <c r="O1978" s="45"/>
      <c r="P1978" s="55"/>
      <c r="Q1978" s="55"/>
      <c r="R1978" s="55"/>
      <c r="S1978" s="55"/>
    </row>
    <row r="1979" spans="10:19" x14ac:dyDescent="0.15">
      <c r="J1979" s="38">
        <v>1970</v>
      </c>
      <c r="K1979" s="40"/>
      <c r="L1979" s="34">
        <f t="shared" si="243"/>
        <v>8.0972651065578153E-4</v>
      </c>
      <c r="M1979" s="35">
        <f t="shared" si="244"/>
        <v>-1.2203848479177242E-7</v>
      </c>
      <c r="N1979" s="44"/>
      <c r="O1979" s="45"/>
      <c r="P1979" s="55"/>
      <c r="Q1979" s="55"/>
      <c r="R1979" s="55"/>
      <c r="S1979" s="55"/>
    </row>
    <row r="1980" spans="10:19" x14ac:dyDescent="0.15">
      <c r="J1980" s="38">
        <v>1971</v>
      </c>
      <c r="K1980" s="40"/>
      <c r="L1980" s="34">
        <f t="shared" si="243"/>
        <v>8.0960443766862195E-4</v>
      </c>
      <c r="M1980" s="35">
        <f t="shared" si="244"/>
        <v>-1.2210747323499737E-7</v>
      </c>
      <c r="N1980" s="44"/>
      <c r="O1980" s="45"/>
      <c r="P1980" s="55"/>
      <c r="Q1980" s="55"/>
      <c r="R1980" s="55"/>
      <c r="S1980" s="55"/>
    </row>
    <row r="1981" spans="10:19" x14ac:dyDescent="0.15">
      <c r="J1981" s="38">
        <v>1972</v>
      </c>
      <c r="K1981" s="40"/>
      <c r="L1981" s="34">
        <f t="shared" si="243"/>
        <v>8.0948229574186593E-4</v>
      </c>
      <c r="M1981" s="35">
        <f t="shared" si="244"/>
        <v>-1.2217636401503184E-7</v>
      </c>
      <c r="N1981" s="44"/>
      <c r="O1981" s="45"/>
      <c r="P1981" s="55"/>
      <c r="Q1981" s="55"/>
      <c r="R1981" s="55"/>
      <c r="S1981" s="55"/>
    </row>
    <row r="1982" spans="10:19" x14ac:dyDescent="0.15">
      <c r="J1982" s="38">
        <v>1973</v>
      </c>
      <c r="K1982" s="40"/>
      <c r="L1982" s="34">
        <f t="shared" si="243"/>
        <v>8.0936008497308495E-4</v>
      </c>
      <c r="M1982" s="35">
        <f t="shared" si="244"/>
        <v>-1.2224515731613089E-7</v>
      </c>
      <c r="N1982" s="44"/>
      <c r="O1982" s="45"/>
      <c r="P1982" s="55"/>
      <c r="Q1982" s="55"/>
      <c r="R1982" s="55"/>
      <c r="S1982" s="55"/>
    </row>
    <row r="1983" spans="10:19" x14ac:dyDescent="0.15">
      <c r="J1983" s="38">
        <v>1974</v>
      </c>
      <c r="K1983" s="40"/>
      <c r="L1983" s="34">
        <f t="shared" si="243"/>
        <v>8.0923780545966541E-4</v>
      </c>
      <c r="M1983" s="35">
        <f t="shared" si="244"/>
        <v>-1.2231385332211521E-7</v>
      </c>
      <c r="N1983" s="44"/>
      <c r="O1983" s="45"/>
      <c r="P1983" s="55"/>
      <c r="Q1983" s="55"/>
      <c r="R1983" s="55"/>
      <c r="S1983" s="55"/>
    </row>
    <row r="1984" spans="10:19" x14ac:dyDescent="0.15">
      <c r="J1984" s="38">
        <v>1975</v>
      </c>
      <c r="K1984" s="40"/>
      <c r="L1984" s="34">
        <f t="shared" si="243"/>
        <v>8.0911545729881124E-4</v>
      </c>
      <c r="M1984" s="35">
        <f t="shared" si="244"/>
        <v>-1.2238245221637236E-7</v>
      </c>
      <c r="N1984" s="44"/>
      <c r="O1984" s="45"/>
      <c r="P1984" s="55"/>
      <c r="Q1984" s="55"/>
      <c r="R1984" s="55"/>
      <c r="S1984" s="55"/>
    </row>
    <row r="1985" spans="10:19" x14ac:dyDescent="0.15">
      <c r="J1985" s="38">
        <v>1976</v>
      </c>
      <c r="K1985" s="40"/>
      <c r="L1985" s="34">
        <f t="shared" si="243"/>
        <v>8.0899304058754237E-4</v>
      </c>
      <c r="M1985" s="35">
        <f t="shared" si="244"/>
        <v>-1.2245095418185814E-7</v>
      </c>
      <c r="N1985" s="44"/>
      <c r="O1985" s="45"/>
      <c r="P1985" s="55"/>
      <c r="Q1985" s="55"/>
      <c r="R1985" s="55"/>
      <c r="S1985" s="55"/>
    </row>
    <row r="1986" spans="10:19" x14ac:dyDescent="0.15">
      <c r="J1986" s="38">
        <v>1977</v>
      </c>
      <c r="K1986" s="40"/>
      <c r="L1986" s="34">
        <f t="shared" si="243"/>
        <v>8.0887055542269617E-4</v>
      </c>
      <c r="M1986" s="35">
        <f t="shared" si="244"/>
        <v>-1.2251935940109754E-7</v>
      </c>
      <c r="N1986" s="44"/>
      <c r="O1986" s="45"/>
      <c r="P1986" s="55"/>
      <c r="Q1986" s="55"/>
      <c r="R1986" s="55"/>
      <c r="S1986" s="55"/>
    </row>
    <row r="1987" spans="10:19" x14ac:dyDescent="0.15">
      <c r="J1987" s="38">
        <v>1978</v>
      </c>
      <c r="K1987" s="40"/>
      <c r="L1987" s="34">
        <f t="shared" si="243"/>
        <v>8.0874800190092807E-4</v>
      </c>
      <c r="M1987" s="35">
        <f t="shared" si="244"/>
        <v>-1.2258766805618621E-7</v>
      </c>
      <c r="N1987" s="44"/>
      <c r="O1987" s="45"/>
      <c r="P1987" s="55"/>
      <c r="Q1987" s="55"/>
      <c r="R1987" s="55"/>
      <c r="S1987" s="55"/>
    </row>
    <row r="1988" spans="10:19" x14ac:dyDescent="0.15">
      <c r="J1988" s="38">
        <v>1979</v>
      </c>
      <c r="K1988" s="40"/>
      <c r="L1988" s="34">
        <f t="shared" si="243"/>
        <v>8.0862538011871145E-4</v>
      </c>
      <c r="M1988" s="35">
        <f t="shared" si="244"/>
        <v>-1.2265588032879159E-7</v>
      </c>
      <c r="N1988" s="44"/>
      <c r="O1988" s="45"/>
      <c r="P1988" s="55"/>
      <c r="Q1988" s="55"/>
      <c r="R1988" s="55"/>
      <c r="S1988" s="55"/>
    </row>
    <row r="1989" spans="10:19" x14ac:dyDescent="0.15">
      <c r="J1989" s="38">
        <v>1980</v>
      </c>
      <c r="K1989" s="40"/>
      <c r="L1989" s="34">
        <f t="shared" si="243"/>
        <v>8.0850269017233769E-4</v>
      </c>
      <c r="M1989" s="35">
        <f t="shared" si="244"/>
        <v>-1.2272399640015405E-7</v>
      </c>
      <c r="N1989" s="44"/>
      <c r="O1989" s="45"/>
      <c r="P1989" s="55"/>
      <c r="Q1989" s="55"/>
      <c r="R1989" s="55"/>
      <c r="S1989" s="55"/>
    </row>
    <row r="1990" spans="10:19" x14ac:dyDescent="0.15">
      <c r="J1990" s="38">
        <v>1981</v>
      </c>
      <c r="K1990" s="40"/>
      <c r="L1990" s="34">
        <f t="shared" si="243"/>
        <v>8.0837993215791782E-4</v>
      </c>
      <c r="M1990" s="35">
        <f t="shared" si="244"/>
        <v>-1.2279201645108823E-7</v>
      </c>
      <c r="N1990" s="44"/>
      <c r="O1990" s="45"/>
      <c r="P1990" s="55"/>
      <c r="Q1990" s="55"/>
      <c r="R1990" s="55"/>
      <c r="S1990" s="55"/>
    </row>
    <row r="1991" spans="10:19" x14ac:dyDescent="0.15">
      <c r="J1991" s="38">
        <v>1982</v>
      </c>
      <c r="K1991" s="40"/>
      <c r="L1991" s="34">
        <f t="shared" si="243"/>
        <v>8.0825710617138218E-4</v>
      </c>
      <c r="M1991" s="35">
        <f t="shared" si="244"/>
        <v>-1.2285994066198404E-7</v>
      </c>
      <c r="N1991" s="44"/>
      <c r="O1991" s="45"/>
      <c r="P1991" s="55"/>
      <c r="Q1991" s="55"/>
      <c r="R1991" s="55"/>
      <c r="S1991" s="55"/>
    </row>
    <row r="1992" spans="10:19" x14ac:dyDescent="0.15">
      <c r="J1992" s="38">
        <v>1983</v>
      </c>
      <c r="K1992" s="40"/>
      <c r="L1992" s="34">
        <f t="shared" si="243"/>
        <v>8.0813421230848043E-4</v>
      </c>
      <c r="M1992" s="35">
        <f t="shared" si="244"/>
        <v>-1.2292776921280804E-7</v>
      </c>
      <c r="N1992" s="44"/>
      <c r="O1992" s="45"/>
      <c r="P1992" s="55"/>
      <c r="Q1992" s="55"/>
      <c r="R1992" s="55"/>
      <c r="S1992" s="55"/>
    </row>
    <row r="1993" spans="10:19" x14ac:dyDescent="0.15">
      <c r="J1993" s="38">
        <v>1984</v>
      </c>
      <c r="K1993" s="40"/>
      <c r="L1993" s="34">
        <f t="shared" si="243"/>
        <v>8.0801125066478328E-4</v>
      </c>
      <c r="M1993" s="35">
        <f t="shared" si="244"/>
        <v>-1.2299550228310463E-7</v>
      </c>
      <c r="N1993" s="44"/>
      <c r="O1993" s="45"/>
      <c r="P1993" s="55"/>
      <c r="Q1993" s="55"/>
      <c r="R1993" s="55"/>
      <c r="S1993" s="55"/>
    </row>
    <row r="1994" spans="10:19" x14ac:dyDescent="0.15">
      <c r="J1994" s="38">
        <v>1985</v>
      </c>
      <c r="K1994" s="40"/>
      <c r="L1994" s="34">
        <f t="shared" ref="L1994:L2009" si="250">$F$39*((1-$F$40*J1994)/(1+$F$41*J1994))*(J1994-$F$42)</f>
        <v>8.0788822133568143E-4</v>
      </c>
      <c r="M1994" s="35">
        <f t="shared" ref="M1994:M2009" si="251">$F$39*((1-2*$F$40*J1994-$F$40*$F$41*(J1994^2)+($F$41+$F$40)*$F$42)/(1+$F$41*J1994)^2)</f>
        <v>-1.2306314005199702E-7</v>
      </c>
      <c r="N1994" s="44"/>
      <c r="O1994" s="45"/>
      <c r="P1994" s="55"/>
      <c r="Q1994" s="55"/>
      <c r="R1994" s="55"/>
      <c r="S1994" s="55"/>
    </row>
    <row r="1995" spans="10:19" x14ac:dyDescent="0.15">
      <c r="J1995" s="38">
        <v>1986</v>
      </c>
      <c r="K1995" s="40"/>
      <c r="L1995" s="34">
        <f t="shared" si="250"/>
        <v>8.0776512441638692E-4</v>
      </c>
      <c r="M1995" s="35">
        <f t="shared" si="251"/>
        <v>-1.2313068269818872E-7</v>
      </c>
      <c r="N1995" s="44"/>
      <c r="O1995" s="45"/>
      <c r="P1995" s="55"/>
      <c r="Q1995" s="55"/>
      <c r="R1995" s="55"/>
      <c r="S1995" s="55"/>
    </row>
    <row r="1996" spans="10:19" x14ac:dyDescent="0.15">
      <c r="J1996" s="38">
        <v>1987</v>
      </c>
      <c r="K1996" s="40"/>
      <c r="L1996" s="34">
        <f t="shared" si="250"/>
        <v>8.0764196000193331E-4</v>
      </c>
      <c r="M1996" s="35">
        <f t="shared" si="251"/>
        <v>-1.231981303999645E-7</v>
      </c>
      <c r="N1996" s="44"/>
      <c r="O1996" s="45"/>
      <c r="P1996" s="55"/>
      <c r="Q1996" s="55"/>
      <c r="R1996" s="55"/>
      <c r="S1996" s="55"/>
    </row>
    <row r="1997" spans="10:19" x14ac:dyDescent="0.15">
      <c r="J1997" s="38">
        <v>1988</v>
      </c>
      <c r="K1997" s="40"/>
      <c r="L1997" s="34">
        <f t="shared" si="250"/>
        <v>8.0751872818717583E-4</v>
      </c>
      <c r="M1997" s="35">
        <f t="shared" si="251"/>
        <v>-1.2326548333519155E-7</v>
      </c>
      <c r="N1997" s="44"/>
      <c r="O1997" s="45"/>
      <c r="P1997" s="55"/>
      <c r="Q1997" s="55"/>
      <c r="R1997" s="55"/>
      <c r="S1997" s="55"/>
    </row>
    <row r="1998" spans="10:19" x14ac:dyDescent="0.15">
      <c r="J1998" s="38">
        <v>1989</v>
      </c>
      <c r="K1998" s="40"/>
      <c r="L1998" s="34">
        <f t="shared" si="250"/>
        <v>8.0739542906679265E-4</v>
      </c>
      <c r="M1998" s="35">
        <f t="shared" si="251"/>
        <v>-1.2333274168132098E-7</v>
      </c>
      <c r="N1998" s="44"/>
      <c r="O1998" s="45"/>
      <c r="P1998" s="55"/>
      <c r="Q1998" s="55"/>
      <c r="R1998" s="55"/>
      <c r="S1998" s="55"/>
    </row>
    <row r="1999" spans="10:19" x14ac:dyDescent="0.15">
      <c r="J1999" s="38">
        <v>1990</v>
      </c>
      <c r="K1999" s="40"/>
      <c r="L1999" s="34">
        <f t="shared" si="250"/>
        <v>8.0727206273528392E-4</v>
      </c>
      <c r="M1999" s="35">
        <f t="shared" si="251"/>
        <v>-1.2339990561538847E-7</v>
      </c>
      <c r="N1999" s="44"/>
      <c r="O1999" s="45"/>
      <c r="P1999" s="55"/>
      <c r="Q1999" s="55"/>
      <c r="R1999" s="55"/>
      <c r="S1999" s="55"/>
    </row>
    <row r="2000" spans="10:19" x14ac:dyDescent="0.15">
      <c r="J2000" s="38">
        <v>1991</v>
      </c>
      <c r="K2000" s="40"/>
      <c r="L2000" s="34">
        <f t="shared" si="250"/>
        <v>8.071486292869736E-4</v>
      </c>
      <c r="M2000" s="35">
        <f t="shared" si="251"/>
        <v>-1.2346697531401591E-7</v>
      </c>
      <c r="N2000" s="44"/>
      <c r="O2000" s="45"/>
      <c r="P2000" s="55"/>
      <c r="Q2000" s="55"/>
      <c r="R2000" s="55"/>
      <c r="S2000" s="55"/>
    </row>
    <row r="2001" spans="10:19" x14ac:dyDescent="0.15">
      <c r="J2001" s="38">
        <v>1992</v>
      </c>
      <c r="K2001" s="40"/>
      <c r="L2001" s="34">
        <f t="shared" si="250"/>
        <v>8.0702512881600903E-4</v>
      </c>
      <c r="M2001" s="35">
        <f t="shared" si="251"/>
        <v>-1.2353395095341224E-7</v>
      </c>
      <c r="N2001" s="44"/>
      <c r="O2001" s="45"/>
      <c r="P2001" s="55"/>
      <c r="Q2001" s="55"/>
      <c r="R2001" s="55"/>
      <c r="S2001" s="55"/>
    </row>
    <row r="2002" spans="10:19" x14ac:dyDescent="0.15">
      <c r="J2002" s="38">
        <v>1993</v>
      </c>
      <c r="K2002" s="40"/>
      <c r="L2002" s="34">
        <f t="shared" si="250"/>
        <v>8.0690156141636105E-4</v>
      </c>
      <c r="M2002" s="35">
        <f t="shared" si="251"/>
        <v>-1.2360083270937482E-7</v>
      </c>
      <c r="N2002" s="44"/>
      <c r="O2002" s="45"/>
      <c r="P2002" s="55"/>
      <c r="Q2002" s="55"/>
      <c r="R2002" s="55"/>
      <c r="S2002" s="55"/>
    </row>
    <row r="2003" spans="10:19" x14ac:dyDescent="0.15">
      <c r="J2003" s="38">
        <v>1994</v>
      </c>
      <c r="K2003" s="40"/>
      <c r="L2003" s="34">
        <f t="shared" si="250"/>
        <v>8.0677792718182627E-4</v>
      </c>
      <c r="M2003" s="35">
        <f t="shared" si="251"/>
        <v>-1.2366762075729038E-7</v>
      </c>
      <c r="N2003" s="44"/>
      <c r="O2003" s="45"/>
      <c r="P2003" s="55"/>
      <c r="Q2003" s="55"/>
      <c r="R2003" s="55"/>
      <c r="S2003" s="55"/>
    </row>
    <row r="2004" spans="10:19" x14ac:dyDescent="0.15">
      <c r="J2004" s="38">
        <v>1995</v>
      </c>
      <c r="K2004" s="40"/>
      <c r="L2004" s="34">
        <f t="shared" si="250"/>
        <v>8.0665422620602415E-4</v>
      </c>
      <c r="M2004" s="35">
        <f t="shared" si="251"/>
        <v>-1.2373431527213646E-7</v>
      </c>
      <c r="N2004" s="44"/>
      <c r="O2004" s="45"/>
      <c r="P2004" s="55"/>
      <c r="Q2004" s="55"/>
      <c r="R2004" s="55"/>
      <c r="S2004" s="55"/>
    </row>
    <row r="2005" spans="10:19" x14ac:dyDescent="0.15">
      <c r="J2005" s="38">
        <v>1996</v>
      </c>
      <c r="K2005" s="40"/>
      <c r="L2005" s="34">
        <f t="shared" si="250"/>
        <v>8.0653045858240151E-4</v>
      </c>
      <c r="M2005" s="35">
        <f t="shared" si="251"/>
        <v>-1.2380091642848225E-7</v>
      </c>
      <c r="N2005" s="44"/>
      <c r="O2005" s="45"/>
      <c r="P2005" s="55"/>
      <c r="Q2005" s="55"/>
      <c r="R2005" s="55"/>
      <c r="S2005" s="55"/>
    </row>
    <row r="2006" spans="10:19" x14ac:dyDescent="0.15">
      <c r="J2006" s="38">
        <v>1997</v>
      </c>
      <c r="K2006" s="40"/>
      <c r="L2006" s="34">
        <f t="shared" si="250"/>
        <v>8.064066244042287E-4</v>
      </c>
      <c r="M2006" s="35">
        <f t="shared" si="251"/>
        <v>-1.2386742440048984E-7</v>
      </c>
      <c r="N2006" s="44"/>
      <c r="O2006" s="45"/>
      <c r="P2006" s="55"/>
      <c r="Q2006" s="55"/>
      <c r="R2006" s="55"/>
      <c r="S2006" s="55"/>
    </row>
    <row r="2007" spans="10:19" x14ac:dyDescent="0.15">
      <c r="J2007" s="38">
        <v>1998</v>
      </c>
      <c r="K2007" s="40"/>
      <c r="L2007" s="34">
        <f t="shared" si="250"/>
        <v>8.0628272376460388E-4</v>
      </c>
      <c r="M2007" s="35">
        <f t="shared" si="251"/>
        <v>-1.2393383936191542E-7</v>
      </c>
      <c r="N2007" s="44"/>
      <c r="O2007" s="45"/>
      <c r="P2007" s="55"/>
      <c r="Q2007" s="55"/>
      <c r="R2007" s="55"/>
      <c r="S2007" s="55"/>
    </row>
    <row r="2008" spans="10:19" x14ac:dyDescent="0.15">
      <c r="J2008" s="38">
        <v>1999</v>
      </c>
      <c r="K2008" s="40"/>
      <c r="L2008" s="34">
        <f t="shared" si="250"/>
        <v>8.0615875675645076E-4</v>
      </c>
      <c r="M2008" s="35">
        <f t="shared" si="251"/>
        <v>-1.2400016148611051E-7</v>
      </c>
      <c r="N2008" s="44"/>
      <c r="O2008" s="45"/>
      <c r="P2008" s="55"/>
      <c r="Q2008" s="55"/>
      <c r="R2008" s="55"/>
      <c r="S2008" s="55"/>
    </row>
    <row r="2009" spans="10:19" x14ac:dyDescent="0.15">
      <c r="J2009" s="38">
        <v>2000</v>
      </c>
      <c r="K2009" s="75">
        <f>B30</f>
        <v>8.5731990000000003E-4</v>
      </c>
      <c r="L2009" s="34">
        <f t="shared" si="250"/>
        <v>8.060347234725197E-4</v>
      </c>
      <c r="M2009" s="35">
        <f t="shared" si="251"/>
        <v>-1.2406639094602268E-7</v>
      </c>
      <c r="N2009" s="44"/>
      <c r="O2009" s="45"/>
      <c r="P2009" s="55"/>
      <c r="Q2009" s="55"/>
      <c r="R2009" s="55"/>
      <c r="S2009" s="55"/>
    </row>
  </sheetData>
  <phoneticPr fontId="6" type="noConversion"/>
  <pageMargins left="0.78740157499999996" right="0.78740157499999996" top="0.984251969" bottom="0.984251969" header="0.49212598499999999" footer="0.49212598499999999"/>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S20"/>
  <sheetViews>
    <sheetView workbookViewId="0"/>
  </sheetViews>
  <sheetFormatPr baseColWidth="10" defaultColWidth="9.1640625" defaultRowHeight="13" x14ac:dyDescent="0.15"/>
  <cols>
    <col min="1" max="16384" width="9.1640625" style="1"/>
  </cols>
  <sheetData>
    <row r="2" spans="1:19" x14ac:dyDescent="0.15">
      <c r="A2" s="48" t="s">
        <v>10</v>
      </c>
      <c r="B2" s="2"/>
      <c r="C2" s="2"/>
      <c r="D2" s="2"/>
      <c r="E2" s="2"/>
      <c r="F2" s="2"/>
      <c r="G2" s="2"/>
      <c r="H2" s="2"/>
      <c r="I2" s="2"/>
      <c r="J2" s="2"/>
      <c r="K2" s="2"/>
      <c r="L2" s="2"/>
      <c r="M2" s="2"/>
      <c r="N2" s="2"/>
      <c r="O2" s="2"/>
      <c r="P2" s="2"/>
      <c r="Q2" s="2"/>
      <c r="R2" s="2"/>
      <c r="S2" s="3"/>
    </row>
    <row r="3" spans="1:19" x14ac:dyDescent="0.15">
      <c r="A3" s="4"/>
      <c r="B3" s="5"/>
      <c r="C3" s="5"/>
      <c r="D3" s="5"/>
      <c r="E3" s="5"/>
      <c r="F3" s="5"/>
      <c r="G3" s="5"/>
      <c r="H3" s="5"/>
      <c r="I3" s="5"/>
      <c r="J3" s="5"/>
      <c r="K3" s="5"/>
      <c r="L3" s="5"/>
      <c r="M3" s="5"/>
      <c r="N3" s="5"/>
      <c r="O3" s="5"/>
      <c r="P3" s="5"/>
      <c r="Q3" s="5"/>
      <c r="R3" s="5"/>
      <c r="S3" s="6"/>
    </row>
    <row r="4" spans="1:19" ht="15" x14ac:dyDescent="0.2">
      <c r="A4" s="46" t="s">
        <v>61</v>
      </c>
      <c r="B4" s="5"/>
      <c r="C4" s="5"/>
      <c r="D4" s="5"/>
      <c r="E4" s="5"/>
      <c r="F4" s="5"/>
      <c r="G4" s="5"/>
      <c r="H4" s="5"/>
      <c r="I4" s="5"/>
      <c r="J4" s="5"/>
      <c r="K4" s="5"/>
      <c r="L4" s="5"/>
      <c r="M4" s="5"/>
      <c r="N4" s="5"/>
      <c r="O4" s="5"/>
      <c r="P4" s="5"/>
      <c r="Q4" s="5"/>
      <c r="R4" s="5"/>
      <c r="S4" s="6"/>
    </row>
    <row r="5" spans="1:19" x14ac:dyDescent="0.15">
      <c r="A5" s="7" t="s">
        <v>8</v>
      </c>
      <c r="B5" s="5"/>
      <c r="C5" s="5"/>
      <c r="D5" s="5"/>
      <c r="E5" s="5"/>
      <c r="F5" s="5"/>
      <c r="G5" s="5"/>
      <c r="H5" s="5"/>
      <c r="I5" s="5"/>
      <c r="J5" s="5"/>
      <c r="K5" s="5"/>
      <c r="L5" s="5"/>
      <c r="M5" s="5"/>
      <c r="N5" s="5"/>
      <c r="O5" s="5"/>
      <c r="P5" s="5"/>
      <c r="Q5" s="5"/>
      <c r="R5" s="5"/>
      <c r="S5" s="6"/>
    </row>
    <row r="6" spans="1:19" x14ac:dyDescent="0.15">
      <c r="A6" s="7" t="s">
        <v>7</v>
      </c>
      <c r="B6" s="5"/>
      <c r="C6" s="5"/>
      <c r="D6" s="5"/>
      <c r="E6" s="5"/>
      <c r="F6" s="5"/>
      <c r="G6" s="5"/>
      <c r="H6" s="5"/>
      <c r="I6" s="5"/>
      <c r="J6" s="5"/>
      <c r="K6" s="5"/>
      <c r="L6" s="5"/>
      <c r="M6" s="5"/>
      <c r="N6" s="5"/>
      <c r="O6" s="5"/>
      <c r="P6" s="5"/>
      <c r="Q6" s="5"/>
      <c r="R6" s="5"/>
      <c r="S6" s="6"/>
    </row>
    <row r="7" spans="1:19" x14ac:dyDescent="0.15">
      <c r="A7" s="46" t="s">
        <v>17</v>
      </c>
      <c r="B7" s="5"/>
      <c r="C7" s="5"/>
      <c r="D7" s="5"/>
      <c r="E7" s="5"/>
      <c r="F7" s="5"/>
      <c r="G7" s="5"/>
      <c r="H7" s="5"/>
      <c r="I7" s="5"/>
      <c r="J7" s="5"/>
      <c r="K7" s="5"/>
      <c r="L7" s="5"/>
      <c r="M7" s="5"/>
      <c r="N7" s="5"/>
      <c r="O7" s="5"/>
      <c r="P7" s="5"/>
      <c r="Q7" s="5"/>
      <c r="R7" s="5"/>
      <c r="S7" s="6"/>
    </row>
    <row r="8" spans="1:19" ht="16" x14ac:dyDescent="0.2">
      <c r="A8" s="46" t="s">
        <v>63</v>
      </c>
      <c r="B8" s="5"/>
      <c r="C8" s="5"/>
      <c r="D8" s="5"/>
      <c r="E8" s="5"/>
      <c r="F8" s="5"/>
      <c r="G8" s="5"/>
      <c r="H8" s="5"/>
      <c r="I8" s="5"/>
      <c r="J8" s="5"/>
      <c r="K8" s="5"/>
      <c r="L8" s="5"/>
      <c r="M8" s="5"/>
      <c r="N8" s="5"/>
      <c r="O8" s="5"/>
      <c r="P8" s="5"/>
      <c r="Q8" s="5"/>
      <c r="R8" s="5"/>
      <c r="S8" s="6"/>
    </row>
    <row r="9" spans="1:19" ht="16" x14ac:dyDescent="0.2">
      <c r="A9" s="4"/>
      <c r="B9" s="47" t="s">
        <v>62</v>
      </c>
      <c r="C9" s="5"/>
      <c r="D9" s="5"/>
      <c r="E9" s="5"/>
      <c r="F9" s="5"/>
      <c r="G9" s="5"/>
      <c r="H9" s="5"/>
      <c r="I9" s="5"/>
      <c r="J9" s="5"/>
      <c r="K9" s="5"/>
      <c r="L9" s="5"/>
      <c r="M9" s="5"/>
      <c r="N9" s="5"/>
      <c r="O9" s="5"/>
      <c r="P9" s="5"/>
      <c r="Q9" s="5"/>
      <c r="R9" s="5"/>
      <c r="S9" s="6"/>
    </row>
    <row r="10" spans="1:19" x14ac:dyDescent="0.15">
      <c r="A10" s="46" t="s">
        <v>64</v>
      </c>
      <c r="B10" s="5"/>
      <c r="C10" s="5"/>
      <c r="D10" s="5"/>
      <c r="E10" s="5"/>
      <c r="F10" s="5"/>
      <c r="G10" s="5"/>
      <c r="H10" s="5"/>
      <c r="I10" s="5"/>
      <c r="J10" s="5"/>
      <c r="K10" s="5"/>
      <c r="L10" s="5"/>
      <c r="M10" s="5"/>
      <c r="N10" s="5"/>
      <c r="O10" s="5"/>
      <c r="P10" s="5"/>
      <c r="Q10" s="5"/>
      <c r="R10" s="5"/>
      <c r="S10" s="6"/>
    </row>
    <row r="11" spans="1:19" x14ac:dyDescent="0.15">
      <c r="A11" s="46"/>
      <c r="B11" s="47" t="s">
        <v>71</v>
      </c>
      <c r="C11" s="5"/>
      <c r="D11" s="5"/>
      <c r="E11" s="5"/>
      <c r="F11" s="5"/>
      <c r="G11" s="5"/>
      <c r="H11" s="5"/>
      <c r="I11" s="5"/>
      <c r="J11" s="5"/>
      <c r="K11" s="5"/>
      <c r="L11" s="5"/>
      <c r="M11" s="5"/>
      <c r="N11" s="5"/>
      <c r="O11" s="5"/>
      <c r="P11" s="5"/>
      <c r="Q11" s="5"/>
      <c r="R11" s="5"/>
      <c r="S11" s="6"/>
    </row>
    <row r="12" spans="1:19" x14ac:dyDescent="0.15">
      <c r="A12" s="46" t="s">
        <v>65</v>
      </c>
      <c r="B12" s="5"/>
      <c r="C12" s="5"/>
      <c r="D12" s="5"/>
      <c r="E12" s="5"/>
      <c r="F12" s="5"/>
      <c r="G12" s="5"/>
      <c r="H12" s="5"/>
      <c r="I12" s="5"/>
      <c r="J12" s="5"/>
      <c r="K12" s="5"/>
      <c r="L12" s="5"/>
      <c r="M12" s="5"/>
      <c r="N12" s="5"/>
      <c r="O12" s="5"/>
      <c r="P12" s="5"/>
      <c r="Q12" s="5"/>
      <c r="R12" s="5"/>
      <c r="S12" s="6"/>
    </row>
    <row r="13" spans="1:19" ht="15" x14ac:dyDescent="0.2">
      <c r="A13" s="46" t="s">
        <v>86</v>
      </c>
      <c r="B13" s="5"/>
      <c r="C13" s="5"/>
      <c r="D13" s="5"/>
      <c r="E13" s="5"/>
      <c r="F13" s="5"/>
      <c r="G13" s="5"/>
      <c r="H13" s="5"/>
      <c r="I13" s="5"/>
      <c r="J13" s="5"/>
      <c r="K13" s="5"/>
      <c r="L13" s="5"/>
      <c r="M13" s="5"/>
      <c r="N13" s="5"/>
      <c r="O13" s="5"/>
      <c r="P13" s="5"/>
      <c r="Q13" s="5"/>
      <c r="R13" s="5"/>
      <c r="S13" s="6"/>
    </row>
    <row r="14" spans="1:19" ht="15" x14ac:dyDescent="0.2">
      <c r="A14" s="46" t="s">
        <v>66</v>
      </c>
      <c r="B14" s="5"/>
      <c r="C14" s="5"/>
      <c r="D14" s="5"/>
      <c r="E14" s="5"/>
      <c r="F14" s="5"/>
      <c r="G14" s="5"/>
      <c r="H14" s="5"/>
      <c r="I14" s="5"/>
      <c r="J14" s="5"/>
      <c r="K14" s="5"/>
      <c r="L14" s="5"/>
      <c r="M14" s="5"/>
      <c r="N14" s="5"/>
      <c r="O14" s="5"/>
      <c r="P14" s="5"/>
      <c r="Q14" s="5"/>
      <c r="R14" s="5"/>
      <c r="S14" s="6"/>
    </row>
    <row r="15" spans="1:19" x14ac:dyDescent="0.15">
      <c r="A15" s="4"/>
      <c r="B15" s="5" t="s">
        <v>11</v>
      </c>
      <c r="C15" s="5"/>
      <c r="D15" s="5"/>
      <c r="E15" s="5"/>
      <c r="F15" s="5"/>
      <c r="G15" s="5"/>
      <c r="H15" s="5"/>
      <c r="I15" s="5"/>
      <c r="J15" s="5"/>
      <c r="K15" s="5"/>
      <c r="L15" s="5"/>
      <c r="M15" s="5"/>
      <c r="N15" s="5"/>
      <c r="O15" s="5"/>
      <c r="P15" s="5"/>
      <c r="Q15" s="5"/>
      <c r="R15" s="5"/>
      <c r="S15" s="6"/>
    </row>
    <row r="16" spans="1:19" ht="15" x14ac:dyDescent="0.2">
      <c r="A16" s="4"/>
      <c r="B16" s="47" t="s">
        <v>67</v>
      </c>
      <c r="C16" s="5"/>
      <c r="D16" s="5"/>
      <c r="E16" s="5"/>
      <c r="F16" s="5"/>
      <c r="G16" s="5"/>
      <c r="H16" s="5"/>
      <c r="I16" s="5"/>
      <c r="J16" s="5"/>
      <c r="K16" s="5"/>
      <c r="L16" s="5"/>
      <c r="M16" s="5"/>
      <c r="N16" s="5"/>
      <c r="O16" s="5"/>
      <c r="P16" s="5"/>
      <c r="Q16" s="5"/>
      <c r="R16" s="5"/>
      <c r="S16" s="6"/>
    </row>
    <row r="17" spans="1:19" ht="15" x14ac:dyDescent="0.2">
      <c r="A17" s="46" t="s">
        <v>68</v>
      </c>
      <c r="B17" s="5"/>
      <c r="C17" s="5"/>
      <c r="D17" s="5"/>
      <c r="E17" s="5"/>
      <c r="F17" s="5"/>
      <c r="G17" s="5"/>
      <c r="H17" s="5"/>
      <c r="I17" s="5"/>
      <c r="J17" s="5"/>
      <c r="K17" s="5"/>
      <c r="L17" s="5"/>
      <c r="M17" s="5"/>
      <c r="N17" s="5"/>
      <c r="O17" s="5"/>
      <c r="P17" s="5"/>
      <c r="Q17" s="5"/>
      <c r="R17" s="5"/>
      <c r="S17" s="6"/>
    </row>
    <row r="18" spans="1:19" ht="15" x14ac:dyDescent="0.15">
      <c r="A18" s="4"/>
      <c r="B18" s="47" t="s">
        <v>69</v>
      </c>
      <c r="C18" s="5"/>
      <c r="D18" s="5"/>
      <c r="E18" s="5"/>
      <c r="F18" s="5"/>
      <c r="G18" s="5"/>
      <c r="H18" s="5"/>
      <c r="I18" s="5"/>
      <c r="J18" s="5"/>
      <c r="K18" s="5"/>
      <c r="L18" s="5"/>
      <c r="M18" s="5"/>
      <c r="N18" s="5"/>
      <c r="O18" s="5"/>
      <c r="P18" s="5"/>
      <c r="Q18" s="5"/>
      <c r="R18" s="5"/>
      <c r="S18" s="6"/>
    </row>
    <row r="19" spans="1:19" ht="15" x14ac:dyDescent="0.2">
      <c r="A19" s="46" t="s">
        <v>70</v>
      </c>
      <c r="B19" s="5"/>
      <c r="C19" s="5"/>
      <c r="D19" s="5"/>
      <c r="E19" s="5"/>
      <c r="F19" s="5"/>
      <c r="G19" s="5"/>
      <c r="H19" s="5"/>
      <c r="I19" s="5"/>
      <c r="J19" s="5"/>
      <c r="K19" s="5"/>
      <c r="L19" s="5"/>
      <c r="M19" s="5"/>
      <c r="N19" s="5"/>
      <c r="O19" s="5"/>
      <c r="P19" s="5"/>
      <c r="Q19" s="5"/>
      <c r="R19" s="5"/>
      <c r="S19" s="6"/>
    </row>
    <row r="20" spans="1:19" ht="15" x14ac:dyDescent="0.2">
      <c r="A20" s="49" t="s">
        <v>87</v>
      </c>
      <c r="B20" s="8"/>
      <c r="C20" s="8"/>
      <c r="D20" s="8"/>
      <c r="E20" s="8"/>
      <c r="F20" s="8"/>
      <c r="G20" s="8"/>
      <c r="H20" s="8"/>
      <c r="I20" s="8"/>
      <c r="J20" s="8"/>
      <c r="K20" s="8"/>
      <c r="L20" s="8"/>
      <c r="M20" s="8"/>
      <c r="N20" s="8"/>
      <c r="O20" s="8"/>
      <c r="P20" s="8"/>
      <c r="Q20" s="8"/>
      <c r="R20" s="8"/>
      <c r="S20" s="9"/>
    </row>
  </sheetData>
  <phoneticPr fontId="6" type="noConversion"/>
  <pageMargins left="0.78740157499999996" right="0.78740157499999996" top="0.984251969" bottom="0.984251969" header="0.49212598499999999" footer="0.49212598499999999"/>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Fitting Equation 11</vt:lpstr>
      <vt:lpstr>General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Revisor</dc:creator>
  <cp:lastModifiedBy>Asha Kannan</cp:lastModifiedBy>
  <dcterms:created xsi:type="dcterms:W3CDTF">2010-09-06T17:17:48Z</dcterms:created>
  <dcterms:modified xsi:type="dcterms:W3CDTF">2026-06-05T03:51:05Z</dcterms:modified>
</cp:coreProperties>
</file>